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c0e5dab7426898/Desktop/Project2_HR_Analytics_Attrition_Analysis/"/>
    </mc:Choice>
  </mc:AlternateContent>
  <xr:revisionPtr revIDLastSave="335" documentId="8_{3F671101-6B97-4AF6-A408-E1664F44A381}" xr6:coauthVersionLast="47" xr6:coauthVersionMax="47" xr10:uidLastSave="{0AE9BA2D-A162-4813-AA0E-B67482EE04AA}"/>
  <bookViews>
    <workbookView xWindow="-108" yWindow="-108" windowWidth="23256" windowHeight="12456" activeTab="1" xr2:uid="{176699F6-13FA-47C7-B098-152B0C8BE9C3}"/>
  </bookViews>
  <sheets>
    <sheet name="Raw_Data" sheetId="1" r:id="rId1"/>
    <sheet name="Cleaned_Data" sheetId="2" r:id="rId2"/>
    <sheet name="Summary" sheetId="3" r:id="rId3"/>
    <sheet name="Lookup_Tables" sheetId="4" r:id="rId4"/>
    <sheet name="Pivot1_Attrition" sheetId="5" r:id="rId5"/>
    <sheet name="Pivot2_Salary" sheetId="6" r:id="rId6"/>
    <sheet name="Pivot3_OverTime" sheetId="7" r:id="rId7"/>
    <sheet name="Pivot4_Satisfaction" sheetId="8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3" i="3"/>
  <c r="C11" i="3"/>
  <c r="C16" i="3"/>
  <c r="B9" i="3"/>
  <c r="B11" i="3"/>
  <c r="B12" i="3"/>
  <c r="B13" i="3"/>
  <c r="E4" i="3"/>
  <c r="E5" i="3"/>
  <c r="E3" i="3"/>
  <c r="B4" i="3"/>
  <c r="B5" i="3"/>
  <c r="B3" i="3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56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2" i="2"/>
  <c r="B5" i="4"/>
  <c r="AI65" i="2" s="1"/>
  <c r="AJ65" i="2" s="1"/>
  <c r="B4" i="4"/>
  <c r="AI127" i="2" s="1"/>
  <c r="AJ127" i="2" s="1"/>
  <c r="B3" i="4"/>
  <c r="AI424" i="2" s="1"/>
  <c r="AJ424" i="2" s="1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2" i="2"/>
  <c r="AI1389" i="2" l="1"/>
  <c r="AJ1389" i="2" s="1"/>
  <c r="AI973" i="2"/>
  <c r="AJ973" i="2" s="1"/>
  <c r="AI381" i="2"/>
  <c r="AJ381" i="2" s="1"/>
  <c r="AI270" i="2"/>
  <c r="AJ270" i="2" s="1"/>
  <c r="AI192" i="2"/>
  <c r="AJ192" i="2" s="1"/>
  <c r="AI1309" i="2"/>
  <c r="AJ1309" i="2" s="1"/>
  <c r="AI1307" i="2"/>
  <c r="AJ1307" i="2" s="1"/>
  <c r="AI1274" i="2"/>
  <c r="AJ1274" i="2" s="1"/>
  <c r="AI856" i="2"/>
  <c r="AJ856" i="2" s="1"/>
  <c r="AI269" i="2"/>
  <c r="AJ269" i="2" s="1"/>
  <c r="AI1267" i="2"/>
  <c r="AJ1267" i="2" s="1"/>
  <c r="AI742" i="2"/>
  <c r="AJ742" i="2" s="1"/>
  <c r="AI227" i="2"/>
  <c r="AJ227" i="2" s="1"/>
  <c r="AI911" i="2"/>
  <c r="AJ911" i="2" s="1"/>
  <c r="AI1246" i="2"/>
  <c r="AJ1246" i="2" s="1"/>
  <c r="AI741" i="2"/>
  <c r="AJ741" i="2" s="1"/>
  <c r="AI226" i="2"/>
  <c r="AJ226" i="2" s="1"/>
  <c r="AI79" i="2"/>
  <c r="AJ79" i="2" s="1"/>
  <c r="AI1465" i="2"/>
  <c r="AJ1465" i="2" s="1"/>
  <c r="AI1125" i="2"/>
  <c r="AJ1125" i="2" s="1"/>
  <c r="AI607" i="2"/>
  <c r="AJ607" i="2" s="1"/>
  <c r="AI58" i="2"/>
  <c r="AJ58" i="2" s="1"/>
  <c r="AI1461" i="2"/>
  <c r="AJ1461" i="2" s="1"/>
  <c r="AI1114" i="2"/>
  <c r="AJ1114" i="2" s="1"/>
  <c r="AI470" i="2"/>
  <c r="AJ470" i="2" s="1"/>
  <c r="AI1173" i="2"/>
  <c r="AJ1173" i="2" s="1"/>
  <c r="AI665" i="2"/>
  <c r="AJ665" i="2" s="1"/>
  <c r="AI1423" i="2"/>
  <c r="AJ1423" i="2" s="1"/>
  <c r="AI1081" i="2"/>
  <c r="AJ1081" i="2" s="1"/>
  <c r="AI457" i="2"/>
  <c r="AJ457" i="2" s="1"/>
  <c r="AI912" i="2"/>
  <c r="AJ912" i="2" s="1"/>
  <c r="AI666" i="2"/>
  <c r="AJ666" i="2" s="1"/>
  <c r="AI1163" i="2"/>
  <c r="AJ1163" i="2" s="1"/>
  <c r="AI1422" i="2"/>
  <c r="AJ1422" i="2" s="1"/>
  <c r="AI994" i="2"/>
  <c r="AJ994" i="2" s="1"/>
  <c r="AI430" i="2"/>
  <c r="AJ430" i="2" s="1"/>
  <c r="AI1411" i="2"/>
  <c r="AJ1411" i="2" s="1"/>
  <c r="AI1266" i="2"/>
  <c r="AJ1266" i="2" s="1"/>
  <c r="AI1113" i="2"/>
  <c r="AJ1113" i="2" s="1"/>
  <c r="AI898" i="2"/>
  <c r="AJ898" i="2" s="1"/>
  <c r="AI649" i="2"/>
  <c r="AJ649" i="2" s="1"/>
  <c r="AI414" i="2"/>
  <c r="AJ414" i="2" s="1"/>
  <c r="AI224" i="2"/>
  <c r="AJ224" i="2" s="1"/>
  <c r="AI1401" i="2"/>
  <c r="AJ1401" i="2" s="1"/>
  <c r="AI1263" i="2"/>
  <c r="AJ1263" i="2" s="1"/>
  <c r="AI1112" i="2"/>
  <c r="AJ1112" i="2" s="1"/>
  <c r="AI897" i="2"/>
  <c r="AJ897" i="2" s="1"/>
  <c r="AI645" i="2"/>
  <c r="AJ645" i="2" s="1"/>
  <c r="AI413" i="2"/>
  <c r="AJ413" i="2" s="1"/>
  <c r="AI209" i="2"/>
  <c r="AJ209" i="2" s="1"/>
  <c r="AI1388" i="2"/>
  <c r="AJ1388" i="2" s="1"/>
  <c r="AI1233" i="2"/>
  <c r="AJ1233" i="2" s="1"/>
  <c r="AI1080" i="2"/>
  <c r="AJ1080" i="2" s="1"/>
  <c r="AI854" i="2"/>
  <c r="AJ854" i="2" s="1"/>
  <c r="AI595" i="2"/>
  <c r="AJ595" i="2" s="1"/>
  <c r="AI379" i="2"/>
  <c r="AJ379" i="2" s="1"/>
  <c r="AI188" i="2"/>
  <c r="AJ188" i="2" s="1"/>
  <c r="AI1359" i="2"/>
  <c r="AJ1359" i="2" s="1"/>
  <c r="AI1208" i="2"/>
  <c r="AJ1208" i="2" s="1"/>
  <c r="AI1029" i="2"/>
  <c r="AJ1029" i="2" s="1"/>
  <c r="AI802" i="2"/>
  <c r="AJ802" i="2" s="1"/>
  <c r="AI551" i="2"/>
  <c r="AJ551" i="2" s="1"/>
  <c r="AI316" i="2"/>
  <c r="AJ316" i="2" s="1"/>
  <c r="AI128" i="2"/>
  <c r="AJ128" i="2" s="1"/>
  <c r="AI136" i="2"/>
  <c r="AJ136" i="2" s="1"/>
  <c r="AI553" i="2"/>
  <c r="AJ553" i="2" s="1"/>
  <c r="AI1041" i="2"/>
  <c r="AJ1041" i="2" s="1"/>
  <c r="AI455" i="2"/>
  <c r="AJ455" i="2" s="1"/>
  <c r="AI837" i="2"/>
  <c r="AJ837" i="2" s="1"/>
  <c r="AI1224" i="2"/>
  <c r="AJ1224" i="2" s="1"/>
  <c r="AI1247" i="2"/>
  <c r="AJ1247" i="2" s="1"/>
  <c r="AI1007" i="2"/>
  <c r="AJ1007" i="2" s="1"/>
  <c r="AI1331" i="2"/>
  <c r="AJ1331" i="2" s="1"/>
  <c r="AI1346" i="2"/>
  <c r="AJ1346" i="2" s="1"/>
  <c r="AI1207" i="2"/>
  <c r="AJ1207" i="2" s="1"/>
  <c r="AI1026" i="2"/>
  <c r="AJ1026" i="2" s="1"/>
  <c r="AI800" i="2"/>
  <c r="AJ800" i="2" s="1"/>
  <c r="AI528" i="2"/>
  <c r="AJ528" i="2" s="1"/>
  <c r="AI300" i="2"/>
  <c r="AJ300" i="2" s="1"/>
  <c r="AI9" i="2"/>
  <c r="AJ9" i="2" s="1"/>
  <c r="AI52" i="2"/>
  <c r="AJ52" i="2" s="1"/>
  <c r="AI150" i="2"/>
  <c r="AJ150" i="2" s="1"/>
  <c r="AI241" i="2"/>
  <c r="AJ241" i="2" s="1"/>
  <c r="AI53" i="2"/>
  <c r="AJ53" i="2" s="1"/>
  <c r="AI144" i="2"/>
  <c r="AJ144" i="2" s="1"/>
  <c r="AI242" i="2"/>
  <c r="AJ242" i="2" s="1"/>
  <c r="AI338" i="2"/>
  <c r="AJ338" i="2" s="1"/>
  <c r="AI437" i="2"/>
  <c r="AJ437" i="2" s="1"/>
  <c r="AI688" i="2"/>
  <c r="AJ688" i="2" s="1"/>
  <c r="AI815" i="2"/>
  <c r="AJ815" i="2" s="1"/>
  <c r="AI930" i="2"/>
  <c r="AJ930" i="2" s="1"/>
  <c r="AI1039" i="2"/>
  <c r="AJ1039" i="2" s="1"/>
  <c r="AI1127" i="2"/>
  <c r="AJ1127" i="2" s="1"/>
  <c r="AI1209" i="2"/>
  <c r="AJ1209" i="2" s="1"/>
  <c r="AI1275" i="2"/>
  <c r="AJ1275" i="2" s="1"/>
  <c r="AI1369" i="2"/>
  <c r="AJ1369" i="2" s="1"/>
  <c r="AI1424" i="2"/>
  <c r="AJ1424" i="2" s="1"/>
  <c r="AI36" i="2"/>
  <c r="AJ36" i="2" s="1"/>
  <c r="AI151" i="2"/>
  <c r="AJ151" i="2" s="1"/>
  <c r="AI244" i="2"/>
  <c r="AJ244" i="2" s="1"/>
  <c r="AI342" i="2"/>
  <c r="AJ342" i="2" s="1"/>
  <c r="AI438" i="2"/>
  <c r="AJ438" i="2" s="1"/>
  <c r="AI570" i="2"/>
  <c r="AJ570" i="2" s="1"/>
  <c r="AI698" i="2"/>
  <c r="AJ698" i="2" s="1"/>
  <c r="AI816" i="2"/>
  <c r="AJ816" i="2" s="1"/>
  <c r="AI935" i="2"/>
  <c r="AJ935" i="2" s="1"/>
  <c r="AI1140" i="2"/>
  <c r="AJ1140" i="2" s="1"/>
  <c r="AI1219" i="2"/>
  <c r="AJ1219" i="2" s="1"/>
  <c r="AI1279" i="2"/>
  <c r="AJ1279" i="2" s="1"/>
  <c r="AI1370" i="2"/>
  <c r="AJ1370" i="2" s="1"/>
  <c r="AI1425" i="2"/>
  <c r="AJ1425" i="2" s="1"/>
  <c r="AI37" i="2"/>
  <c r="AJ37" i="2" s="1"/>
  <c r="AI172" i="2"/>
  <c r="AJ172" i="2" s="1"/>
  <c r="AI249" i="2"/>
  <c r="AJ249" i="2" s="1"/>
  <c r="AI344" i="2"/>
  <c r="AJ344" i="2" s="1"/>
  <c r="AI584" i="2"/>
  <c r="AJ584" i="2" s="1"/>
  <c r="AI716" i="2"/>
  <c r="AJ716" i="2" s="1"/>
  <c r="AI936" i="2"/>
  <c r="AJ936" i="2" s="1"/>
  <c r="AI1064" i="2"/>
  <c r="AJ1064" i="2" s="1"/>
  <c r="AI1148" i="2"/>
  <c r="AJ1148" i="2" s="1"/>
  <c r="AI1295" i="2"/>
  <c r="AJ1295" i="2" s="1"/>
  <c r="AI1374" i="2"/>
  <c r="AJ1374" i="2" s="1"/>
  <c r="AI1437" i="2"/>
  <c r="AJ1437" i="2" s="1"/>
  <c r="AI57" i="2"/>
  <c r="AJ57" i="2" s="1"/>
  <c r="AI174" i="2"/>
  <c r="AJ174" i="2" s="1"/>
  <c r="AI250" i="2"/>
  <c r="AJ250" i="2" s="1"/>
  <c r="AI366" i="2"/>
  <c r="AJ366" i="2" s="1"/>
  <c r="AI456" i="2"/>
  <c r="AJ456" i="2" s="1"/>
  <c r="AI594" i="2"/>
  <c r="AJ594" i="2" s="1"/>
  <c r="AI724" i="2"/>
  <c r="AJ724" i="2" s="1"/>
  <c r="AI839" i="2"/>
  <c r="AJ839" i="2" s="1"/>
  <c r="AI950" i="2"/>
  <c r="AJ950" i="2" s="1"/>
  <c r="AI1079" i="2"/>
  <c r="AJ1079" i="2" s="1"/>
  <c r="AI1149" i="2"/>
  <c r="AJ1149" i="2" s="1"/>
  <c r="AI1232" i="2"/>
  <c r="AJ1232" i="2" s="1"/>
  <c r="AI1296" i="2"/>
  <c r="AJ1296" i="2" s="1"/>
  <c r="AI1375" i="2"/>
  <c r="AJ1375" i="2" s="1"/>
  <c r="AI1439" i="2"/>
  <c r="AJ1439" i="2" s="1"/>
  <c r="AI80" i="2"/>
  <c r="AJ80" i="2" s="1"/>
  <c r="AI193" i="2"/>
  <c r="AJ193" i="2" s="1"/>
  <c r="AI281" i="2"/>
  <c r="AJ281" i="2" s="1"/>
  <c r="AI396" i="2"/>
  <c r="AJ396" i="2" s="1"/>
  <c r="AI473" i="2"/>
  <c r="AJ473" i="2" s="1"/>
  <c r="AI612" i="2"/>
  <c r="AJ612" i="2" s="1"/>
  <c r="AI758" i="2"/>
  <c r="AJ758" i="2" s="1"/>
  <c r="AI857" i="2"/>
  <c r="AJ857" i="2" s="1"/>
  <c r="AI1006" i="2"/>
  <c r="AJ1006" i="2" s="1"/>
  <c r="AI1092" i="2"/>
  <c r="AJ1092" i="2" s="1"/>
  <c r="AI1175" i="2"/>
  <c r="AJ1175" i="2" s="1"/>
  <c r="AI1317" i="2"/>
  <c r="AJ1317" i="2" s="1"/>
  <c r="AI1399" i="2"/>
  <c r="AJ1399" i="2" s="1"/>
  <c r="AI1467" i="2"/>
  <c r="AJ1467" i="2" s="1"/>
  <c r="AI95" i="2"/>
  <c r="AJ95" i="2" s="1"/>
  <c r="AI194" i="2"/>
  <c r="AJ194" i="2" s="1"/>
  <c r="AI285" i="2"/>
  <c r="AJ285" i="2" s="1"/>
  <c r="AI402" i="2"/>
  <c r="AJ402" i="2" s="1"/>
  <c r="AI514" i="2"/>
  <c r="AJ514" i="2" s="1"/>
  <c r="AI628" i="2"/>
  <c r="AJ628" i="2" s="1"/>
  <c r="AI764" i="2"/>
  <c r="AJ764" i="2" s="1"/>
  <c r="AI871" i="2"/>
  <c r="AJ871" i="2" s="1"/>
  <c r="AI1093" i="2"/>
  <c r="AJ1093" i="2" s="1"/>
  <c r="AI1176" i="2"/>
  <c r="AJ1176" i="2" s="1"/>
  <c r="AI1250" i="2"/>
  <c r="AJ1250" i="2" s="1"/>
  <c r="AI1400" i="2"/>
  <c r="AJ1400" i="2" s="1"/>
  <c r="AI1336" i="2"/>
  <c r="AJ1336" i="2" s="1"/>
  <c r="AI1195" i="2"/>
  <c r="AJ1195" i="2" s="1"/>
  <c r="AI1025" i="2"/>
  <c r="AJ1025" i="2" s="1"/>
  <c r="AI794" i="2"/>
  <c r="AJ794" i="2" s="1"/>
  <c r="AI516" i="2"/>
  <c r="AJ516" i="2" s="1"/>
  <c r="AI287" i="2"/>
  <c r="AJ287" i="2" s="1"/>
  <c r="AI113" i="2"/>
  <c r="AJ113" i="2" s="1"/>
  <c r="AI1334" i="2"/>
  <c r="AJ1334" i="2" s="1"/>
  <c r="AI1194" i="2"/>
  <c r="AJ1194" i="2" s="1"/>
  <c r="AI1024" i="2"/>
  <c r="AJ1024" i="2" s="1"/>
  <c r="AI784" i="2"/>
  <c r="AJ784" i="2" s="1"/>
  <c r="AI515" i="2"/>
  <c r="AJ515" i="2" s="1"/>
  <c r="AI286" i="2"/>
  <c r="AJ286" i="2" s="1"/>
  <c r="AI97" i="2"/>
  <c r="AJ97" i="2" s="1"/>
  <c r="AI54" i="2"/>
  <c r="AJ54" i="2" s="1"/>
  <c r="AI626" i="2"/>
  <c r="AJ626" i="2" s="1"/>
  <c r="AI98" i="2"/>
  <c r="AJ98" i="2" s="1"/>
  <c r="AI1466" i="2"/>
  <c r="AJ1466" i="2" s="1"/>
  <c r="AI1371" i="2"/>
  <c r="AJ1371" i="2" s="1"/>
  <c r="AI1278" i="2"/>
  <c r="AJ1278" i="2" s="1"/>
  <c r="AI1040" i="2"/>
  <c r="AJ1040" i="2" s="1"/>
  <c r="AI909" i="2"/>
  <c r="AJ909" i="2" s="1"/>
  <c r="AI624" i="2"/>
  <c r="AJ624" i="2" s="1"/>
  <c r="AI472" i="2"/>
  <c r="AJ472" i="2" s="1"/>
  <c r="AI340" i="2"/>
  <c r="AJ340" i="2" s="1"/>
  <c r="AI1308" i="2"/>
  <c r="AJ1308" i="2" s="1"/>
  <c r="AI96" i="2"/>
  <c r="AJ96" i="2" s="1"/>
  <c r="AI486" i="2"/>
  <c r="AJ486" i="2" s="1"/>
  <c r="AI154" i="2"/>
  <c r="AJ154" i="2" s="1"/>
  <c r="AI1316" i="2"/>
  <c r="AJ1316" i="2" s="1"/>
  <c r="AI953" i="2"/>
  <c r="AJ953" i="2" s="1"/>
  <c r="AI667" i="2"/>
  <c r="AJ667" i="2" s="1"/>
  <c r="AI153" i="2"/>
  <c r="AJ153" i="2" s="1"/>
  <c r="AI952" i="2"/>
  <c r="AJ952" i="2" s="1"/>
  <c r="AI812" i="2"/>
  <c r="AJ812" i="2" s="1"/>
  <c r="AI380" i="2"/>
  <c r="AJ380" i="2" s="1"/>
  <c r="AI1464" i="2"/>
  <c r="AJ1464" i="2" s="1"/>
  <c r="AI1435" i="2"/>
  <c r="AJ1435" i="2" s="1"/>
  <c r="AI1398" i="2"/>
  <c r="AJ1398" i="2" s="1"/>
  <c r="AI1238" i="2"/>
  <c r="AJ1238" i="2" s="1"/>
  <c r="AI1206" i="2"/>
  <c r="AJ1206" i="2" s="1"/>
  <c r="AI992" i="2"/>
  <c r="AJ992" i="2" s="1"/>
  <c r="AI949" i="2"/>
  <c r="AJ949" i="2" s="1"/>
  <c r="AI852" i="2"/>
  <c r="AJ852" i="2" s="1"/>
  <c r="AI756" i="2"/>
  <c r="AJ756" i="2" s="1"/>
  <c r="AI707" i="2"/>
  <c r="AJ707" i="2" s="1"/>
  <c r="AI664" i="2"/>
  <c r="AJ664" i="2" s="1"/>
  <c r="AI566" i="2"/>
  <c r="AJ566" i="2" s="1"/>
  <c r="AI469" i="2"/>
  <c r="AJ469" i="2" s="1"/>
  <c r="AI378" i="2"/>
  <c r="AJ378" i="2" s="1"/>
  <c r="AI337" i="2"/>
  <c r="AJ337" i="2" s="1"/>
  <c r="AI284" i="2"/>
  <c r="AJ284" i="2" s="1"/>
  <c r="AI1463" i="2"/>
  <c r="AJ1463" i="2" s="1"/>
  <c r="AI1396" i="2"/>
  <c r="AJ1396" i="2" s="1"/>
  <c r="AI1360" i="2"/>
  <c r="AJ1360" i="2" s="1"/>
  <c r="AI1333" i="2"/>
  <c r="AJ1333" i="2" s="1"/>
  <c r="AI1303" i="2"/>
  <c r="AJ1303" i="2" s="1"/>
  <c r="AI1273" i="2"/>
  <c r="AJ1273" i="2" s="1"/>
  <c r="AI1234" i="2"/>
  <c r="AJ1234" i="2" s="1"/>
  <c r="AI1203" i="2"/>
  <c r="AJ1203" i="2" s="1"/>
  <c r="AI1159" i="2"/>
  <c r="AJ1159" i="2" s="1"/>
  <c r="AI1116" i="2"/>
  <c r="AJ1116" i="2" s="1"/>
  <c r="AI1075" i="2"/>
  <c r="AJ1075" i="2" s="1"/>
  <c r="AI1028" i="2"/>
  <c r="AJ1028" i="2" s="1"/>
  <c r="AI983" i="2"/>
  <c r="AJ983" i="2" s="1"/>
  <c r="AI944" i="2"/>
  <c r="AJ944" i="2" s="1"/>
  <c r="AI892" i="2"/>
  <c r="AJ892" i="2" s="1"/>
  <c r="AI851" i="2"/>
  <c r="AJ851" i="2" s="1"/>
  <c r="AI796" i="2"/>
  <c r="AJ796" i="2" s="1"/>
  <c r="AI755" i="2"/>
  <c r="AJ755" i="2" s="1"/>
  <c r="AI700" i="2"/>
  <c r="AJ700" i="2" s="1"/>
  <c r="AI659" i="2"/>
  <c r="AJ659" i="2" s="1"/>
  <c r="AI608" i="2"/>
  <c r="AJ608" i="2" s="1"/>
  <c r="AI556" i="2"/>
  <c r="AJ556" i="2" s="1"/>
  <c r="AI509" i="2"/>
  <c r="AJ509" i="2" s="1"/>
  <c r="AI468" i="2"/>
  <c r="AJ468" i="2" s="1"/>
  <c r="AI415" i="2"/>
  <c r="AJ415" i="2" s="1"/>
  <c r="AI373" i="2"/>
  <c r="AJ373" i="2" s="1"/>
  <c r="AI323" i="2"/>
  <c r="AJ323" i="2" s="1"/>
  <c r="AI283" i="2"/>
  <c r="AJ283" i="2" s="1"/>
  <c r="AI228" i="2"/>
  <c r="AJ228" i="2" s="1"/>
  <c r="AI187" i="2"/>
  <c r="AJ187" i="2" s="1"/>
  <c r="AI130" i="2"/>
  <c r="AJ130" i="2" s="1"/>
  <c r="AI93" i="2"/>
  <c r="AJ93" i="2" s="1"/>
  <c r="AI38" i="2"/>
  <c r="AJ38" i="2" s="1"/>
  <c r="AI1454" i="2"/>
  <c r="AJ1454" i="2" s="1"/>
  <c r="AI1330" i="2"/>
  <c r="AJ1330" i="2" s="1"/>
  <c r="AI886" i="2"/>
  <c r="AJ886" i="2" s="1"/>
  <c r="AI838" i="2"/>
  <c r="AJ838" i="2" s="1"/>
  <c r="AI793" i="2"/>
  <c r="AJ793" i="2" s="1"/>
  <c r="AI697" i="2"/>
  <c r="AJ697" i="2" s="1"/>
  <c r="AI497" i="2"/>
  <c r="AJ497" i="2" s="1"/>
  <c r="AI365" i="2"/>
  <c r="AJ365" i="2" s="1"/>
  <c r="AI321" i="2"/>
  <c r="AJ321" i="2" s="1"/>
  <c r="AI1453" i="2"/>
  <c r="AJ1453" i="2" s="1"/>
  <c r="AI1357" i="2"/>
  <c r="AJ1357" i="2" s="1"/>
  <c r="AI1329" i="2"/>
  <c r="AJ1329" i="2" s="1"/>
  <c r="AI1294" i="2"/>
  <c r="AJ1294" i="2" s="1"/>
  <c r="AI1191" i="2"/>
  <c r="AJ1191" i="2" s="1"/>
  <c r="AI1063" i="2"/>
  <c r="AJ1063" i="2" s="1"/>
  <c r="AI972" i="2"/>
  <c r="AJ972" i="2" s="1"/>
  <c r="AI881" i="2"/>
  <c r="AJ881" i="2" s="1"/>
  <c r="AI550" i="2"/>
  <c r="AJ550" i="2" s="1"/>
  <c r="AI496" i="2"/>
  <c r="AJ496" i="2" s="1"/>
  <c r="AI364" i="2"/>
  <c r="AJ364" i="2" s="1"/>
  <c r="AI35" i="2"/>
  <c r="AJ35" i="2" s="1"/>
  <c r="AI1449" i="2"/>
  <c r="AJ1449" i="2" s="1"/>
  <c r="AI1415" i="2"/>
  <c r="AJ1415" i="2" s="1"/>
  <c r="AI1383" i="2"/>
  <c r="AJ1383" i="2" s="1"/>
  <c r="AI1356" i="2"/>
  <c r="AJ1356" i="2" s="1"/>
  <c r="AI1320" i="2"/>
  <c r="AJ1320" i="2" s="1"/>
  <c r="AI1293" i="2"/>
  <c r="AJ1293" i="2" s="1"/>
  <c r="AI1259" i="2"/>
  <c r="AJ1259" i="2" s="1"/>
  <c r="AI1223" i="2"/>
  <c r="AJ1223" i="2" s="1"/>
  <c r="AI1179" i="2"/>
  <c r="AJ1179" i="2" s="1"/>
  <c r="AI1147" i="2"/>
  <c r="AJ1147" i="2" s="1"/>
  <c r="AI1100" i="2"/>
  <c r="AJ1100" i="2" s="1"/>
  <c r="AI1062" i="2"/>
  <c r="AJ1062" i="2" s="1"/>
  <c r="AI1012" i="2"/>
  <c r="AJ1012" i="2" s="1"/>
  <c r="AI970" i="2"/>
  <c r="AJ970" i="2" s="1"/>
  <c r="AI916" i="2"/>
  <c r="AJ916" i="2" s="1"/>
  <c r="AI878" i="2"/>
  <c r="AJ878" i="2" s="1"/>
  <c r="AI823" i="2"/>
  <c r="AJ823" i="2" s="1"/>
  <c r="AI782" i="2"/>
  <c r="AJ782" i="2" s="1"/>
  <c r="AI727" i="2"/>
  <c r="AJ727" i="2" s="1"/>
  <c r="AI686" i="2"/>
  <c r="AJ686" i="2" s="1"/>
  <c r="AI640" i="2"/>
  <c r="AJ640" i="2" s="1"/>
  <c r="AI593" i="2"/>
  <c r="AJ593" i="2" s="1"/>
  <c r="AI536" i="2"/>
  <c r="AJ536" i="2" s="1"/>
  <c r="AI494" i="2"/>
  <c r="AJ494" i="2" s="1"/>
  <c r="AI441" i="2"/>
  <c r="AJ441" i="2" s="1"/>
  <c r="AI401" i="2"/>
  <c r="AJ401" i="2" s="1"/>
  <c r="AI355" i="2"/>
  <c r="AJ355" i="2" s="1"/>
  <c r="AI309" i="2"/>
  <c r="AJ309" i="2" s="1"/>
  <c r="AI263" i="2"/>
  <c r="AJ263" i="2" s="1"/>
  <c r="AI223" i="2"/>
  <c r="AJ223" i="2" s="1"/>
  <c r="AI167" i="2"/>
  <c r="AJ167" i="2" s="1"/>
  <c r="AI126" i="2"/>
  <c r="AJ126" i="2" s="1"/>
  <c r="AI71" i="2"/>
  <c r="AJ71" i="2" s="1"/>
  <c r="AI22" i="2"/>
  <c r="AJ22" i="2" s="1"/>
  <c r="AI1287" i="2"/>
  <c r="AJ1287" i="2" s="1"/>
  <c r="AI1049" i="2"/>
  <c r="AJ1049" i="2" s="1"/>
  <c r="AI966" i="2"/>
  <c r="AJ966" i="2" s="1"/>
  <c r="AI778" i="2"/>
  <c r="AJ778" i="2" s="1"/>
  <c r="AI681" i="2"/>
  <c r="AJ681" i="2" s="1"/>
  <c r="AI529" i="2"/>
  <c r="AJ529" i="2" s="1"/>
  <c r="AI1342" i="2"/>
  <c r="AJ1342" i="2" s="1"/>
  <c r="AI1249" i="2"/>
  <c r="AJ1249" i="2" s="1"/>
  <c r="AI1128" i="2"/>
  <c r="AJ1128" i="2" s="1"/>
  <c r="AI721" i="2"/>
  <c r="AJ721" i="2" s="1"/>
  <c r="AI569" i="2"/>
  <c r="AJ569" i="2" s="1"/>
  <c r="AI1436" i="2"/>
  <c r="AJ1436" i="2" s="1"/>
  <c r="AI1164" i="2"/>
  <c r="AJ1164" i="2" s="1"/>
  <c r="AI1155" i="2"/>
  <c r="AJ1155" i="2" s="1"/>
  <c r="AI88" i="2"/>
  <c r="AJ88" i="2" s="1"/>
  <c r="AI1448" i="2"/>
  <c r="AJ1448" i="2" s="1"/>
  <c r="AI1413" i="2"/>
  <c r="AJ1413" i="2" s="1"/>
  <c r="AI1382" i="2"/>
  <c r="AJ1382" i="2" s="1"/>
  <c r="AI1348" i="2"/>
  <c r="AJ1348" i="2" s="1"/>
  <c r="AI1319" i="2"/>
  <c r="AJ1319" i="2" s="1"/>
  <c r="AI1291" i="2"/>
  <c r="AJ1291" i="2" s="1"/>
  <c r="AI1254" i="2"/>
  <c r="AJ1254" i="2" s="1"/>
  <c r="AI1221" i="2"/>
  <c r="AJ1221" i="2" s="1"/>
  <c r="AI1178" i="2"/>
  <c r="AJ1178" i="2" s="1"/>
  <c r="AI1142" i="2"/>
  <c r="AJ1142" i="2" s="1"/>
  <c r="AI1099" i="2"/>
  <c r="AJ1099" i="2" s="1"/>
  <c r="AI1060" i="2"/>
  <c r="AJ1060" i="2" s="1"/>
  <c r="AI1009" i="2"/>
  <c r="AJ1009" i="2" s="1"/>
  <c r="AI968" i="2"/>
  <c r="AJ968" i="2" s="1"/>
  <c r="AI914" i="2"/>
  <c r="AJ914" i="2" s="1"/>
  <c r="AI873" i="2"/>
  <c r="AJ873" i="2" s="1"/>
  <c r="AI822" i="2"/>
  <c r="AJ822" i="2" s="1"/>
  <c r="AI780" i="2"/>
  <c r="AJ780" i="2" s="1"/>
  <c r="AI726" i="2"/>
  <c r="AJ726" i="2" s="1"/>
  <c r="AI684" i="2"/>
  <c r="AJ684" i="2" s="1"/>
  <c r="AI630" i="2"/>
  <c r="AJ630" i="2" s="1"/>
  <c r="AI586" i="2"/>
  <c r="AJ586" i="2" s="1"/>
  <c r="AI535" i="2"/>
  <c r="AJ535" i="2" s="1"/>
  <c r="AI492" i="2"/>
  <c r="AJ492" i="2" s="1"/>
  <c r="AI440" i="2"/>
  <c r="AJ440" i="2" s="1"/>
  <c r="AI398" i="2"/>
  <c r="AJ398" i="2" s="1"/>
  <c r="AI354" i="2"/>
  <c r="AJ354" i="2" s="1"/>
  <c r="AI307" i="2"/>
  <c r="AJ307" i="2" s="1"/>
  <c r="AI259" i="2"/>
  <c r="AJ259" i="2" s="1"/>
  <c r="AI211" i="2"/>
  <c r="AJ211" i="2" s="1"/>
  <c r="AI166" i="2"/>
  <c r="AJ166" i="2" s="1"/>
  <c r="AI115" i="2"/>
  <c r="AJ115" i="2" s="1"/>
  <c r="AI70" i="2"/>
  <c r="AJ70" i="2" s="1"/>
  <c r="AI21" i="2"/>
  <c r="AJ21" i="2" s="1"/>
  <c r="AI1440" i="2"/>
  <c r="AJ1440" i="2" s="1"/>
  <c r="AI1335" i="2"/>
  <c r="AJ1335" i="2" s="1"/>
  <c r="AI1126" i="2"/>
  <c r="AJ1126" i="2" s="1"/>
  <c r="AI993" i="2"/>
  <c r="AJ993" i="2" s="1"/>
  <c r="AI757" i="2"/>
  <c r="AJ757" i="2" s="1"/>
  <c r="AI708" i="2"/>
  <c r="AJ708" i="2" s="1"/>
  <c r="AI623" i="2"/>
  <c r="AJ623" i="2" s="1"/>
  <c r="AI568" i="2"/>
  <c r="AJ568" i="2" s="1"/>
  <c r="AI429" i="2"/>
  <c r="AJ429" i="2" s="1"/>
  <c r="AI1394" i="2"/>
  <c r="AJ1394" i="2" s="1"/>
  <c r="AI1065" i="2"/>
  <c r="AJ1065" i="2" s="1"/>
  <c r="AI982" i="2"/>
  <c r="AJ982" i="2" s="1"/>
  <c r="AI887" i="2"/>
  <c r="AJ887" i="2" s="1"/>
  <c r="AI743" i="2"/>
  <c r="AJ743" i="2" s="1"/>
  <c r="AI650" i="2"/>
  <c r="AJ650" i="2" s="1"/>
  <c r="AI498" i="2"/>
  <c r="AJ498" i="2" s="1"/>
  <c r="AI322" i="2"/>
  <c r="AJ322" i="2" s="1"/>
  <c r="AI184" i="2"/>
  <c r="AJ184" i="2" s="1"/>
  <c r="AI129" i="2"/>
  <c r="AJ129" i="2" s="1"/>
  <c r="AI1358" i="2"/>
  <c r="AJ1358" i="2" s="1"/>
  <c r="AI1441" i="2"/>
  <c r="AJ1441" i="2" s="1"/>
  <c r="AI1412" i="2"/>
  <c r="AJ1412" i="2" s="1"/>
  <c r="AI1376" i="2"/>
  <c r="AJ1376" i="2" s="1"/>
  <c r="AI1347" i="2"/>
  <c r="AJ1347" i="2" s="1"/>
  <c r="AI1318" i="2"/>
  <c r="AJ1318" i="2" s="1"/>
  <c r="AI1290" i="2"/>
  <c r="AJ1290" i="2" s="1"/>
  <c r="AI1251" i="2"/>
  <c r="AJ1251" i="2" s="1"/>
  <c r="AI1220" i="2"/>
  <c r="AJ1220" i="2" s="1"/>
  <c r="AI1177" i="2"/>
  <c r="AJ1177" i="2" s="1"/>
  <c r="AI1141" i="2"/>
  <c r="AJ1141" i="2" s="1"/>
  <c r="AI1094" i="2"/>
  <c r="AJ1094" i="2" s="1"/>
  <c r="AI1055" i="2"/>
  <c r="AJ1055" i="2" s="1"/>
  <c r="AI1008" i="2"/>
  <c r="AJ1008" i="2" s="1"/>
  <c r="AI967" i="2"/>
  <c r="AJ967" i="2" s="1"/>
  <c r="AI913" i="2"/>
  <c r="AJ913" i="2" s="1"/>
  <c r="AI872" i="2"/>
  <c r="AJ872" i="2" s="1"/>
  <c r="AI821" i="2"/>
  <c r="AJ821" i="2" s="1"/>
  <c r="AI779" i="2"/>
  <c r="AJ779" i="2" s="1"/>
  <c r="AI725" i="2"/>
  <c r="AJ725" i="2" s="1"/>
  <c r="AI682" i="2"/>
  <c r="AJ682" i="2" s="1"/>
  <c r="AI629" i="2"/>
  <c r="AJ629" i="2" s="1"/>
  <c r="AI585" i="2"/>
  <c r="AJ585" i="2" s="1"/>
  <c r="AI530" i="2"/>
  <c r="AJ530" i="2" s="1"/>
  <c r="AI488" i="2"/>
  <c r="AJ488" i="2" s="1"/>
  <c r="AI439" i="2"/>
  <c r="AJ439" i="2" s="1"/>
  <c r="AI397" i="2"/>
  <c r="AJ397" i="2" s="1"/>
  <c r="AI345" i="2"/>
  <c r="AJ345" i="2" s="1"/>
  <c r="AI301" i="2"/>
  <c r="AJ301" i="2" s="1"/>
  <c r="AI252" i="2"/>
  <c r="AJ252" i="2" s="1"/>
  <c r="AI210" i="2"/>
  <c r="AJ210" i="2" s="1"/>
  <c r="AI155" i="2"/>
  <c r="AJ155" i="2" s="1"/>
  <c r="AI114" i="2"/>
  <c r="AJ114" i="2" s="1"/>
  <c r="AI59" i="2"/>
  <c r="AJ59" i="2" s="1"/>
  <c r="AI17" i="2"/>
  <c r="AJ17" i="2" s="1"/>
  <c r="AI31" i="2"/>
  <c r="AJ31" i="2" s="1"/>
  <c r="AI1462" i="2"/>
  <c r="AJ1462" i="2" s="1"/>
  <c r="AI1438" i="2"/>
  <c r="AJ1438" i="2" s="1"/>
  <c r="AI1414" i="2"/>
  <c r="AJ1414" i="2" s="1"/>
  <c r="AI1395" i="2"/>
  <c r="AJ1395" i="2" s="1"/>
  <c r="AI1372" i="2"/>
  <c r="AJ1372" i="2" s="1"/>
  <c r="AI1350" i="2"/>
  <c r="AJ1350" i="2" s="1"/>
  <c r="AI1332" i="2"/>
  <c r="AJ1332" i="2" s="1"/>
  <c r="AI1310" i="2"/>
  <c r="AJ1310" i="2" s="1"/>
  <c r="AI1292" i="2"/>
  <c r="AJ1292" i="2" s="1"/>
  <c r="AI1268" i="2"/>
  <c r="AJ1268" i="2" s="1"/>
  <c r="AI1248" i="2"/>
  <c r="AJ1248" i="2" s="1"/>
  <c r="AI1222" i="2"/>
  <c r="AJ1222" i="2" s="1"/>
  <c r="AI1196" i="2"/>
  <c r="AJ1196" i="2" s="1"/>
  <c r="AI1174" i="2"/>
  <c r="AJ1174" i="2" s="1"/>
  <c r="AI1143" i="2"/>
  <c r="AJ1143" i="2" s="1"/>
  <c r="AI1115" i="2"/>
  <c r="AJ1115" i="2" s="1"/>
  <c r="AI1091" i="2"/>
  <c r="AJ1091" i="2" s="1"/>
  <c r="AI1061" i="2"/>
  <c r="AJ1061" i="2" s="1"/>
  <c r="AI1027" i="2"/>
  <c r="AJ1027" i="2" s="1"/>
  <c r="AI1002" i="2"/>
  <c r="AJ1002" i="2" s="1"/>
  <c r="AI969" i="2"/>
  <c r="AJ969" i="2" s="1"/>
  <c r="AI937" i="2"/>
  <c r="AJ937" i="2" s="1"/>
  <c r="AI910" i="2"/>
  <c r="AJ910" i="2" s="1"/>
  <c r="AI877" i="2"/>
  <c r="AJ877" i="2" s="1"/>
  <c r="AI841" i="2"/>
  <c r="AJ841" i="2" s="1"/>
  <c r="AI813" i="2"/>
  <c r="AJ813" i="2" s="1"/>
  <c r="AI781" i="2"/>
  <c r="AJ781" i="2" s="1"/>
  <c r="AI744" i="2"/>
  <c r="AJ744" i="2" s="1"/>
  <c r="AI720" i="2"/>
  <c r="AJ720" i="2" s="1"/>
  <c r="AI685" i="2"/>
  <c r="AJ685" i="2" s="1"/>
  <c r="AI652" i="2"/>
  <c r="AJ652" i="2" s="1"/>
  <c r="AI625" i="2"/>
  <c r="AJ625" i="2" s="1"/>
  <c r="AI587" i="2"/>
  <c r="AJ587" i="2" s="1"/>
  <c r="AI554" i="2"/>
  <c r="AJ554" i="2" s="1"/>
  <c r="AI527" i="2"/>
  <c r="AJ527" i="2" s="1"/>
  <c r="AI493" i="2"/>
  <c r="AJ493" i="2" s="1"/>
  <c r="AI458" i="2"/>
  <c r="AJ458" i="2" s="1"/>
  <c r="AI436" i="2"/>
  <c r="AJ436" i="2" s="1"/>
  <c r="AI400" i="2"/>
  <c r="AJ400" i="2" s="1"/>
  <c r="AI372" i="2"/>
  <c r="AJ372" i="2" s="1"/>
  <c r="AI341" i="2"/>
  <c r="AJ341" i="2" s="1"/>
  <c r="AI308" i="2"/>
  <c r="AJ308" i="2" s="1"/>
  <c r="AI282" i="2"/>
  <c r="AJ282" i="2" s="1"/>
  <c r="AI245" i="2"/>
  <c r="AJ245" i="2" s="1"/>
  <c r="AI213" i="2"/>
  <c r="AJ213" i="2" s="1"/>
  <c r="AI185" i="2"/>
  <c r="AJ185" i="2" s="1"/>
  <c r="AI152" i="2"/>
  <c r="AJ152" i="2" s="1"/>
  <c r="AI116" i="2"/>
  <c r="AJ116" i="2" s="1"/>
  <c r="AI92" i="2"/>
  <c r="AJ92" i="2" s="1"/>
  <c r="AI56" i="2"/>
  <c r="AJ56" i="2" s="1"/>
  <c r="AI23" i="2"/>
  <c r="AJ23" i="2" s="1"/>
  <c r="AI1452" i="2"/>
  <c r="AJ1452" i="2" s="1"/>
  <c r="AI1428" i="2"/>
  <c r="AJ1428" i="2" s="1"/>
  <c r="AI1410" i="2"/>
  <c r="AJ1410" i="2" s="1"/>
  <c r="AI1387" i="2"/>
  <c r="AJ1387" i="2" s="1"/>
  <c r="AI1368" i="2"/>
  <c r="AJ1368" i="2" s="1"/>
  <c r="AI1345" i="2"/>
  <c r="AJ1345" i="2" s="1"/>
  <c r="AI1323" i="2"/>
  <c r="AJ1323" i="2" s="1"/>
  <c r="AI1306" i="2"/>
  <c r="AJ1306" i="2" s="1"/>
  <c r="AI1282" i="2"/>
  <c r="AJ1282" i="2" s="1"/>
  <c r="AI1262" i="2"/>
  <c r="AJ1262" i="2" s="1"/>
  <c r="AI1237" i="2"/>
  <c r="AJ1237" i="2" s="1"/>
  <c r="AI1218" i="2"/>
  <c r="AJ1218" i="2" s="1"/>
  <c r="AI1190" i="2"/>
  <c r="AJ1190" i="2" s="1"/>
  <c r="AI1162" i="2"/>
  <c r="AJ1162" i="2" s="1"/>
  <c r="AI1131" i="2"/>
  <c r="AJ1131" i="2" s="1"/>
  <c r="AI1111" i="2"/>
  <c r="AJ1111" i="2" s="1"/>
  <c r="AI1078" i="2"/>
  <c r="AJ1078" i="2" s="1"/>
  <c r="AI1048" i="2"/>
  <c r="AJ1048" i="2" s="1"/>
  <c r="AI1022" i="2"/>
  <c r="AJ1022" i="2" s="1"/>
  <c r="AI988" i="2"/>
  <c r="AJ988" i="2" s="1"/>
  <c r="AI965" i="2"/>
  <c r="AJ965" i="2" s="1"/>
  <c r="AI929" i="2"/>
  <c r="AJ929" i="2" s="1"/>
  <c r="AI896" i="2"/>
  <c r="AJ896" i="2" s="1"/>
  <c r="AI870" i="2"/>
  <c r="AJ870" i="2" s="1"/>
  <c r="AI836" i="2"/>
  <c r="AJ836" i="2" s="1"/>
  <c r="AI799" i="2"/>
  <c r="AJ799" i="2" s="1"/>
  <c r="AI773" i="2"/>
  <c r="AJ773" i="2" s="1"/>
  <c r="AI740" i="2"/>
  <c r="AJ740" i="2" s="1"/>
  <c r="AI706" i="2"/>
  <c r="AJ706" i="2" s="1"/>
  <c r="AI680" i="2"/>
  <c r="AJ680" i="2" s="1"/>
  <c r="AI643" i="2"/>
  <c r="AJ643" i="2" s="1"/>
  <c r="AI611" i="2"/>
  <c r="AJ611" i="2" s="1"/>
  <c r="AI573" i="2"/>
  <c r="AJ573" i="2" s="1"/>
  <c r="AI549" i="2"/>
  <c r="AJ549" i="2" s="1"/>
  <c r="AI512" i="2"/>
  <c r="AJ512" i="2" s="1"/>
  <c r="AI480" i="2"/>
  <c r="AJ480" i="2" s="1"/>
  <c r="AI454" i="2"/>
  <c r="AJ454" i="2" s="1"/>
  <c r="AI422" i="2"/>
  <c r="AJ422" i="2" s="1"/>
  <c r="AI394" i="2"/>
  <c r="AJ394" i="2" s="1"/>
  <c r="AI359" i="2"/>
  <c r="AJ359" i="2" s="1"/>
  <c r="AI326" i="2"/>
  <c r="AJ326" i="2" s="1"/>
  <c r="AI299" i="2"/>
  <c r="AJ299" i="2" s="1"/>
  <c r="AI268" i="2"/>
  <c r="AJ268" i="2" s="1"/>
  <c r="AI240" i="2"/>
  <c r="AJ240" i="2" s="1"/>
  <c r="AI208" i="2"/>
  <c r="AJ208" i="2" s="1"/>
  <c r="AI170" i="2"/>
  <c r="AJ170" i="2" s="1"/>
  <c r="AI138" i="2"/>
  <c r="AJ138" i="2" s="1"/>
  <c r="AI112" i="2"/>
  <c r="AJ112" i="2" s="1"/>
  <c r="AI78" i="2"/>
  <c r="AJ78" i="2" s="1"/>
  <c r="AI50" i="2"/>
  <c r="AJ50" i="2" s="1"/>
  <c r="AI14" i="2"/>
  <c r="AJ14" i="2" s="1"/>
  <c r="AI1451" i="2"/>
  <c r="AJ1451" i="2" s="1"/>
  <c r="AI1427" i="2"/>
  <c r="AJ1427" i="2" s="1"/>
  <c r="AI1408" i="2"/>
  <c r="AJ1408" i="2" s="1"/>
  <c r="AI1386" i="2"/>
  <c r="AJ1386" i="2" s="1"/>
  <c r="AI1363" i="2"/>
  <c r="AJ1363" i="2" s="1"/>
  <c r="AI1344" i="2"/>
  <c r="AJ1344" i="2" s="1"/>
  <c r="AI1322" i="2"/>
  <c r="AJ1322" i="2" s="1"/>
  <c r="AI1305" i="2"/>
  <c r="AJ1305" i="2" s="1"/>
  <c r="AI1281" i="2"/>
  <c r="AJ1281" i="2" s="1"/>
  <c r="AI1261" i="2"/>
  <c r="AJ1261" i="2" s="1"/>
  <c r="AI1236" i="2"/>
  <c r="AJ1236" i="2" s="1"/>
  <c r="AI1215" i="2"/>
  <c r="AJ1215" i="2" s="1"/>
  <c r="AI1189" i="2"/>
  <c r="AJ1189" i="2" s="1"/>
  <c r="AI1161" i="2"/>
  <c r="AJ1161" i="2" s="1"/>
  <c r="AI1130" i="2"/>
  <c r="AJ1130" i="2" s="1"/>
  <c r="AI1107" i="2"/>
  <c r="AJ1107" i="2" s="1"/>
  <c r="AI1077" i="2"/>
  <c r="AJ1077" i="2" s="1"/>
  <c r="AI1046" i="2"/>
  <c r="AJ1046" i="2" s="1"/>
  <c r="AI1021" i="2"/>
  <c r="AJ1021" i="2" s="1"/>
  <c r="AI986" i="2"/>
  <c r="AJ986" i="2" s="1"/>
  <c r="AI955" i="2"/>
  <c r="AJ955" i="2" s="1"/>
  <c r="AI928" i="2"/>
  <c r="AJ928" i="2" s="1"/>
  <c r="AI895" i="2"/>
  <c r="AJ895" i="2" s="1"/>
  <c r="AI859" i="2"/>
  <c r="AJ859" i="2" s="1"/>
  <c r="AI835" i="2"/>
  <c r="AJ835" i="2" s="1"/>
  <c r="AI798" i="2"/>
  <c r="AJ798" i="2" s="1"/>
  <c r="AI766" i="2"/>
  <c r="AJ766" i="2" s="1"/>
  <c r="AI739" i="2"/>
  <c r="AJ739" i="2" s="1"/>
  <c r="AI702" i="2"/>
  <c r="AJ702" i="2" s="1"/>
  <c r="AI669" i="2"/>
  <c r="AJ669" i="2" s="1"/>
  <c r="AI642" i="2"/>
  <c r="AJ642" i="2" s="1"/>
  <c r="AI610" i="2"/>
  <c r="AJ610" i="2" s="1"/>
  <c r="AI572" i="2"/>
  <c r="AJ572" i="2" s="1"/>
  <c r="AI545" i="2"/>
  <c r="AJ545" i="2" s="1"/>
  <c r="AI511" i="2"/>
  <c r="AJ511" i="2" s="1"/>
  <c r="AI479" i="2"/>
  <c r="AJ479" i="2" s="1"/>
  <c r="AI453" i="2"/>
  <c r="AJ453" i="2" s="1"/>
  <c r="AI420" i="2"/>
  <c r="AJ420" i="2" s="1"/>
  <c r="AI384" i="2"/>
  <c r="AJ384" i="2" s="1"/>
  <c r="AI358" i="2"/>
  <c r="AJ358" i="2" s="1"/>
  <c r="AI325" i="2"/>
  <c r="AJ325" i="2" s="1"/>
  <c r="AI298" i="2"/>
  <c r="AJ298" i="2" s="1"/>
  <c r="AI266" i="2"/>
  <c r="AJ266" i="2" s="1"/>
  <c r="AI230" i="2"/>
  <c r="AJ230" i="2" s="1"/>
  <c r="AI206" i="2"/>
  <c r="AJ206" i="2" s="1"/>
  <c r="AI169" i="2"/>
  <c r="AJ169" i="2" s="1"/>
  <c r="AI137" i="2"/>
  <c r="AJ137" i="2" s="1"/>
  <c r="AI110" i="2"/>
  <c r="AJ110" i="2" s="1"/>
  <c r="AI73" i="2"/>
  <c r="AJ73" i="2" s="1"/>
  <c r="AI41" i="2"/>
  <c r="AJ41" i="2" s="1"/>
  <c r="AI13" i="2"/>
  <c r="AJ13" i="2" s="1"/>
  <c r="AI1450" i="2"/>
  <c r="AJ1450" i="2" s="1"/>
  <c r="AI1426" i="2"/>
  <c r="AJ1426" i="2" s="1"/>
  <c r="AI1402" i="2"/>
  <c r="AJ1402" i="2" s="1"/>
  <c r="AI1384" i="2"/>
  <c r="AJ1384" i="2" s="1"/>
  <c r="AI1362" i="2"/>
  <c r="AJ1362" i="2" s="1"/>
  <c r="AI1343" i="2"/>
  <c r="AJ1343" i="2" s="1"/>
  <c r="AI1321" i="2"/>
  <c r="AJ1321" i="2" s="1"/>
  <c r="AI1304" i="2"/>
  <c r="AJ1304" i="2" s="1"/>
  <c r="AI1280" i="2"/>
  <c r="AJ1280" i="2" s="1"/>
  <c r="AI1260" i="2"/>
  <c r="AJ1260" i="2" s="1"/>
  <c r="AI1235" i="2"/>
  <c r="AJ1235" i="2" s="1"/>
  <c r="AI1210" i="2"/>
  <c r="AJ1210" i="2" s="1"/>
  <c r="AI1188" i="2"/>
  <c r="AJ1188" i="2" s="1"/>
  <c r="AI1160" i="2"/>
  <c r="AJ1160" i="2" s="1"/>
  <c r="AI1129" i="2"/>
  <c r="AJ1129" i="2" s="1"/>
  <c r="AI1101" i="2"/>
  <c r="AJ1101" i="2" s="1"/>
  <c r="AI1076" i="2"/>
  <c r="AJ1076" i="2" s="1"/>
  <c r="AI1042" i="2"/>
  <c r="AJ1042" i="2" s="1"/>
  <c r="AI1013" i="2"/>
  <c r="AJ1013" i="2" s="1"/>
  <c r="AI985" i="2"/>
  <c r="AJ985" i="2" s="1"/>
  <c r="AI954" i="2"/>
  <c r="AJ954" i="2" s="1"/>
  <c r="AI926" i="2"/>
  <c r="AJ926" i="2" s="1"/>
  <c r="AI894" i="2"/>
  <c r="AJ894" i="2" s="1"/>
  <c r="AI858" i="2"/>
  <c r="AJ858" i="2" s="1"/>
  <c r="AI830" i="2"/>
  <c r="AJ830" i="2" s="1"/>
  <c r="AI797" i="2"/>
  <c r="AJ797" i="2" s="1"/>
  <c r="AI765" i="2"/>
  <c r="AJ765" i="2" s="1"/>
  <c r="AI738" i="2"/>
  <c r="AJ738" i="2" s="1"/>
  <c r="AI701" i="2"/>
  <c r="AJ701" i="2" s="1"/>
  <c r="AI668" i="2"/>
  <c r="AJ668" i="2" s="1"/>
  <c r="AI641" i="2"/>
  <c r="AJ641" i="2" s="1"/>
  <c r="AI609" i="2"/>
  <c r="AJ609" i="2" s="1"/>
  <c r="AI571" i="2"/>
  <c r="AJ571" i="2" s="1"/>
  <c r="AI537" i="2"/>
  <c r="AJ537" i="2" s="1"/>
  <c r="AI510" i="2"/>
  <c r="AJ510" i="2" s="1"/>
  <c r="AI478" i="2"/>
  <c r="AJ478" i="2" s="1"/>
  <c r="AI452" i="2"/>
  <c r="AJ452" i="2" s="1"/>
  <c r="AI416" i="2"/>
  <c r="AJ416" i="2" s="1"/>
  <c r="AI383" i="2"/>
  <c r="AJ383" i="2" s="1"/>
  <c r="AI357" i="2"/>
  <c r="AJ357" i="2" s="1"/>
  <c r="AI324" i="2"/>
  <c r="AJ324" i="2" s="1"/>
  <c r="AI297" i="2"/>
  <c r="AJ297" i="2" s="1"/>
  <c r="AI265" i="2"/>
  <c r="AJ265" i="2" s="1"/>
  <c r="AI229" i="2"/>
  <c r="AJ229" i="2" s="1"/>
  <c r="AI202" i="2"/>
  <c r="AJ202" i="2" s="1"/>
  <c r="AI168" i="2"/>
  <c r="AJ168" i="2" s="1"/>
  <c r="AI109" i="2"/>
  <c r="AJ109" i="2" s="1"/>
  <c r="AI72" i="2"/>
  <c r="AJ72" i="2" s="1"/>
  <c r="AI40" i="2"/>
  <c r="AJ40" i="2" s="1"/>
  <c r="AI12" i="2"/>
  <c r="AJ12" i="2" s="1"/>
  <c r="AI495" i="2"/>
  <c r="AJ495" i="2" s="1"/>
  <c r="AI615" i="2"/>
  <c r="AJ615" i="2" s="1"/>
  <c r="AI81" i="2"/>
  <c r="AJ81" i="2" s="1"/>
  <c r="AI107" i="2"/>
  <c r="AJ107" i="2" s="1"/>
  <c r="AI631" i="2"/>
  <c r="AJ631" i="2" s="1"/>
  <c r="AI657" i="2"/>
  <c r="AJ657" i="2" s="1"/>
  <c r="AI880" i="2"/>
  <c r="AJ880" i="2" s="1"/>
  <c r="AI945" i="2"/>
  <c r="AJ945" i="2" s="1"/>
  <c r="AI958" i="2"/>
  <c r="AJ958" i="2" s="1"/>
  <c r="AI1156" i="2"/>
  <c r="AJ1156" i="2" s="1"/>
  <c r="AI761" i="2"/>
  <c r="AJ761" i="2" s="1"/>
  <c r="AI1109" i="2"/>
  <c r="AJ1109" i="2" s="1"/>
  <c r="AI1325" i="2"/>
  <c r="AJ1325" i="2" s="1"/>
  <c r="AI1349" i="2"/>
  <c r="AJ1349" i="2" s="1"/>
  <c r="AI234" i="2"/>
  <c r="AJ234" i="2" s="1"/>
  <c r="AI791" i="2"/>
  <c r="AJ791" i="2" s="1"/>
  <c r="AI1098" i="2"/>
  <c r="AJ1098" i="2" s="1"/>
  <c r="AI601" i="2"/>
  <c r="AJ601" i="2" s="1"/>
  <c r="AI1460" i="2"/>
  <c r="AJ1460" i="2" s="1"/>
  <c r="AI1420" i="2"/>
  <c r="AJ1420" i="2" s="1"/>
  <c r="AI1381" i="2"/>
  <c r="AJ1381" i="2" s="1"/>
  <c r="AI1355" i="2"/>
  <c r="AJ1355" i="2" s="1"/>
  <c r="AI1245" i="2"/>
  <c r="AJ1245" i="2" s="1"/>
  <c r="AI1187" i="2"/>
  <c r="AJ1187" i="2" s="1"/>
  <c r="AI1154" i="2"/>
  <c r="AJ1154" i="2" s="1"/>
  <c r="AI1090" i="2"/>
  <c r="AJ1090" i="2" s="1"/>
  <c r="AI1054" i="2"/>
  <c r="AJ1054" i="2" s="1"/>
  <c r="AI943" i="2"/>
  <c r="AJ943" i="2" s="1"/>
  <c r="AI850" i="2"/>
  <c r="AJ850" i="2" s="1"/>
  <c r="AI811" i="2"/>
  <c r="AJ811" i="2" s="1"/>
  <c r="AI772" i="2"/>
  <c r="AJ772" i="2" s="1"/>
  <c r="AI754" i="2"/>
  <c r="AJ754" i="2" s="1"/>
  <c r="AI715" i="2"/>
  <c r="AJ715" i="2" s="1"/>
  <c r="AI679" i="2"/>
  <c r="AJ679" i="2" s="1"/>
  <c r="AI600" i="2"/>
  <c r="AJ600" i="2" s="1"/>
  <c r="AI564" i="2"/>
  <c r="AJ564" i="2" s="1"/>
  <c r="AI525" i="2"/>
  <c r="AJ525" i="2" s="1"/>
  <c r="AI451" i="2"/>
  <c r="AJ451" i="2" s="1"/>
  <c r="AI412" i="2"/>
  <c r="AJ412" i="2" s="1"/>
  <c r="AI258" i="2"/>
  <c r="AJ258" i="2" s="1"/>
  <c r="AI222" i="2"/>
  <c r="AJ222" i="2" s="1"/>
  <c r="AI11" i="2"/>
  <c r="AJ11" i="2" s="1"/>
  <c r="AI1459" i="2"/>
  <c r="AJ1459" i="2" s="1"/>
  <c r="AI1432" i="2"/>
  <c r="AJ1432" i="2" s="1"/>
  <c r="AI1406" i="2"/>
  <c r="AJ1406" i="2" s="1"/>
  <c r="AI1380" i="2"/>
  <c r="AJ1380" i="2" s="1"/>
  <c r="AI1354" i="2"/>
  <c r="AJ1354" i="2" s="1"/>
  <c r="AI1315" i="2"/>
  <c r="AJ1315" i="2" s="1"/>
  <c r="AI1286" i="2"/>
  <c r="AJ1286" i="2" s="1"/>
  <c r="AI1272" i="2"/>
  <c r="AJ1272" i="2" s="1"/>
  <c r="AI1244" i="2"/>
  <c r="AJ1244" i="2" s="1"/>
  <c r="AI1214" i="2"/>
  <c r="AJ1214" i="2" s="1"/>
  <c r="AI1186" i="2"/>
  <c r="AJ1186" i="2" s="1"/>
  <c r="AI1153" i="2"/>
  <c r="AJ1153" i="2" s="1"/>
  <c r="AI1123" i="2"/>
  <c r="AJ1123" i="2" s="1"/>
  <c r="AI1089" i="2"/>
  <c r="AJ1089" i="2" s="1"/>
  <c r="AI1053" i="2"/>
  <c r="AJ1053" i="2" s="1"/>
  <c r="AI1020" i="2"/>
  <c r="AJ1020" i="2" s="1"/>
  <c r="AI1000" i="2"/>
  <c r="AJ1000" i="2" s="1"/>
  <c r="AI964" i="2"/>
  <c r="AJ964" i="2" s="1"/>
  <c r="AI942" i="2"/>
  <c r="AJ942" i="2" s="1"/>
  <c r="AI907" i="2"/>
  <c r="AJ907" i="2" s="1"/>
  <c r="AI868" i="2"/>
  <c r="AJ868" i="2" s="1"/>
  <c r="AI828" i="2"/>
  <c r="AJ828" i="2" s="1"/>
  <c r="AI810" i="2"/>
  <c r="AJ810" i="2" s="1"/>
  <c r="AI770" i="2"/>
  <c r="AJ770" i="2" s="1"/>
  <c r="AI714" i="2"/>
  <c r="AJ714" i="2" s="1"/>
  <c r="AI678" i="2"/>
  <c r="AJ678" i="2" s="1"/>
  <c r="AI638" i="2"/>
  <c r="AJ638" i="2" s="1"/>
  <c r="AI599" i="2"/>
  <c r="AJ599" i="2" s="1"/>
  <c r="AI563" i="2"/>
  <c r="AJ563" i="2" s="1"/>
  <c r="AI542" i="2"/>
  <c r="AJ542" i="2" s="1"/>
  <c r="AI485" i="2"/>
  <c r="AJ485" i="2" s="1"/>
  <c r="AI450" i="2"/>
  <c r="AJ450" i="2" s="1"/>
  <c r="AI410" i="2"/>
  <c r="AJ410" i="2" s="1"/>
  <c r="AI371" i="2"/>
  <c r="AJ371" i="2" s="1"/>
  <c r="AI353" i="2"/>
  <c r="AJ353" i="2" s="1"/>
  <c r="AI313" i="2"/>
  <c r="AJ313" i="2" s="1"/>
  <c r="AI278" i="2"/>
  <c r="AJ278" i="2" s="1"/>
  <c r="AI239" i="2"/>
  <c r="AJ239" i="2" s="1"/>
  <c r="AI221" i="2"/>
  <c r="AJ221" i="2" s="1"/>
  <c r="AI181" i="2"/>
  <c r="AJ181" i="2" s="1"/>
  <c r="AI142" i="2"/>
  <c r="AJ142" i="2" s="1"/>
  <c r="AI67" i="2"/>
  <c r="AJ67" i="2" s="1"/>
  <c r="AI28" i="2"/>
  <c r="AJ28" i="2" s="1"/>
  <c r="AI1471" i="2"/>
  <c r="AJ1471" i="2" s="1"/>
  <c r="AI1458" i="2"/>
  <c r="AJ1458" i="2" s="1"/>
  <c r="AI1444" i="2"/>
  <c r="AJ1444" i="2" s="1"/>
  <c r="AI1431" i="2"/>
  <c r="AJ1431" i="2" s="1"/>
  <c r="AI1418" i="2"/>
  <c r="AJ1418" i="2" s="1"/>
  <c r="AI1405" i="2"/>
  <c r="AJ1405" i="2" s="1"/>
  <c r="AI1392" i="2"/>
  <c r="AJ1392" i="2" s="1"/>
  <c r="AI1379" i="2"/>
  <c r="AJ1379" i="2" s="1"/>
  <c r="AI1366" i="2"/>
  <c r="AJ1366" i="2" s="1"/>
  <c r="AI1353" i="2"/>
  <c r="AJ1353" i="2" s="1"/>
  <c r="AI1340" i="2"/>
  <c r="AJ1340" i="2" s="1"/>
  <c r="AI1327" i="2"/>
  <c r="AJ1327" i="2" s="1"/>
  <c r="AI1314" i="2"/>
  <c r="AJ1314" i="2" s="1"/>
  <c r="AI1299" i="2"/>
  <c r="AJ1299" i="2" s="1"/>
  <c r="AI1285" i="2"/>
  <c r="AJ1285" i="2" s="1"/>
  <c r="AI1271" i="2"/>
  <c r="AJ1271" i="2" s="1"/>
  <c r="AI1257" i="2"/>
  <c r="AJ1257" i="2" s="1"/>
  <c r="AI1243" i="2"/>
  <c r="AJ1243" i="2" s="1"/>
  <c r="AI1227" i="2"/>
  <c r="AJ1227" i="2" s="1"/>
  <c r="AI1213" i="2"/>
  <c r="AJ1213" i="2" s="1"/>
  <c r="AI1199" i="2"/>
  <c r="AJ1199" i="2" s="1"/>
  <c r="AI1185" i="2"/>
  <c r="AJ1185" i="2" s="1"/>
  <c r="AI1167" i="2"/>
  <c r="AJ1167" i="2" s="1"/>
  <c r="AI1152" i="2"/>
  <c r="AJ1152" i="2" s="1"/>
  <c r="AI1137" i="2"/>
  <c r="AJ1137" i="2" s="1"/>
  <c r="AI1119" i="2"/>
  <c r="AJ1119" i="2" s="1"/>
  <c r="AI1104" i="2"/>
  <c r="AJ1104" i="2" s="1"/>
  <c r="AI1088" i="2"/>
  <c r="AJ1088" i="2" s="1"/>
  <c r="AI1068" i="2"/>
  <c r="AJ1068" i="2" s="1"/>
  <c r="AI1052" i="2"/>
  <c r="AJ1052" i="2" s="1"/>
  <c r="AI1036" i="2"/>
  <c r="AJ1036" i="2" s="1"/>
  <c r="AI1016" i="2"/>
  <c r="AJ1016" i="2" s="1"/>
  <c r="AI998" i="2"/>
  <c r="AJ998" i="2" s="1"/>
  <c r="AI980" i="2"/>
  <c r="AJ980" i="2" s="1"/>
  <c r="AI959" i="2"/>
  <c r="AJ959" i="2" s="1"/>
  <c r="AI941" i="2"/>
  <c r="AJ941" i="2" s="1"/>
  <c r="AI923" i="2"/>
  <c r="AJ923" i="2" s="1"/>
  <c r="AI901" i="2"/>
  <c r="AJ901" i="2" s="1"/>
  <c r="AI884" i="2"/>
  <c r="AJ884" i="2" s="1"/>
  <c r="AI865" i="2"/>
  <c r="AJ865" i="2" s="1"/>
  <c r="AI845" i="2"/>
  <c r="AJ845" i="2" s="1"/>
  <c r="AI826" i="2"/>
  <c r="AJ826" i="2" s="1"/>
  <c r="AI809" i="2"/>
  <c r="AJ809" i="2" s="1"/>
  <c r="AI787" i="2"/>
  <c r="AJ787" i="2" s="1"/>
  <c r="AI769" i="2"/>
  <c r="AJ769" i="2" s="1"/>
  <c r="AI752" i="2"/>
  <c r="AJ752" i="2" s="1"/>
  <c r="AI730" i="2"/>
  <c r="AJ730" i="2" s="1"/>
  <c r="AI713" i="2"/>
  <c r="AJ713" i="2" s="1"/>
  <c r="AI694" i="2"/>
  <c r="AJ694" i="2" s="1"/>
  <c r="AI673" i="2"/>
  <c r="AJ673" i="2" s="1"/>
  <c r="AI655" i="2"/>
  <c r="AJ655" i="2" s="1"/>
  <c r="AI637" i="2"/>
  <c r="AJ637" i="2" s="1"/>
  <c r="AI616" i="2"/>
  <c r="AJ616" i="2" s="1"/>
  <c r="AI598" i="2"/>
  <c r="AJ598" i="2" s="1"/>
  <c r="AI581" i="2"/>
  <c r="AJ581" i="2" s="1"/>
  <c r="AI559" i="2"/>
  <c r="AJ559" i="2" s="1"/>
  <c r="AI541" i="2"/>
  <c r="AJ541" i="2" s="1"/>
  <c r="AI523" i="2"/>
  <c r="AJ523" i="2" s="1"/>
  <c r="AI502" i="2"/>
  <c r="AJ502" i="2" s="1"/>
  <c r="AI484" i="2"/>
  <c r="AJ484" i="2" s="1"/>
  <c r="AI466" i="2"/>
  <c r="AJ466" i="2" s="1"/>
  <c r="AI444" i="2"/>
  <c r="AJ444" i="2" s="1"/>
  <c r="AI427" i="2"/>
  <c r="AJ427" i="2" s="1"/>
  <c r="AI409" i="2"/>
  <c r="AJ409" i="2" s="1"/>
  <c r="AI388" i="2"/>
  <c r="AJ388" i="2" s="1"/>
  <c r="AI370" i="2"/>
  <c r="AJ370" i="2" s="1"/>
  <c r="AI352" i="2"/>
  <c r="AJ352" i="2" s="1"/>
  <c r="AI331" i="2"/>
  <c r="AJ331" i="2" s="1"/>
  <c r="AI312" i="2"/>
  <c r="AJ312" i="2" s="1"/>
  <c r="AI295" i="2"/>
  <c r="AJ295" i="2" s="1"/>
  <c r="AI273" i="2"/>
  <c r="AJ273" i="2" s="1"/>
  <c r="AI256" i="2"/>
  <c r="AJ256" i="2" s="1"/>
  <c r="AI237" i="2"/>
  <c r="AJ237" i="2" s="1"/>
  <c r="AI216" i="2"/>
  <c r="AJ216" i="2" s="1"/>
  <c r="AI198" i="2"/>
  <c r="AJ198" i="2" s="1"/>
  <c r="AI180" i="2"/>
  <c r="AJ180" i="2" s="1"/>
  <c r="AI158" i="2"/>
  <c r="AJ158" i="2" s="1"/>
  <c r="AI141" i="2"/>
  <c r="AJ141" i="2" s="1"/>
  <c r="AI124" i="2"/>
  <c r="AJ124" i="2" s="1"/>
  <c r="AI102" i="2"/>
  <c r="AJ102" i="2" s="1"/>
  <c r="AI84" i="2"/>
  <c r="AJ84" i="2" s="1"/>
  <c r="AI66" i="2"/>
  <c r="AJ66" i="2" s="1"/>
  <c r="AI45" i="2"/>
  <c r="AJ45" i="2" s="1"/>
  <c r="AI26" i="2"/>
  <c r="AJ26" i="2" s="1"/>
  <c r="AI1202" i="2"/>
  <c r="AJ1202" i="2" s="1"/>
  <c r="AI3" i="2"/>
  <c r="AJ3" i="2" s="1"/>
  <c r="AI15" i="2"/>
  <c r="AJ15" i="2" s="1"/>
  <c r="AI27" i="2"/>
  <c r="AJ27" i="2" s="1"/>
  <c r="AI51" i="2"/>
  <c r="AJ51" i="2" s="1"/>
  <c r="AI63" i="2"/>
  <c r="AJ63" i="2" s="1"/>
  <c r="AI75" i="2"/>
  <c r="AJ75" i="2" s="1"/>
  <c r="AI87" i="2"/>
  <c r="AJ87" i="2" s="1"/>
  <c r="AI111" i="2"/>
  <c r="AJ111" i="2" s="1"/>
  <c r="AI147" i="2"/>
  <c r="AJ147" i="2" s="1"/>
  <c r="AI159" i="2"/>
  <c r="AJ159" i="2" s="1"/>
  <c r="AI171" i="2"/>
  <c r="AJ171" i="2" s="1"/>
  <c r="AI183" i="2"/>
  <c r="AJ183" i="2" s="1"/>
  <c r="AI195" i="2"/>
  <c r="AJ195" i="2" s="1"/>
  <c r="AI219" i="2"/>
  <c r="AJ219" i="2" s="1"/>
  <c r="AI231" i="2"/>
  <c r="AJ231" i="2" s="1"/>
  <c r="AI255" i="2"/>
  <c r="AJ255" i="2" s="1"/>
  <c r="AI291" i="2"/>
  <c r="AJ291" i="2" s="1"/>
  <c r="AI315" i="2"/>
  <c r="AJ315" i="2" s="1"/>
  <c r="AI327" i="2"/>
  <c r="AJ327" i="2" s="1"/>
  <c r="AI339" i="2"/>
  <c r="AJ339" i="2" s="1"/>
  <c r="AI363" i="2"/>
  <c r="AJ363" i="2" s="1"/>
  <c r="AI375" i="2"/>
  <c r="AJ375" i="2" s="1"/>
  <c r="AI387" i="2"/>
  <c r="AJ387" i="2" s="1"/>
  <c r="AI411" i="2"/>
  <c r="AJ411" i="2" s="1"/>
  <c r="AI423" i="2"/>
  <c r="AJ423" i="2" s="1"/>
  <c r="AI483" i="2"/>
  <c r="AJ483" i="2" s="1"/>
  <c r="AI507" i="2"/>
  <c r="AJ507" i="2" s="1"/>
  <c r="AI531" i="2"/>
  <c r="AJ531" i="2" s="1"/>
  <c r="AI543" i="2"/>
  <c r="AJ543" i="2" s="1"/>
  <c r="AI555" i="2"/>
  <c r="AJ555" i="2" s="1"/>
  <c r="AI567" i="2"/>
  <c r="AJ567" i="2" s="1"/>
  <c r="AI579" i="2"/>
  <c r="AJ579" i="2" s="1"/>
  <c r="AI591" i="2"/>
  <c r="AJ591" i="2" s="1"/>
  <c r="AI603" i="2"/>
  <c r="AJ603" i="2" s="1"/>
  <c r="AI639" i="2"/>
  <c r="AJ639" i="2" s="1"/>
  <c r="AI651" i="2"/>
  <c r="AJ651" i="2" s="1"/>
  <c r="AI663" i="2"/>
  <c r="AJ663" i="2" s="1"/>
  <c r="AI675" i="2"/>
  <c r="AJ675" i="2" s="1"/>
  <c r="AI711" i="2"/>
  <c r="AJ711" i="2" s="1"/>
  <c r="AI723" i="2"/>
  <c r="AJ723" i="2" s="1"/>
  <c r="AI735" i="2"/>
  <c r="AJ735" i="2" s="1"/>
  <c r="AI747" i="2"/>
  <c r="AJ747" i="2" s="1"/>
  <c r="AI771" i="2"/>
  <c r="AJ771" i="2" s="1"/>
  <c r="AI783" i="2"/>
  <c r="AJ783" i="2" s="1"/>
  <c r="AI795" i="2"/>
  <c r="AJ795" i="2" s="1"/>
  <c r="AI819" i="2"/>
  <c r="AJ819" i="2" s="1"/>
  <c r="AI843" i="2"/>
  <c r="AJ843" i="2" s="1"/>
  <c r="AI855" i="2"/>
  <c r="AJ855" i="2" s="1"/>
  <c r="AI879" i="2"/>
  <c r="AJ879" i="2" s="1"/>
  <c r="AI891" i="2"/>
  <c r="AJ891" i="2" s="1"/>
  <c r="AI903" i="2"/>
  <c r="AJ903" i="2" s="1"/>
  <c r="AI927" i="2"/>
  <c r="AJ927" i="2" s="1"/>
  <c r="AI939" i="2"/>
  <c r="AJ939" i="2" s="1"/>
  <c r="AI951" i="2"/>
  <c r="AJ951" i="2" s="1"/>
  <c r="AI963" i="2"/>
  <c r="AJ963" i="2" s="1"/>
  <c r="AI975" i="2"/>
  <c r="AJ975" i="2" s="1"/>
  <c r="AI987" i="2"/>
  <c r="AJ987" i="2" s="1"/>
  <c r="AI999" i="2"/>
  <c r="AJ999" i="2" s="1"/>
  <c r="AI1011" i="2"/>
  <c r="AJ1011" i="2" s="1"/>
  <c r="AI16" i="2"/>
  <c r="AJ16" i="2" s="1"/>
  <c r="AI42" i="2"/>
  <c r="AJ42" i="2" s="1"/>
  <c r="AI55" i="2"/>
  <c r="AJ55" i="2" s="1"/>
  <c r="AI68" i="2"/>
  <c r="AJ68" i="2" s="1"/>
  <c r="AI120" i="2"/>
  <c r="AJ120" i="2" s="1"/>
  <c r="AI186" i="2"/>
  <c r="AJ186" i="2" s="1"/>
  <c r="AI199" i="2"/>
  <c r="AJ199" i="2" s="1"/>
  <c r="AI238" i="2"/>
  <c r="AJ238" i="2" s="1"/>
  <c r="AI251" i="2"/>
  <c r="AJ251" i="2" s="1"/>
  <c r="AI264" i="2"/>
  <c r="AJ264" i="2" s="1"/>
  <c r="AI277" i="2"/>
  <c r="AJ277" i="2" s="1"/>
  <c r="AI290" i="2"/>
  <c r="AJ290" i="2" s="1"/>
  <c r="AI304" i="2"/>
  <c r="AJ304" i="2" s="1"/>
  <c r="AI317" i="2"/>
  <c r="AJ317" i="2" s="1"/>
  <c r="AI343" i="2"/>
  <c r="AJ343" i="2" s="1"/>
  <c r="AI369" i="2"/>
  <c r="AJ369" i="2" s="1"/>
  <c r="AI408" i="2"/>
  <c r="AJ408" i="2" s="1"/>
  <c r="AI421" i="2"/>
  <c r="AJ421" i="2" s="1"/>
  <c r="AI434" i="2"/>
  <c r="AJ434" i="2" s="1"/>
  <c r="AI461" i="2"/>
  <c r="AJ461" i="2" s="1"/>
  <c r="AI474" i="2"/>
  <c r="AJ474" i="2" s="1"/>
  <c r="AI487" i="2"/>
  <c r="AJ487" i="2" s="1"/>
  <c r="AI500" i="2"/>
  <c r="AJ500" i="2" s="1"/>
  <c r="AI513" i="2"/>
  <c r="AJ513" i="2" s="1"/>
  <c r="AI526" i="2"/>
  <c r="AJ526" i="2" s="1"/>
  <c r="AI539" i="2"/>
  <c r="AJ539" i="2" s="1"/>
  <c r="AI552" i="2"/>
  <c r="AJ552" i="2" s="1"/>
  <c r="AI592" i="2"/>
  <c r="AJ592" i="2" s="1"/>
  <c r="AI605" i="2"/>
  <c r="AJ605" i="2" s="1"/>
  <c r="AI670" i="2"/>
  <c r="AJ670" i="2" s="1"/>
  <c r="AI683" i="2"/>
  <c r="AJ683" i="2" s="1"/>
  <c r="AI696" i="2"/>
  <c r="AJ696" i="2" s="1"/>
  <c r="AI709" i="2"/>
  <c r="AJ709" i="2" s="1"/>
  <c r="AI722" i="2"/>
  <c r="AJ722" i="2" s="1"/>
  <c r="AI736" i="2"/>
  <c r="AJ736" i="2" s="1"/>
  <c r="AI775" i="2"/>
  <c r="AJ775" i="2" s="1"/>
  <c r="AI788" i="2"/>
  <c r="AJ788" i="2" s="1"/>
  <c r="AI801" i="2"/>
  <c r="AJ801" i="2" s="1"/>
  <c r="AI814" i="2"/>
  <c r="AJ814" i="2" s="1"/>
  <c r="AI827" i="2"/>
  <c r="AJ827" i="2" s="1"/>
  <c r="AI853" i="2"/>
  <c r="AJ853" i="2" s="1"/>
  <c r="AI866" i="2"/>
  <c r="AJ866" i="2" s="1"/>
  <c r="AI893" i="2"/>
  <c r="AJ893" i="2" s="1"/>
  <c r="AI906" i="2"/>
  <c r="AJ906" i="2" s="1"/>
  <c r="AI932" i="2"/>
  <c r="AJ932" i="2" s="1"/>
  <c r="AI971" i="2"/>
  <c r="AJ971" i="2" s="1"/>
  <c r="AI984" i="2"/>
  <c r="AJ984" i="2" s="1"/>
  <c r="AI997" i="2"/>
  <c r="AJ997" i="2" s="1"/>
  <c r="AI1010" i="2"/>
  <c r="AJ1010" i="2" s="1"/>
  <c r="AI1035" i="2"/>
  <c r="AJ1035" i="2" s="1"/>
  <c r="AI1047" i="2"/>
  <c r="AJ1047" i="2" s="1"/>
  <c r="AI1071" i="2"/>
  <c r="AJ1071" i="2" s="1"/>
  <c r="AI1083" i="2"/>
  <c r="AJ1083" i="2" s="1"/>
  <c r="AI1095" i="2"/>
  <c r="AJ1095" i="2" s="1"/>
  <c r="AI4" i="2"/>
  <c r="AJ4" i="2" s="1"/>
  <c r="AI18" i="2"/>
  <c r="AJ18" i="2" s="1"/>
  <c r="AI32" i="2"/>
  <c r="AJ32" i="2" s="1"/>
  <c r="AI46" i="2"/>
  <c r="AJ46" i="2" s="1"/>
  <c r="AI60" i="2"/>
  <c r="AJ60" i="2" s="1"/>
  <c r="AI74" i="2"/>
  <c r="AJ74" i="2" s="1"/>
  <c r="AI89" i="2"/>
  <c r="AJ89" i="2" s="1"/>
  <c r="AI103" i="2"/>
  <c r="AJ103" i="2" s="1"/>
  <c r="AI131" i="2"/>
  <c r="AJ131" i="2" s="1"/>
  <c r="AI145" i="2"/>
  <c r="AJ145" i="2" s="1"/>
  <c r="AI175" i="2"/>
  <c r="AJ175" i="2" s="1"/>
  <c r="AI189" i="2"/>
  <c r="AJ189" i="2" s="1"/>
  <c r="AI203" i="2"/>
  <c r="AJ203" i="2" s="1"/>
  <c r="AI232" i="2"/>
  <c r="AJ232" i="2" s="1"/>
  <c r="AI246" i="2"/>
  <c r="AJ246" i="2" s="1"/>
  <c r="AI260" i="2"/>
  <c r="AJ260" i="2" s="1"/>
  <c r="AI274" i="2"/>
  <c r="AJ274" i="2" s="1"/>
  <c r="AI288" i="2"/>
  <c r="AJ288" i="2" s="1"/>
  <c r="AI318" i="2"/>
  <c r="AJ318" i="2" s="1"/>
  <c r="AI332" i="2"/>
  <c r="AJ332" i="2" s="1"/>
  <c r="AI346" i="2"/>
  <c r="AJ346" i="2" s="1"/>
  <c r="AI374" i="2"/>
  <c r="AJ374" i="2" s="1"/>
  <c r="AI431" i="2"/>
  <c r="AJ431" i="2" s="1"/>
  <c r="AI445" i="2"/>
  <c r="AJ445" i="2" s="1"/>
  <c r="AI475" i="2"/>
  <c r="AJ475" i="2" s="1"/>
  <c r="AI489" i="2"/>
  <c r="AJ489" i="2" s="1"/>
  <c r="AI503" i="2"/>
  <c r="AJ503" i="2" s="1"/>
  <c r="AI517" i="2"/>
  <c r="AJ517" i="2" s="1"/>
  <c r="AI532" i="2"/>
  <c r="AJ532" i="2" s="1"/>
  <c r="AI560" i="2"/>
  <c r="AJ560" i="2" s="1"/>
  <c r="AI574" i="2"/>
  <c r="AJ574" i="2" s="1"/>
  <c r="AI588" i="2"/>
  <c r="AJ588" i="2" s="1"/>
  <c r="AI602" i="2"/>
  <c r="AJ602" i="2" s="1"/>
  <c r="AI617" i="2"/>
  <c r="AJ617" i="2" s="1"/>
  <c r="AI632" i="2"/>
  <c r="AJ632" i="2" s="1"/>
  <c r="AI646" i="2"/>
  <c r="AJ646" i="2" s="1"/>
  <c r="AI660" i="2"/>
  <c r="AJ660" i="2" s="1"/>
  <c r="AI689" i="2"/>
  <c r="AJ689" i="2" s="1"/>
  <c r="AI717" i="2"/>
  <c r="AJ717" i="2" s="1"/>
  <c r="AI731" i="2"/>
  <c r="AJ731" i="2" s="1"/>
  <c r="AI745" i="2"/>
  <c r="AJ745" i="2" s="1"/>
  <c r="AI774" i="2"/>
  <c r="AJ774" i="2" s="1"/>
  <c r="AI789" i="2"/>
  <c r="AJ789" i="2" s="1"/>
  <c r="AI817" i="2"/>
  <c r="AJ817" i="2" s="1"/>
  <c r="AI832" i="2"/>
  <c r="AJ832" i="2" s="1"/>
  <c r="AI860" i="2"/>
  <c r="AJ860" i="2" s="1"/>
  <c r="AI888" i="2"/>
  <c r="AJ888" i="2" s="1"/>
  <c r="AI902" i="2"/>
  <c r="AJ902" i="2" s="1"/>
  <c r="AI917" i="2"/>
  <c r="AJ917" i="2" s="1"/>
  <c r="AI931" i="2"/>
  <c r="AJ931" i="2" s="1"/>
  <c r="AI946" i="2"/>
  <c r="AJ946" i="2" s="1"/>
  <c r="AI960" i="2"/>
  <c r="AJ960" i="2" s="1"/>
  <c r="AI974" i="2"/>
  <c r="AJ974" i="2" s="1"/>
  <c r="AI1003" i="2"/>
  <c r="AJ1003" i="2" s="1"/>
  <c r="AI1017" i="2"/>
  <c r="AJ1017" i="2" s="1"/>
  <c r="AI1030" i="2"/>
  <c r="AJ1030" i="2" s="1"/>
  <c r="AI1056" i="2"/>
  <c r="AJ1056" i="2" s="1"/>
  <c r="AI1120" i="2"/>
  <c r="AJ1120" i="2" s="1"/>
  <c r="AI1132" i="2"/>
  <c r="AJ1132" i="2" s="1"/>
  <c r="AI1144" i="2"/>
  <c r="AJ1144" i="2" s="1"/>
  <c r="AI1168" i="2"/>
  <c r="AJ1168" i="2" s="1"/>
  <c r="AI1192" i="2"/>
  <c r="AJ1192" i="2" s="1"/>
  <c r="AI1204" i="2"/>
  <c r="AJ1204" i="2" s="1"/>
  <c r="AI1216" i="2"/>
  <c r="AJ1216" i="2" s="1"/>
  <c r="AI1228" i="2"/>
  <c r="AJ1228" i="2" s="1"/>
  <c r="AI1240" i="2"/>
  <c r="AJ1240" i="2" s="1"/>
  <c r="AI1252" i="2"/>
  <c r="AJ1252" i="2" s="1"/>
  <c r="AI1264" i="2"/>
  <c r="AJ1264" i="2" s="1"/>
  <c r="AI1288" i="2"/>
  <c r="AJ1288" i="2" s="1"/>
  <c r="AI1300" i="2"/>
  <c r="AJ1300" i="2" s="1"/>
  <c r="AI5" i="2"/>
  <c r="AJ5" i="2" s="1"/>
  <c r="AI19" i="2"/>
  <c r="AJ19" i="2" s="1"/>
  <c r="AI33" i="2"/>
  <c r="AJ33" i="2" s="1"/>
  <c r="AI47" i="2"/>
  <c r="AJ47" i="2" s="1"/>
  <c r="AI61" i="2"/>
  <c r="AJ61" i="2" s="1"/>
  <c r="AI76" i="2"/>
  <c r="AJ76" i="2" s="1"/>
  <c r="AI90" i="2"/>
  <c r="AJ90" i="2" s="1"/>
  <c r="AI104" i="2"/>
  <c r="AJ104" i="2" s="1"/>
  <c r="AI118" i="2"/>
  <c r="AJ118" i="2" s="1"/>
  <c r="AI132" i="2"/>
  <c r="AJ132" i="2" s="1"/>
  <c r="AI148" i="2"/>
  <c r="AJ148" i="2" s="1"/>
  <c r="AI162" i="2"/>
  <c r="AJ162" i="2" s="1"/>
  <c r="AI190" i="2"/>
  <c r="AJ190" i="2" s="1"/>
  <c r="AI204" i="2"/>
  <c r="AJ204" i="2" s="1"/>
  <c r="AI233" i="2"/>
  <c r="AJ233" i="2" s="1"/>
  <c r="AI247" i="2"/>
  <c r="AJ247" i="2" s="1"/>
  <c r="AI261" i="2"/>
  <c r="AJ261" i="2" s="1"/>
  <c r="AI289" i="2"/>
  <c r="AJ289" i="2" s="1"/>
  <c r="AI319" i="2"/>
  <c r="AJ319" i="2" s="1"/>
  <c r="AI347" i="2"/>
  <c r="AJ347" i="2" s="1"/>
  <c r="AI390" i="2"/>
  <c r="AJ390" i="2" s="1"/>
  <c r="AI418" i="2"/>
  <c r="AJ418" i="2" s="1"/>
  <c r="AI432" i="2"/>
  <c r="AJ432" i="2" s="1"/>
  <c r="AI476" i="2"/>
  <c r="AJ476" i="2" s="1"/>
  <c r="AI490" i="2"/>
  <c r="AJ490" i="2" s="1"/>
  <c r="AI518" i="2"/>
  <c r="AJ518" i="2" s="1"/>
  <c r="AI533" i="2"/>
  <c r="AJ533" i="2" s="1"/>
  <c r="AI561" i="2"/>
  <c r="AJ561" i="2" s="1"/>
  <c r="AI589" i="2"/>
  <c r="AJ589" i="2" s="1"/>
  <c r="AI604" i="2"/>
  <c r="AJ604" i="2" s="1"/>
  <c r="AI619" i="2"/>
  <c r="AJ619" i="2" s="1"/>
  <c r="AI633" i="2"/>
  <c r="AJ633" i="2" s="1"/>
  <c r="AI676" i="2"/>
  <c r="AJ676" i="2" s="1"/>
  <c r="AI718" i="2"/>
  <c r="AJ718" i="2" s="1"/>
  <c r="AI732" i="2"/>
  <c r="AJ732" i="2" s="1"/>
  <c r="AI746" i="2"/>
  <c r="AJ746" i="2" s="1"/>
  <c r="AI776" i="2"/>
  <c r="AJ776" i="2" s="1"/>
  <c r="AI790" i="2"/>
  <c r="AJ790" i="2" s="1"/>
  <c r="AI818" i="2"/>
  <c r="AJ818" i="2" s="1"/>
  <c r="AI833" i="2"/>
  <c r="AJ833" i="2" s="1"/>
  <c r="AI847" i="2"/>
  <c r="AJ847" i="2" s="1"/>
  <c r="AI861" i="2"/>
  <c r="AJ861" i="2" s="1"/>
  <c r="AI875" i="2"/>
  <c r="AJ875" i="2" s="1"/>
  <c r="AI889" i="2"/>
  <c r="AJ889" i="2" s="1"/>
  <c r="AI904" i="2"/>
  <c r="AJ904" i="2" s="1"/>
  <c r="AI933" i="2"/>
  <c r="AJ933" i="2" s="1"/>
  <c r="AI947" i="2"/>
  <c r="AJ947" i="2" s="1"/>
  <c r="AI961" i="2"/>
  <c r="AJ961" i="2" s="1"/>
  <c r="AI990" i="2"/>
  <c r="AJ990" i="2" s="1"/>
  <c r="AI1004" i="2"/>
  <c r="AJ1004" i="2" s="1"/>
  <c r="AI1018" i="2"/>
  <c r="AJ1018" i="2" s="1"/>
  <c r="AI1031" i="2"/>
  <c r="AJ1031" i="2" s="1"/>
  <c r="AI1044" i="2"/>
  <c r="AJ1044" i="2" s="1"/>
  <c r="AI1057" i="2"/>
  <c r="AJ1057" i="2" s="1"/>
  <c r="AI1070" i="2"/>
  <c r="AJ1070" i="2" s="1"/>
  <c r="AI1084" i="2"/>
  <c r="AJ1084" i="2" s="1"/>
  <c r="AI1097" i="2"/>
  <c r="AJ1097" i="2" s="1"/>
  <c r="AI1133" i="2"/>
  <c r="AJ1133" i="2" s="1"/>
  <c r="AI1157" i="2"/>
  <c r="AJ1157" i="2" s="1"/>
  <c r="AI1181" i="2"/>
  <c r="AJ1181" i="2" s="1"/>
  <c r="AI1205" i="2"/>
  <c r="AJ1205" i="2" s="1"/>
  <c r="AI1217" i="2"/>
  <c r="AJ1217" i="2" s="1"/>
  <c r="AI1229" i="2"/>
  <c r="AJ1229" i="2" s="1"/>
  <c r="AI1241" i="2"/>
  <c r="AJ1241" i="2" s="1"/>
  <c r="AI1265" i="2"/>
  <c r="AJ1265" i="2" s="1"/>
  <c r="AI1277" i="2"/>
  <c r="AJ1277" i="2" s="1"/>
  <c r="AI1289" i="2"/>
  <c r="AJ1289" i="2" s="1"/>
  <c r="AI1301" i="2"/>
  <c r="AJ1301" i="2" s="1"/>
  <c r="AI1313" i="2"/>
  <c r="AJ1313" i="2" s="1"/>
  <c r="AI1337" i="2"/>
  <c r="AJ1337" i="2" s="1"/>
  <c r="AI1385" i="2"/>
  <c r="AJ1385" i="2" s="1"/>
  <c r="AI1409" i="2"/>
  <c r="AJ1409" i="2" s="1"/>
  <c r="AI1421" i="2"/>
  <c r="AJ1421" i="2" s="1"/>
  <c r="AI1445" i="2"/>
  <c r="AJ1445" i="2" s="1"/>
  <c r="AI1457" i="2"/>
  <c r="AJ1457" i="2" s="1"/>
  <c r="AI1469" i="2"/>
  <c r="AJ1469" i="2" s="1"/>
  <c r="AI6" i="2"/>
  <c r="AJ6" i="2" s="1"/>
  <c r="AI34" i="2"/>
  <c r="AJ34" i="2" s="1"/>
  <c r="AI62" i="2"/>
  <c r="AJ62" i="2" s="1"/>
  <c r="AI77" i="2"/>
  <c r="AJ77" i="2" s="1"/>
  <c r="AI105" i="2"/>
  <c r="AJ105" i="2" s="1"/>
  <c r="AI149" i="2"/>
  <c r="AJ149" i="2" s="1"/>
  <c r="AI163" i="2"/>
  <c r="AJ163" i="2" s="1"/>
  <c r="AI177" i="2"/>
  <c r="AJ177" i="2" s="1"/>
  <c r="AI191" i="2"/>
  <c r="AJ191" i="2" s="1"/>
  <c r="AI205" i="2"/>
  <c r="AJ205" i="2" s="1"/>
  <c r="AI248" i="2"/>
  <c r="AJ248" i="2" s="1"/>
  <c r="AI262" i="2"/>
  <c r="AJ262" i="2" s="1"/>
  <c r="AI276" i="2"/>
  <c r="AJ276" i="2" s="1"/>
  <c r="AI292" i="2"/>
  <c r="AJ292" i="2" s="1"/>
  <c r="AI306" i="2"/>
  <c r="AJ306" i="2" s="1"/>
  <c r="AI320" i="2"/>
  <c r="AJ320" i="2" s="1"/>
  <c r="AI334" i="2"/>
  <c r="AJ334" i="2" s="1"/>
  <c r="AI348" i="2"/>
  <c r="AJ348" i="2" s="1"/>
  <c r="AI362" i="2"/>
  <c r="AJ362" i="2" s="1"/>
  <c r="AI377" i="2"/>
  <c r="AJ377" i="2" s="1"/>
  <c r="AI391" i="2"/>
  <c r="AJ391" i="2" s="1"/>
  <c r="AI433" i="2"/>
  <c r="AJ433" i="2" s="1"/>
  <c r="AI491" i="2"/>
  <c r="AJ491" i="2" s="1"/>
  <c r="AI505" i="2"/>
  <c r="AJ505" i="2" s="1"/>
  <c r="AI562" i="2"/>
  <c r="AJ562" i="2" s="1"/>
  <c r="AI576" i="2"/>
  <c r="AJ576" i="2" s="1"/>
  <c r="AI590" i="2"/>
  <c r="AJ590" i="2" s="1"/>
  <c r="AI606" i="2"/>
  <c r="AJ606" i="2" s="1"/>
  <c r="AI620" i="2"/>
  <c r="AJ620" i="2" s="1"/>
  <c r="AI634" i="2"/>
  <c r="AJ634" i="2" s="1"/>
  <c r="AI662" i="2"/>
  <c r="AJ662" i="2" s="1"/>
  <c r="AI691" i="2"/>
  <c r="AJ691" i="2" s="1"/>
  <c r="AI719" i="2"/>
  <c r="AJ719" i="2" s="1"/>
  <c r="AI733" i="2"/>
  <c r="AJ733" i="2" s="1"/>
  <c r="AI748" i="2"/>
  <c r="AJ748" i="2" s="1"/>
  <c r="AI763" i="2"/>
  <c r="AJ763" i="2" s="1"/>
  <c r="AI805" i="2"/>
  <c r="AJ805" i="2" s="1"/>
  <c r="AI834" i="2"/>
  <c r="AJ834" i="2" s="1"/>
  <c r="AI848" i="2"/>
  <c r="AJ848" i="2" s="1"/>
  <c r="AI862" i="2"/>
  <c r="AJ862" i="2" s="1"/>
  <c r="AI876" i="2"/>
  <c r="AJ876" i="2" s="1"/>
  <c r="AI905" i="2"/>
  <c r="AJ905" i="2" s="1"/>
  <c r="AI934" i="2"/>
  <c r="AJ934" i="2" s="1"/>
  <c r="AI991" i="2"/>
  <c r="AJ991" i="2" s="1"/>
  <c r="AI1005" i="2"/>
  <c r="AJ1005" i="2" s="1"/>
  <c r="AI1019" i="2"/>
  <c r="AJ1019" i="2" s="1"/>
  <c r="AI1045" i="2"/>
  <c r="AJ1045" i="2" s="1"/>
  <c r="AI1085" i="2"/>
  <c r="AJ1085" i="2" s="1"/>
  <c r="AI1110" i="2"/>
  <c r="AJ1110" i="2" s="1"/>
  <c r="AI1158" i="2"/>
  <c r="AJ1158" i="2" s="1"/>
  <c r="AI1170" i="2"/>
  <c r="AJ1170" i="2" s="1"/>
  <c r="AI1182" i="2"/>
  <c r="AJ1182" i="2" s="1"/>
  <c r="AI1447" i="2"/>
  <c r="AJ1447" i="2" s="1"/>
  <c r="AI1434" i="2"/>
  <c r="AJ1434" i="2" s="1"/>
  <c r="AI1407" i="2"/>
  <c r="AJ1407" i="2" s="1"/>
  <c r="AI1201" i="2"/>
  <c r="AJ1201" i="2" s="1"/>
  <c r="AI1172" i="2"/>
  <c r="AJ1172" i="2" s="1"/>
  <c r="AI1139" i="2"/>
  <c r="AJ1139" i="2" s="1"/>
  <c r="AI1124" i="2"/>
  <c r="AJ1124" i="2" s="1"/>
  <c r="AI1106" i="2"/>
  <c r="AJ1106" i="2" s="1"/>
  <c r="AI1074" i="2"/>
  <c r="AJ1074" i="2" s="1"/>
  <c r="AI1038" i="2"/>
  <c r="AJ1038" i="2" s="1"/>
  <c r="AI1001" i="2"/>
  <c r="AJ1001" i="2" s="1"/>
  <c r="AI925" i="2"/>
  <c r="AJ925" i="2" s="1"/>
  <c r="AI908" i="2"/>
  <c r="AJ908" i="2" s="1"/>
  <c r="AI869" i="2"/>
  <c r="AJ869" i="2" s="1"/>
  <c r="AI829" i="2"/>
  <c r="AJ829" i="2" s="1"/>
  <c r="AI737" i="2"/>
  <c r="AJ737" i="2" s="1"/>
  <c r="AI658" i="2"/>
  <c r="AJ658" i="2" s="1"/>
  <c r="AI622" i="2"/>
  <c r="AJ622" i="2" s="1"/>
  <c r="AI583" i="2"/>
  <c r="AJ583" i="2" s="1"/>
  <c r="AI544" i="2"/>
  <c r="AJ544" i="2" s="1"/>
  <c r="AI508" i="2"/>
  <c r="AJ508" i="2" s="1"/>
  <c r="AI393" i="2"/>
  <c r="AJ393" i="2" s="1"/>
  <c r="AI336" i="2"/>
  <c r="AJ336" i="2" s="1"/>
  <c r="AI314" i="2"/>
  <c r="AJ314" i="2" s="1"/>
  <c r="AI280" i="2"/>
  <c r="AJ280" i="2" s="1"/>
  <c r="AI201" i="2"/>
  <c r="AJ201" i="2" s="1"/>
  <c r="AI182" i="2"/>
  <c r="AJ182" i="2" s="1"/>
  <c r="AI165" i="2"/>
  <c r="AJ165" i="2" s="1"/>
  <c r="AI143" i="2"/>
  <c r="AJ143" i="2" s="1"/>
  <c r="AI108" i="2"/>
  <c r="AJ108" i="2" s="1"/>
  <c r="AI86" i="2"/>
  <c r="AJ86" i="2" s="1"/>
  <c r="AI69" i="2"/>
  <c r="AJ69" i="2" s="1"/>
  <c r="AI30" i="2"/>
  <c r="AJ30" i="2" s="1"/>
  <c r="AI1446" i="2"/>
  <c r="AJ1446" i="2" s="1"/>
  <c r="AI1419" i="2"/>
  <c r="AJ1419" i="2" s="1"/>
  <c r="AI1393" i="2"/>
  <c r="AJ1393" i="2" s="1"/>
  <c r="AI1367" i="2"/>
  <c r="AJ1367" i="2" s="1"/>
  <c r="AI1328" i="2"/>
  <c r="AJ1328" i="2" s="1"/>
  <c r="AI1302" i="2"/>
  <c r="AJ1302" i="2" s="1"/>
  <c r="AI1258" i="2"/>
  <c r="AJ1258" i="2" s="1"/>
  <c r="AI1230" i="2"/>
  <c r="AJ1230" i="2" s="1"/>
  <c r="AI1200" i="2"/>
  <c r="AJ1200" i="2" s="1"/>
  <c r="AI1138" i="2"/>
  <c r="AJ1138" i="2" s="1"/>
  <c r="AI1105" i="2"/>
  <c r="AJ1105" i="2" s="1"/>
  <c r="AI1073" i="2"/>
  <c r="AJ1073" i="2" s="1"/>
  <c r="AI1037" i="2"/>
  <c r="AJ1037" i="2" s="1"/>
  <c r="AI981" i="2"/>
  <c r="AJ981" i="2" s="1"/>
  <c r="AI924" i="2"/>
  <c r="AJ924" i="2" s="1"/>
  <c r="AI885" i="2"/>
  <c r="AJ885" i="2" s="1"/>
  <c r="AI849" i="2"/>
  <c r="AJ849" i="2" s="1"/>
  <c r="AI792" i="2"/>
  <c r="AJ792" i="2" s="1"/>
  <c r="AI753" i="2"/>
  <c r="AJ753" i="2" s="1"/>
  <c r="AI734" i="2"/>
  <c r="AJ734" i="2" s="1"/>
  <c r="AI695" i="2"/>
  <c r="AJ695" i="2" s="1"/>
  <c r="AI656" i="2"/>
  <c r="AJ656" i="2" s="1"/>
  <c r="AI621" i="2"/>
  <c r="AJ621" i="2" s="1"/>
  <c r="AI582" i="2"/>
  <c r="AJ582" i="2" s="1"/>
  <c r="AI524" i="2"/>
  <c r="AJ524" i="2" s="1"/>
  <c r="AI506" i="2"/>
  <c r="AJ506" i="2" s="1"/>
  <c r="AI467" i="2"/>
  <c r="AJ467" i="2" s="1"/>
  <c r="AI428" i="2"/>
  <c r="AJ428" i="2" s="1"/>
  <c r="AI392" i="2"/>
  <c r="AJ392" i="2" s="1"/>
  <c r="AI335" i="2"/>
  <c r="AJ335" i="2" s="1"/>
  <c r="AI296" i="2"/>
  <c r="AJ296" i="2" s="1"/>
  <c r="AI257" i="2"/>
  <c r="AJ257" i="2" s="1"/>
  <c r="AI200" i="2"/>
  <c r="AJ200" i="2" s="1"/>
  <c r="AI164" i="2"/>
  <c r="AJ164" i="2" s="1"/>
  <c r="AI125" i="2"/>
  <c r="AJ125" i="2" s="1"/>
  <c r="AI85" i="2"/>
  <c r="AJ85" i="2" s="1"/>
  <c r="AI49" i="2"/>
  <c r="AJ49" i="2" s="1"/>
  <c r="AI10" i="2"/>
  <c r="AJ10" i="2" s="1"/>
  <c r="AI1470" i="2"/>
  <c r="AJ1470" i="2" s="1"/>
  <c r="AI1456" i="2"/>
  <c r="AJ1456" i="2" s="1"/>
  <c r="AI1443" i="2"/>
  <c r="AJ1443" i="2" s="1"/>
  <c r="AI1430" i="2"/>
  <c r="AJ1430" i="2" s="1"/>
  <c r="AI1417" i="2"/>
  <c r="AJ1417" i="2" s="1"/>
  <c r="AI1404" i="2"/>
  <c r="AJ1404" i="2" s="1"/>
  <c r="AI1391" i="2"/>
  <c r="AJ1391" i="2" s="1"/>
  <c r="AI1378" i="2"/>
  <c r="AJ1378" i="2" s="1"/>
  <c r="AI1365" i="2"/>
  <c r="AJ1365" i="2" s="1"/>
  <c r="AI1352" i="2"/>
  <c r="AJ1352" i="2" s="1"/>
  <c r="AI1339" i="2"/>
  <c r="AJ1339" i="2" s="1"/>
  <c r="AI1326" i="2"/>
  <c r="AJ1326" i="2" s="1"/>
  <c r="AI1312" i="2"/>
  <c r="AJ1312" i="2" s="1"/>
  <c r="AI1298" i="2"/>
  <c r="AJ1298" i="2" s="1"/>
  <c r="AI1284" i="2"/>
  <c r="AJ1284" i="2" s="1"/>
  <c r="AI1270" i="2"/>
  <c r="AJ1270" i="2" s="1"/>
  <c r="AI1256" i="2"/>
  <c r="AJ1256" i="2" s="1"/>
  <c r="AI1242" i="2"/>
  <c r="AJ1242" i="2" s="1"/>
  <c r="AI1226" i="2"/>
  <c r="AJ1226" i="2" s="1"/>
  <c r="AI1212" i="2"/>
  <c r="AJ1212" i="2" s="1"/>
  <c r="AI1198" i="2"/>
  <c r="AJ1198" i="2" s="1"/>
  <c r="AI1184" i="2"/>
  <c r="AJ1184" i="2" s="1"/>
  <c r="AI1166" i="2"/>
  <c r="AJ1166" i="2" s="1"/>
  <c r="AI1151" i="2"/>
  <c r="AJ1151" i="2" s="1"/>
  <c r="AI1136" i="2"/>
  <c r="AJ1136" i="2" s="1"/>
  <c r="AI1118" i="2"/>
  <c r="AJ1118" i="2" s="1"/>
  <c r="AI1103" i="2"/>
  <c r="AJ1103" i="2" s="1"/>
  <c r="AI1087" i="2"/>
  <c r="AJ1087" i="2" s="1"/>
  <c r="AI1067" i="2"/>
  <c r="AJ1067" i="2" s="1"/>
  <c r="AI1051" i="2"/>
  <c r="AJ1051" i="2" s="1"/>
  <c r="AI1034" i="2"/>
  <c r="AJ1034" i="2" s="1"/>
  <c r="AI1015" i="2"/>
  <c r="AJ1015" i="2" s="1"/>
  <c r="AI996" i="2"/>
  <c r="AJ996" i="2" s="1"/>
  <c r="AI979" i="2"/>
  <c r="AJ979" i="2" s="1"/>
  <c r="AI957" i="2"/>
  <c r="AJ957" i="2" s="1"/>
  <c r="AI940" i="2"/>
  <c r="AJ940" i="2" s="1"/>
  <c r="AI922" i="2"/>
  <c r="AJ922" i="2" s="1"/>
  <c r="AI900" i="2"/>
  <c r="AJ900" i="2" s="1"/>
  <c r="AI883" i="2"/>
  <c r="AJ883" i="2" s="1"/>
  <c r="AI864" i="2"/>
  <c r="AJ864" i="2" s="1"/>
  <c r="AI844" i="2"/>
  <c r="AJ844" i="2" s="1"/>
  <c r="AI825" i="2"/>
  <c r="AJ825" i="2" s="1"/>
  <c r="AI808" i="2"/>
  <c r="AJ808" i="2" s="1"/>
  <c r="AI786" i="2"/>
  <c r="AJ786" i="2" s="1"/>
  <c r="AI768" i="2"/>
  <c r="AJ768" i="2" s="1"/>
  <c r="AI751" i="2"/>
  <c r="AJ751" i="2" s="1"/>
  <c r="AI729" i="2"/>
  <c r="AJ729" i="2" s="1"/>
  <c r="AI712" i="2"/>
  <c r="AJ712" i="2" s="1"/>
  <c r="AI693" i="2"/>
  <c r="AJ693" i="2" s="1"/>
  <c r="AI672" i="2"/>
  <c r="AJ672" i="2" s="1"/>
  <c r="AI654" i="2"/>
  <c r="AJ654" i="2" s="1"/>
  <c r="AI636" i="2"/>
  <c r="AJ636" i="2" s="1"/>
  <c r="AI614" i="2"/>
  <c r="AJ614" i="2" s="1"/>
  <c r="AI597" i="2"/>
  <c r="AJ597" i="2" s="1"/>
  <c r="AI580" i="2"/>
  <c r="AJ580" i="2" s="1"/>
  <c r="AI558" i="2"/>
  <c r="AJ558" i="2" s="1"/>
  <c r="AI540" i="2"/>
  <c r="AJ540" i="2" s="1"/>
  <c r="AI522" i="2"/>
  <c r="AJ522" i="2" s="1"/>
  <c r="AI501" i="2"/>
  <c r="AJ501" i="2" s="1"/>
  <c r="AI482" i="2"/>
  <c r="AJ482" i="2" s="1"/>
  <c r="AI465" i="2"/>
  <c r="AJ465" i="2" s="1"/>
  <c r="AI443" i="2"/>
  <c r="AJ443" i="2" s="1"/>
  <c r="AI426" i="2"/>
  <c r="AJ426" i="2" s="1"/>
  <c r="AI407" i="2"/>
  <c r="AJ407" i="2" s="1"/>
  <c r="AI386" i="2"/>
  <c r="AJ386" i="2" s="1"/>
  <c r="AI368" i="2"/>
  <c r="AJ368" i="2" s="1"/>
  <c r="AI350" i="2"/>
  <c r="AJ350" i="2" s="1"/>
  <c r="AI329" i="2"/>
  <c r="AJ329" i="2" s="1"/>
  <c r="AI311" i="2"/>
  <c r="AJ311" i="2" s="1"/>
  <c r="AI294" i="2"/>
  <c r="AJ294" i="2" s="1"/>
  <c r="AI272" i="2"/>
  <c r="AJ272" i="2" s="1"/>
  <c r="AI254" i="2"/>
  <c r="AJ254" i="2" s="1"/>
  <c r="AI236" i="2"/>
  <c r="AJ236" i="2" s="1"/>
  <c r="AI215" i="2"/>
  <c r="AJ215" i="2" s="1"/>
  <c r="AI197" i="2"/>
  <c r="AJ197" i="2" s="1"/>
  <c r="AI179" i="2"/>
  <c r="AJ179" i="2" s="1"/>
  <c r="AI157" i="2"/>
  <c r="AJ157" i="2" s="1"/>
  <c r="AI140" i="2"/>
  <c r="AJ140" i="2" s="1"/>
  <c r="AI122" i="2"/>
  <c r="AJ122" i="2" s="1"/>
  <c r="AI101" i="2"/>
  <c r="AJ101" i="2" s="1"/>
  <c r="AI83" i="2"/>
  <c r="AJ83" i="2" s="1"/>
  <c r="AI44" i="2"/>
  <c r="AJ44" i="2" s="1"/>
  <c r="AI25" i="2"/>
  <c r="AJ25" i="2" s="1"/>
  <c r="AI8" i="2"/>
  <c r="AJ8" i="2" s="1"/>
  <c r="AI1231" i="2"/>
  <c r="AJ1231" i="2" s="1"/>
  <c r="AI39" i="2"/>
  <c r="AJ39" i="2" s="1"/>
  <c r="AI99" i="2"/>
  <c r="AJ99" i="2" s="1"/>
  <c r="AI123" i="2"/>
  <c r="AJ123" i="2" s="1"/>
  <c r="AI135" i="2"/>
  <c r="AJ135" i="2" s="1"/>
  <c r="AI207" i="2"/>
  <c r="AJ207" i="2" s="1"/>
  <c r="AI243" i="2"/>
  <c r="AJ243" i="2" s="1"/>
  <c r="AI267" i="2"/>
  <c r="AJ267" i="2" s="1"/>
  <c r="AI279" i="2"/>
  <c r="AJ279" i="2" s="1"/>
  <c r="AI303" i="2"/>
  <c r="AJ303" i="2" s="1"/>
  <c r="AI351" i="2"/>
  <c r="AJ351" i="2" s="1"/>
  <c r="AI399" i="2"/>
  <c r="AJ399" i="2" s="1"/>
  <c r="AI435" i="2"/>
  <c r="AJ435" i="2" s="1"/>
  <c r="AI447" i="2"/>
  <c r="AJ447" i="2" s="1"/>
  <c r="AI459" i="2"/>
  <c r="AJ459" i="2" s="1"/>
  <c r="AI471" i="2"/>
  <c r="AJ471" i="2" s="1"/>
  <c r="AI519" i="2"/>
  <c r="AJ519" i="2" s="1"/>
  <c r="AI627" i="2"/>
  <c r="AJ627" i="2" s="1"/>
  <c r="AI687" i="2"/>
  <c r="AJ687" i="2" s="1"/>
  <c r="AI699" i="2"/>
  <c r="AJ699" i="2" s="1"/>
  <c r="AI759" i="2"/>
  <c r="AJ759" i="2" s="1"/>
  <c r="AI807" i="2"/>
  <c r="AJ807" i="2" s="1"/>
  <c r="AI831" i="2"/>
  <c r="AJ831" i="2" s="1"/>
  <c r="AI867" i="2"/>
  <c r="AJ867" i="2" s="1"/>
  <c r="AI915" i="2"/>
  <c r="AJ915" i="2" s="1"/>
  <c r="AI2" i="2"/>
  <c r="AJ2" i="2" s="1"/>
  <c r="AI29" i="2"/>
  <c r="AJ29" i="2" s="1"/>
  <c r="AI94" i="2"/>
  <c r="AJ94" i="2" s="1"/>
  <c r="AI133" i="2"/>
  <c r="AJ133" i="2" s="1"/>
  <c r="AI146" i="2"/>
  <c r="AJ146" i="2" s="1"/>
  <c r="AI160" i="2"/>
  <c r="AJ160" i="2" s="1"/>
  <c r="AI173" i="2"/>
  <c r="AJ173" i="2" s="1"/>
  <c r="AI212" i="2"/>
  <c r="AJ212" i="2" s="1"/>
  <c r="AI225" i="2"/>
  <c r="AJ225" i="2" s="1"/>
  <c r="AI330" i="2"/>
  <c r="AJ330" i="2" s="1"/>
  <c r="AI356" i="2"/>
  <c r="AJ356" i="2" s="1"/>
  <c r="AI382" i="2"/>
  <c r="AJ382" i="2" s="1"/>
  <c r="AI395" i="2"/>
  <c r="AJ395" i="2" s="1"/>
  <c r="AI448" i="2"/>
  <c r="AJ448" i="2" s="1"/>
  <c r="AI565" i="2"/>
  <c r="AJ565" i="2" s="1"/>
  <c r="AI578" i="2"/>
  <c r="AJ578" i="2" s="1"/>
  <c r="AI618" i="2"/>
  <c r="AJ618" i="2" s="1"/>
  <c r="AI644" i="2"/>
  <c r="AJ644" i="2" s="1"/>
  <c r="AI749" i="2"/>
  <c r="AJ749" i="2" s="1"/>
  <c r="AI762" i="2"/>
  <c r="AJ762" i="2" s="1"/>
  <c r="AI840" i="2"/>
  <c r="AJ840" i="2" s="1"/>
  <c r="AI919" i="2"/>
  <c r="AJ919" i="2" s="1"/>
  <c r="AI1023" i="2"/>
  <c r="AJ1023" i="2" s="1"/>
  <c r="AI1059" i="2"/>
  <c r="AJ1059" i="2" s="1"/>
  <c r="AI117" i="2"/>
  <c r="AJ117" i="2" s="1"/>
  <c r="AI161" i="2"/>
  <c r="AJ161" i="2" s="1"/>
  <c r="AI217" i="2"/>
  <c r="AJ217" i="2" s="1"/>
  <c r="AI302" i="2"/>
  <c r="AJ302" i="2" s="1"/>
  <c r="AI360" i="2"/>
  <c r="AJ360" i="2" s="1"/>
  <c r="AI389" i="2"/>
  <c r="AJ389" i="2" s="1"/>
  <c r="AI403" i="2"/>
  <c r="AJ403" i="2" s="1"/>
  <c r="AI417" i="2"/>
  <c r="AJ417" i="2" s="1"/>
  <c r="AI460" i="2"/>
  <c r="AJ460" i="2" s="1"/>
  <c r="AI546" i="2"/>
  <c r="AJ546" i="2" s="1"/>
  <c r="AI674" i="2"/>
  <c r="AJ674" i="2" s="1"/>
  <c r="AI703" i="2"/>
  <c r="AJ703" i="2" s="1"/>
  <c r="AI760" i="2"/>
  <c r="AJ760" i="2" s="1"/>
  <c r="AI803" i="2"/>
  <c r="AJ803" i="2" s="1"/>
  <c r="AI846" i="2"/>
  <c r="AJ846" i="2" s="1"/>
  <c r="AI874" i="2"/>
  <c r="AJ874" i="2" s="1"/>
  <c r="AI989" i="2"/>
  <c r="AJ989" i="2" s="1"/>
  <c r="AI1043" i="2"/>
  <c r="AJ1043" i="2" s="1"/>
  <c r="AI1069" i="2"/>
  <c r="AJ1069" i="2" s="1"/>
  <c r="AI1082" i="2"/>
  <c r="AJ1082" i="2" s="1"/>
  <c r="AI1096" i="2"/>
  <c r="AJ1096" i="2" s="1"/>
  <c r="AI1108" i="2"/>
  <c r="AJ1108" i="2" s="1"/>
  <c r="AI1180" i="2"/>
  <c r="AJ1180" i="2" s="1"/>
  <c r="AI1276" i="2"/>
  <c r="AJ1276" i="2" s="1"/>
  <c r="AI176" i="2"/>
  <c r="AJ176" i="2" s="1"/>
  <c r="AI218" i="2"/>
  <c r="AJ218" i="2" s="1"/>
  <c r="AI275" i="2"/>
  <c r="AJ275" i="2" s="1"/>
  <c r="AI305" i="2"/>
  <c r="AJ305" i="2" s="1"/>
  <c r="AI333" i="2"/>
  <c r="AJ333" i="2" s="1"/>
  <c r="AI361" i="2"/>
  <c r="AJ361" i="2" s="1"/>
  <c r="AI376" i="2"/>
  <c r="AJ376" i="2" s="1"/>
  <c r="AI404" i="2"/>
  <c r="AJ404" i="2" s="1"/>
  <c r="AI446" i="2"/>
  <c r="AJ446" i="2" s="1"/>
  <c r="AI462" i="2"/>
  <c r="AJ462" i="2" s="1"/>
  <c r="AI504" i="2"/>
  <c r="AJ504" i="2" s="1"/>
  <c r="AI547" i="2"/>
  <c r="AJ547" i="2" s="1"/>
  <c r="AI575" i="2"/>
  <c r="AJ575" i="2" s="1"/>
  <c r="AI647" i="2"/>
  <c r="AJ647" i="2" s="1"/>
  <c r="AI661" i="2"/>
  <c r="AJ661" i="2" s="1"/>
  <c r="AI690" i="2"/>
  <c r="AJ690" i="2" s="1"/>
  <c r="AI704" i="2"/>
  <c r="AJ704" i="2" s="1"/>
  <c r="AI804" i="2"/>
  <c r="AJ804" i="2" s="1"/>
  <c r="AI918" i="2"/>
  <c r="AJ918" i="2" s="1"/>
  <c r="AI976" i="2"/>
  <c r="AJ976" i="2" s="1"/>
  <c r="AI1121" i="2"/>
  <c r="AJ1121" i="2" s="1"/>
  <c r="AI1145" i="2"/>
  <c r="AJ1145" i="2" s="1"/>
  <c r="AI1169" i="2"/>
  <c r="AJ1169" i="2" s="1"/>
  <c r="AI1193" i="2"/>
  <c r="AJ1193" i="2" s="1"/>
  <c r="AI1253" i="2"/>
  <c r="AJ1253" i="2" s="1"/>
  <c r="AI1361" i="2"/>
  <c r="AJ1361" i="2" s="1"/>
  <c r="AI1373" i="2"/>
  <c r="AJ1373" i="2" s="1"/>
  <c r="AI1397" i="2"/>
  <c r="AJ1397" i="2" s="1"/>
  <c r="AI1433" i="2"/>
  <c r="AJ1433" i="2" s="1"/>
  <c r="AI20" i="2"/>
  <c r="AJ20" i="2" s="1"/>
  <c r="AI48" i="2"/>
  <c r="AJ48" i="2" s="1"/>
  <c r="AI91" i="2"/>
  <c r="AJ91" i="2" s="1"/>
  <c r="AI119" i="2"/>
  <c r="AJ119" i="2" s="1"/>
  <c r="AI134" i="2"/>
  <c r="AJ134" i="2" s="1"/>
  <c r="AI220" i="2"/>
  <c r="AJ220" i="2" s="1"/>
  <c r="AI405" i="2"/>
  <c r="AJ405" i="2" s="1"/>
  <c r="AI419" i="2"/>
  <c r="AJ419" i="2" s="1"/>
  <c r="AI449" i="2"/>
  <c r="AJ449" i="2" s="1"/>
  <c r="AI463" i="2"/>
  <c r="AJ463" i="2" s="1"/>
  <c r="AI477" i="2"/>
  <c r="AJ477" i="2" s="1"/>
  <c r="AI520" i="2"/>
  <c r="AJ520" i="2" s="1"/>
  <c r="AI534" i="2"/>
  <c r="AJ534" i="2" s="1"/>
  <c r="AI548" i="2"/>
  <c r="AJ548" i="2" s="1"/>
  <c r="AI648" i="2"/>
  <c r="AJ648" i="2" s="1"/>
  <c r="AI677" i="2"/>
  <c r="AJ677" i="2" s="1"/>
  <c r="AI705" i="2"/>
  <c r="AJ705" i="2" s="1"/>
  <c r="AI777" i="2"/>
  <c r="AJ777" i="2" s="1"/>
  <c r="AI820" i="2"/>
  <c r="AJ820" i="2" s="1"/>
  <c r="AI890" i="2"/>
  <c r="AJ890" i="2" s="1"/>
  <c r="AI920" i="2"/>
  <c r="AJ920" i="2" s="1"/>
  <c r="AI948" i="2"/>
  <c r="AJ948" i="2" s="1"/>
  <c r="AI962" i="2"/>
  <c r="AJ962" i="2" s="1"/>
  <c r="AI977" i="2"/>
  <c r="AJ977" i="2" s="1"/>
  <c r="AI1032" i="2"/>
  <c r="AJ1032" i="2" s="1"/>
  <c r="AI1058" i="2"/>
  <c r="AJ1058" i="2" s="1"/>
  <c r="AI1072" i="2"/>
  <c r="AJ1072" i="2" s="1"/>
  <c r="AI1122" i="2"/>
  <c r="AJ1122" i="2" s="1"/>
  <c r="AI1134" i="2"/>
  <c r="AJ1134" i="2" s="1"/>
  <c r="AI1146" i="2"/>
  <c r="AJ1146" i="2" s="1"/>
  <c r="AI1341" i="2"/>
  <c r="AJ1341" i="2" s="1"/>
  <c r="AI1171" i="2"/>
  <c r="AJ1171" i="2" s="1"/>
  <c r="AI106" i="2"/>
  <c r="AJ106" i="2" s="1"/>
  <c r="AI1468" i="2"/>
  <c r="AJ1468" i="2" s="1"/>
  <c r="AI1455" i="2"/>
  <c r="AJ1455" i="2" s="1"/>
  <c r="AI1442" i="2"/>
  <c r="AJ1442" i="2" s="1"/>
  <c r="AI1429" i="2"/>
  <c r="AJ1429" i="2" s="1"/>
  <c r="AI1416" i="2"/>
  <c r="AJ1416" i="2" s="1"/>
  <c r="AI1403" i="2"/>
  <c r="AJ1403" i="2" s="1"/>
  <c r="AI1390" i="2"/>
  <c r="AJ1390" i="2" s="1"/>
  <c r="AI1377" i="2"/>
  <c r="AJ1377" i="2" s="1"/>
  <c r="AI1364" i="2"/>
  <c r="AJ1364" i="2" s="1"/>
  <c r="AI1351" i="2"/>
  <c r="AJ1351" i="2" s="1"/>
  <c r="AI1338" i="2"/>
  <c r="AJ1338" i="2" s="1"/>
  <c r="AI1324" i="2"/>
  <c r="AJ1324" i="2" s="1"/>
  <c r="AI1311" i="2"/>
  <c r="AJ1311" i="2" s="1"/>
  <c r="AI1297" i="2"/>
  <c r="AJ1297" i="2" s="1"/>
  <c r="AI1283" i="2"/>
  <c r="AJ1283" i="2" s="1"/>
  <c r="AI1269" i="2"/>
  <c r="AJ1269" i="2" s="1"/>
  <c r="AI1255" i="2"/>
  <c r="AJ1255" i="2" s="1"/>
  <c r="AI1239" i="2"/>
  <c r="AJ1239" i="2" s="1"/>
  <c r="AI1225" i="2"/>
  <c r="AJ1225" i="2" s="1"/>
  <c r="AI1211" i="2"/>
  <c r="AJ1211" i="2" s="1"/>
  <c r="AI1197" i="2"/>
  <c r="AJ1197" i="2" s="1"/>
  <c r="AI1183" i="2"/>
  <c r="AJ1183" i="2" s="1"/>
  <c r="AI1165" i="2"/>
  <c r="AJ1165" i="2" s="1"/>
  <c r="AI1150" i="2"/>
  <c r="AJ1150" i="2" s="1"/>
  <c r="AI1135" i="2"/>
  <c r="AJ1135" i="2" s="1"/>
  <c r="AI1117" i="2"/>
  <c r="AJ1117" i="2" s="1"/>
  <c r="AI1102" i="2"/>
  <c r="AJ1102" i="2" s="1"/>
  <c r="AI1086" i="2"/>
  <c r="AJ1086" i="2" s="1"/>
  <c r="AI1066" i="2"/>
  <c r="AJ1066" i="2" s="1"/>
  <c r="AI1050" i="2"/>
  <c r="AJ1050" i="2" s="1"/>
  <c r="AI1033" i="2"/>
  <c r="AJ1033" i="2" s="1"/>
  <c r="AI1014" i="2"/>
  <c r="AJ1014" i="2" s="1"/>
  <c r="AI995" i="2"/>
  <c r="AJ995" i="2" s="1"/>
  <c r="AI978" i="2"/>
  <c r="AJ978" i="2" s="1"/>
  <c r="AI956" i="2"/>
  <c r="AJ956" i="2" s="1"/>
  <c r="AI938" i="2"/>
  <c r="AJ938" i="2" s="1"/>
  <c r="AI921" i="2"/>
  <c r="AJ921" i="2" s="1"/>
  <c r="AI899" i="2"/>
  <c r="AJ899" i="2" s="1"/>
  <c r="AI882" i="2"/>
  <c r="AJ882" i="2" s="1"/>
  <c r="AI863" i="2"/>
  <c r="AJ863" i="2" s="1"/>
  <c r="AI842" i="2"/>
  <c r="AJ842" i="2" s="1"/>
  <c r="AI824" i="2"/>
  <c r="AJ824" i="2" s="1"/>
  <c r="AI806" i="2"/>
  <c r="AJ806" i="2" s="1"/>
  <c r="AI785" i="2"/>
  <c r="AJ785" i="2" s="1"/>
  <c r="AI767" i="2"/>
  <c r="AJ767" i="2" s="1"/>
  <c r="AI750" i="2"/>
  <c r="AJ750" i="2" s="1"/>
  <c r="AI728" i="2"/>
  <c r="AJ728" i="2" s="1"/>
  <c r="AI710" i="2"/>
  <c r="AJ710" i="2" s="1"/>
  <c r="AI692" i="2"/>
  <c r="AJ692" i="2" s="1"/>
  <c r="AI671" i="2"/>
  <c r="AJ671" i="2" s="1"/>
  <c r="AI653" i="2"/>
  <c r="AJ653" i="2" s="1"/>
  <c r="AI635" i="2"/>
  <c r="AJ635" i="2" s="1"/>
  <c r="AI613" i="2"/>
  <c r="AJ613" i="2" s="1"/>
  <c r="AI596" i="2"/>
  <c r="AJ596" i="2" s="1"/>
  <c r="AI577" i="2"/>
  <c r="AJ577" i="2" s="1"/>
  <c r="AI557" i="2"/>
  <c r="AJ557" i="2" s="1"/>
  <c r="AI538" i="2"/>
  <c r="AJ538" i="2" s="1"/>
  <c r="AI521" i="2"/>
  <c r="AJ521" i="2" s="1"/>
  <c r="AI499" i="2"/>
  <c r="AJ499" i="2" s="1"/>
  <c r="AI481" i="2"/>
  <c r="AJ481" i="2" s="1"/>
  <c r="AI464" i="2"/>
  <c r="AJ464" i="2" s="1"/>
  <c r="AI442" i="2"/>
  <c r="AJ442" i="2" s="1"/>
  <c r="AI425" i="2"/>
  <c r="AJ425" i="2" s="1"/>
  <c r="AI406" i="2"/>
  <c r="AJ406" i="2" s="1"/>
  <c r="AI385" i="2"/>
  <c r="AJ385" i="2" s="1"/>
  <c r="AI367" i="2"/>
  <c r="AJ367" i="2" s="1"/>
  <c r="AI349" i="2"/>
  <c r="AJ349" i="2" s="1"/>
  <c r="AI328" i="2"/>
  <c r="AJ328" i="2" s="1"/>
  <c r="AI310" i="2"/>
  <c r="AJ310" i="2" s="1"/>
  <c r="AI293" i="2"/>
  <c r="AJ293" i="2" s="1"/>
  <c r="AI271" i="2"/>
  <c r="AJ271" i="2" s="1"/>
  <c r="AI253" i="2"/>
  <c r="AJ253" i="2" s="1"/>
  <c r="AI235" i="2"/>
  <c r="AJ235" i="2" s="1"/>
  <c r="AI214" i="2"/>
  <c r="AJ214" i="2" s="1"/>
  <c r="AI196" i="2"/>
  <c r="AJ196" i="2" s="1"/>
  <c r="AI178" i="2"/>
  <c r="AJ178" i="2" s="1"/>
  <c r="AI156" i="2"/>
  <c r="AJ156" i="2" s="1"/>
  <c r="AI139" i="2"/>
  <c r="AJ139" i="2" s="1"/>
  <c r="AI121" i="2"/>
  <c r="AJ121" i="2" s="1"/>
  <c r="AI100" i="2"/>
  <c r="AJ100" i="2" s="1"/>
  <c r="AI82" i="2"/>
  <c r="AJ82" i="2" s="1"/>
  <c r="AI64" i="2"/>
  <c r="AJ64" i="2" s="1"/>
  <c r="AI43" i="2"/>
  <c r="AJ43" i="2" s="1"/>
  <c r="AI24" i="2"/>
  <c r="AJ24" i="2" s="1"/>
  <c r="AI7" i="2"/>
  <c r="AJ7" i="2" s="1"/>
</calcChain>
</file>

<file path=xl/sharedStrings.xml><?xml version="1.0" encoding="utf-8"?>
<sst xmlns="http://schemas.openxmlformats.org/spreadsheetml/2006/main" count="25129" uniqueCount="90">
  <si>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</si>
  <si>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</si>
  <si>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</si>
  <si>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</si>
  <si>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</si>
  <si>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</si>
  <si>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</si>
  <si>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</si>
  <si>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</si>
  <si>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</si>
  <si>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</si>
  <si>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</si>
  <si>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</si>
  <si>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</si>
  <si>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</si>
  <si>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</si>
  <si>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</si>
  <si>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</si>
  <si>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</si>
  <si>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</si>
  <si>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</si>
  <si>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</si>
  <si>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</si>
  <si>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</si>
  <si>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</si>
  <si>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</si>
  <si>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</si>
  <si>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</si>
  <si>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</si>
  <si>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</si>
  <si>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</si>
  <si>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</si>
  <si>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</si>
  <si>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</si>
  <si>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</si>
  <si>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</si>
  <si>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</si>
  <si>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</si>
  <si>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</si>
  <si>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</si>
  <si>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</si>
  <si>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</si>
  <si>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</si>
  <si>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</si>
  <si>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</si>
  <si>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</si>
  <si>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</si>
  <si>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</si>
  <si>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</si>
  <si>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</si>
  <si>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</si>
  <si>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</si>
  <si>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</si>
  <si>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</si>
  <si>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</si>
  <si>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</si>
  <si>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</si>
  <si>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</si>
  <si>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</si>
  <si>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</si>
  <si>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</si>
  <si>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</si>
  <si>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AgeGroup</t>
  </si>
  <si>
    <t>SalaryBand</t>
  </si>
  <si>
    <t>AvgSalary</t>
  </si>
  <si>
    <t>DeptAvgSalary</t>
  </si>
  <si>
    <t>AttritionRisk</t>
  </si>
  <si>
    <t>Department name</t>
  </si>
  <si>
    <t>Total Salary</t>
  </si>
  <si>
    <t>OT Total Salary</t>
  </si>
  <si>
    <t>Total Salary by Department</t>
  </si>
  <si>
    <t>Overtime Total Salary by Department</t>
  </si>
  <si>
    <t>Attrition count per department</t>
  </si>
  <si>
    <t>Total Attrition</t>
  </si>
  <si>
    <t>Dept-wiseTotal Attrition</t>
  </si>
  <si>
    <t>Attrition Rate %</t>
  </si>
  <si>
    <t>Avg age of employees who left</t>
  </si>
  <si>
    <t>AvgSalary by Department</t>
  </si>
  <si>
    <t>Grand Total</t>
  </si>
  <si>
    <t>Count of Attrition</t>
  </si>
  <si>
    <t>Average of MonthlyIncome</t>
  </si>
  <si>
    <t>Row Labels</t>
  </si>
  <si>
    <t>Count of EmployeeNumber</t>
  </si>
  <si>
    <t>Over Time</t>
  </si>
  <si>
    <t>18-25</t>
  </si>
  <si>
    <t>26-35</t>
  </si>
  <si>
    <t>36-45</t>
  </si>
  <si>
    <t>46+</t>
  </si>
  <si>
    <t>Average of JobSatisfaction</t>
  </si>
  <si>
    <t>SalaryStatus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</si>
</sst>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$-409]#,##0.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color rgb="FFFAF9F5"/>
      <name val="Courier New"/>
      <family val="3"/>
    </font>
    <font>
      <b/>
      <sz val="14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9.9978637043366805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" fontId="0" fillId="0" borderId="0" xfId="1" applyNumberFormat="1" applyFont="1"/>
    <xf numFmtId="165" fontId="0" fillId="0" borderId="0" xfId="0" applyNumberFormat="1"/>
    <xf numFmtId="0" fontId="13" fillId="33" borderId="10" xfId="0" applyFont="1" applyFill="1" applyBorder="1"/>
    <xf numFmtId="0" fontId="0" fillId="34" borderId="10" xfId="0" applyFill="1" applyBorder="1"/>
    <xf numFmtId="0" fontId="0" fillId="0" borderId="10" xfId="0" applyBorder="1"/>
    <xf numFmtId="0" fontId="20" fillId="0" borderId="0" xfId="0" applyFont="1"/>
    <xf numFmtId="0" fontId="19" fillId="35" borderId="11" xfId="0" applyFont="1" applyFill="1" applyBorder="1"/>
    <xf numFmtId="10" fontId="0" fillId="0" borderId="0" xfId="0" applyNumberFormat="1"/>
    <xf numFmtId="0" fontId="13" fillId="33" borderId="12" xfId="0" applyFont="1" applyFill="1" applyBorder="1"/>
    <xf numFmtId="0" fontId="18" fillId="0" borderId="11" xfId="0" applyFont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9" fillId="35" borderId="13" xfId="0" applyFont="1" applyFill="1" applyBorder="1" applyAlignment="1">
      <alignment horizontal="center"/>
    </xf>
    <xf numFmtId="0" fontId="19" fillId="35" borderId="14" xfId="0" applyFont="1" applyFill="1" applyBorder="1" applyAlignment="1">
      <alignment horizontal="center"/>
    </xf>
    <xf numFmtId="0" fontId="19" fillId="35" borderId="0" xfId="0" applyFont="1" applyFill="1" applyAlignment="1">
      <alignment horizontal="center"/>
    </xf>
    <xf numFmtId="0" fontId="21" fillId="35" borderId="11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3">
    <dxf>
      <numFmt numFmtId="164" formatCode="&quot;₹&quot;\ #,##0.00"/>
    </dxf>
    <dxf>
      <numFmt numFmtId="14" formatCode="0.00%"/>
    </dxf>
    <dxf>
      <border outline="0">
        <left style="thin">
          <color theme="4" tint="0.39997558519241921"/>
        </left>
        <top style="thin">
          <color indexed="64"/>
        </top>
      </border>
    </dxf>
    <dxf>
      <numFmt numFmtId="165" formatCode="[$$-409]#,##0.00"/>
    </dxf>
    <dxf>
      <border outline="0">
        <left style="thin">
          <color theme="4" tint="0.39997558519241921"/>
        </left>
      </border>
    </dxf>
    <dxf>
      <numFmt numFmtId="165" formatCode="[$$-409]#,##0.00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1" formatCode="0"/>
    </dxf>
    <dxf>
      <numFmt numFmtId="165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[HR_Attrition_Project.xlsx]Pivot1_Attrition!PivotTable1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Attrition by Department &amp;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Pivot1_Attrition!$B$3:$B$4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Pivot1_Attrition!$A$5:$A$8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Pivot1_Attrition!$B$5:$B$8</c:f>
              <c:numCache>
                <c:formatCode>General</c:formatCode>
                <c:ptCount val="3"/>
                <c:pt idx="0">
                  <c:v>6</c:v>
                </c:pt>
                <c:pt idx="1">
                  <c:v>43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A-4E6A-A737-B0BB039ABFFA}"/>
            </c:ext>
          </c:extLst>
        </c:ser>
        <c:ser>
          <c:idx val="1"/>
          <c:order val="1"/>
          <c:tx>
            <c:strRef>
              <c:f>Pivot1_Attrition!$C$3:$C$4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Pivot1_Attrition!$A$5:$A$8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Pivot1_Attrition!$C$5:$C$8</c:f>
              <c:numCache>
                <c:formatCode>General</c:formatCode>
                <c:ptCount val="3"/>
                <c:pt idx="0">
                  <c:v>6</c:v>
                </c:pt>
                <c:pt idx="1">
                  <c:v>90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A-4E6A-A737-B0BB039AB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72569248"/>
        <c:axId val="472553408"/>
      </c:barChart>
      <c:catAx>
        <c:axId val="47256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53408"/>
        <c:crosses val="autoZero"/>
        <c:auto val="1"/>
        <c:lblAlgn val="ctr"/>
        <c:lblOffset val="100"/>
        <c:noMultiLvlLbl val="0"/>
      </c:catAx>
      <c:valAx>
        <c:axId val="47255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6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[HR_Attrition_Project.xlsx]Pivot2_Salary!PivotTable2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Average Salary by Job Role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Pivot2_Salary!$B$3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Pivot2_Salary!$A$4:$A$13</c:f>
              <c:strCache>
                <c:ptCount val="9"/>
                <c:pt idx="0">
                  <c:v>Manager</c:v>
                </c:pt>
                <c:pt idx="1">
                  <c:v>Research Director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Sales Executive</c:v>
                </c:pt>
                <c:pt idx="5">
                  <c:v>Human Resources</c:v>
                </c:pt>
                <c:pt idx="6">
                  <c:v>Research Scientist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Pivot2_Salary!$B$4:$B$13</c:f>
              <c:numCache>
                <c:formatCode>[$$-409]#,##0.00</c:formatCode>
                <c:ptCount val="9"/>
                <c:pt idx="0">
                  <c:v>17181.676470588234</c:v>
                </c:pt>
                <c:pt idx="1">
                  <c:v>16033.55</c:v>
                </c:pt>
                <c:pt idx="2">
                  <c:v>7528.7633587786258</c:v>
                </c:pt>
                <c:pt idx="3">
                  <c:v>7295.1379310344828</c:v>
                </c:pt>
                <c:pt idx="4">
                  <c:v>6924.2791411042945</c:v>
                </c:pt>
                <c:pt idx="5">
                  <c:v>4235.75</c:v>
                </c:pt>
                <c:pt idx="6">
                  <c:v>3239.972602739726</c:v>
                </c:pt>
                <c:pt idx="7">
                  <c:v>3237.169884169884</c:v>
                </c:pt>
                <c:pt idx="8">
                  <c:v>2626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C-4A17-9D39-3EF9A345E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6468800"/>
        <c:axId val="1676463040"/>
      </c:barChart>
      <c:catAx>
        <c:axId val="167646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63040"/>
        <c:crosses val="autoZero"/>
        <c:auto val="1"/>
        <c:lblAlgn val="ctr"/>
        <c:lblOffset val="100"/>
        <c:noMultiLvlLbl val="0"/>
      </c:catAx>
      <c:valAx>
        <c:axId val="167646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46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[HR_Attrition_Project.xlsx]Pivot3_OverTime!PivotTable1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OverTime Impact on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Pivot3_OverTime!$B$3:$B$4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Pivot3_OverTime!$A$5:$A$7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Pivot3_OverTime!$B$5:$B$7</c:f>
              <c:numCache>
                <c:formatCode>0.00%</c:formatCode>
                <c:ptCount val="2"/>
                <c:pt idx="0">
                  <c:v>0.89563567362428842</c:v>
                </c:pt>
                <c:pt idx="1">
                  <c:v>0.69471153846153844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2-4DF8-A473-8CCC4758B971}"/>
            </c:ext>
          </c:extLst>
        </c:ser>
        <c:ser>
          <c:idx val="1"/>
          <c:order val="1"/>
          <c:tx>
            <c:strRef>
              <c:f>Pivot3_OverTime!$C$3:$C$4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Pivot3_OverTime!$A$5:$A$7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Pivot3_OverTime!$C$5:$C$7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2-4DF8-A473-8CCC4758B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120928"/>
        <c:axId val="426130048"/>
      </c:barChart>
      <c:catAx>
        <c:axId val="42612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30048"/>
        <c:crosses val="autoZero"/>
        <c:auto val="1"/>
        <c:lblAlgn val="ctr"/>
        <c:lblOffset val="100"/>
        <c:noMultiLvlLbl val="0"/>
      </c:catAx>
      <c:valAx>
        <c:axId val="4261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2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[HR_Attrition_Project.xlsx]Pivot4_Satisfaction!PivotTable2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Job Satisfaction by Age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Pivot4_Satisfaction!$B$3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Pivot4_Satisfaction!$A$4:$A$8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46+</c:v>
                </c:pt>
              </c:strCache>
            </c:strRef>
          </c:cat>
          <c:val>
            <c:numRef>
              <c:f>Pivot4_Satisfaction!$B$4:$B$8</c:f>
              <c:numCache>
                <c:formatCode>0.00</c:formatCode>
                <c:ptCount val="4"/>
                <c:pt idx="0">
                  <c:v>2.7317073170731709</c:v>
                </c:pt>
                <c:pt idx="1">
                  <c:v>2.7392739273927393</c:v>
                </c:pt>
                <c:pt idx="2">
                  <c:v>2.7307692307692308</c:v>
                </c:pt>
                <c:pt idx="3">
                  <c:v>2.6996336996336998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F-4A10-A8A5-A6D79C379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500512"/>
        <c:axId val="1639501952"/>
      </c:lineChart>
      <c:catAx>
        <c:axId val="163950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01952"/>
        <c:crosses val="autoZero"/>
        <c:auto val="1"/>
        <c:lblAlgn val="ctr"/>
        <c:lblOffset val="100"/>
        <c:noMultiLvlLbl val="0"/>
      </c:catAx>
      <c:valAx>
        <c:axId val="16395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50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49530</xdr:rowOff>
    </xdr:from>
    <xdr:to>
      <xdr:col>4</xdr:col>
      <xdr:colOff>1082040</xdr:colOff>
      <xdr:row>23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5BC97-7F3D-F5EF-086D-E5F8F7F62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</xdr:rowOff>
    </xdr:from>
    <xdr:to>
      <xdr:col>5</xdr:col>
      <xdr:colOff>365760</xdr:colOff>
      <xdr:row>28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C9C4C-11E6-A909-B9E7-449EA01F1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72390</xdr:rowOff>
    </xdr:from>
    <xdr:to>
      <xdr:col>5</xdr:col>
      <xdr:colOff>76200</xdr:colOff>
      <xdr:row>23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7902C4-849F-3A37-2820-FF44AFFEF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41910</xdr:rowOff>
    </xdr:from>
    <xdr:to>
      <xdr:col>5</xdr:col>
      <xdr:colOff>320040</xdr:colOff>
      <xdr:row>24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58B90-8C52-2D62-7725-607C8235A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AN KUMAR" refreshedDate="46161.930890277778" createdVersion="8" refreshedVersion="8" minRefreshableVersion="3" recordCount="1470" xr:uid="{D0922E70-264E-491D-A758-2998EC4A163B}">
  <cacheSource type="worksheet">
    <worksheetSource name="Table13"/>
  </cacheSource>
  <cacheFields count="37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165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1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Group" numFmtId="0">
      <sharedItems count="4">
        <s v="36-45"/>
        <s v="46+"/>
        <s v="26-35"/>
        <s v="18-25"/>
      </sharedItems>
    </cacheField>
    <cacheField name="SalaryBand" numFmtId="0">
      <sharedItems/>
    </cacheField>
    <cacheField name="DeptAvgSalary" numFmtId="164">
      <sharedItems containsSemiMixedTypes="0" containsString="0" containsNumber="1" minValue="6281.2528616024974" maxValue="6959.17264573991"/>
    </cacheField>
    <cacheField name="SalarySatus" numFmtId="0">
      <sharedItems/>
    </cacheField>
    <cacheField name="AttritionRis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x v="0"/>
    <n v="94"/>
    <n v="3"/>
    <n v="2"/>
    <x v="0"/>
    <n v="4"/>
    <s v="Single"/>
    <x v="0"/>
    <n v="19479"/>
    <n v="8"/>
    <x v="0"/>
    <n v="11"/>
    <n v="3"/>
    <n v="1"/>
    <n v="0"/>
    <n v="8"/>
    <n v="0"/>
    <n v="1"/>
    <n v="6"/>
    <n v="4"/>
    <n v="0"/>
    <n v="5"/>
    <x v="0"/>
    <s v="Mid"/>
    <n v="6959.17264573991"/>
    <s v="Below salary"/>
    <s v="Medium Risk"/>
  </r>
  <r>
    <n v="49"/>
    <x v="1"/>
    <s v="Travel_Frequently"/>
    <n v="279"/>
    <x v="1"/>
    <n v="8"/>
    <n v="1"/>
    <s v="Life Sciences"/>
    <n v="2"/>
    <n v="3"/>
    <x v="1"/>
    <n v="61"/>
    <n v="2"/>
    <n v="2"/>
    <x v="1"/>
    <n v="2"/>
    <s v="Married"/>
    <x v="1"/>
    <n v="24907"/>
    <n v="1"/>
    <x v="1"/>
    <n v="23"/>
    <n v="4"/>
    <n v="4"/>
    <n v="1"/>
    <n v="10"/>
    <n v="3"/>
    <n v="3"/>
    <n v="10"/>
    <n v="7"/>
    <n v="1"/>
    <n v="7"/>
    <x v="1"/>
    <s v="Mid"/>
    <n v="6281.2528616024974"/>
    <s v="Below salary"/>
    <s v="Medium Risk"/>
  </r>
  <r>
    <n v="37"/>
    <x v="0"/>
    <s v="Travel_Rarely"/>
    <n v="1373"/>
    <x v="1"/>
    <n v="2"/>
    <n v="2"/>
    <s v="Other"/>
    <n v="4"/>
    <n v="4"/>
    <x v="1"/>
    <n v="92"/>
    <n v="2"/>
    <n v="1"/>
    <x v="2"/>
    <n v="3"/>
    <s v="Single"/>
    <x v="2"/>
    <n v="2396"/>
    <n v="6"/>
    <x v="0"/>
    <n v="15"/>
    <n v="3"/>
    <n v="2"/>
    <n v="0"/>
    <n v="7"/>
    <n v="3"/>
    <n v="3"/>
    <n v="0"/>
    <n v="0"/>
    <n v="0"/>
    <n v="0"/>
    <x v="0"/>
    <s v="Low"/>
    <n v="6281.2528616024974"/>
    <s v="Below salary"/>
    <s v="Medium Risk"/>
  </r>
  <r>
    <n v="33"/>
    <x v="1"/>
    <s v="Travel_Frequently"/>
    <n v="1392"/>
    <x v="1"/>
    <n v="3"/>
    <n v="4"/>
    <s v="Life Sciences"/>
    <n v="5"/>
    <n v="4"/>
    <x v="0"/>
    <n v="56"/>
    <n v="3"/>
    <n v="1"/>
    <x v="1"/>
    <n v="3"/>
    <s v="Married"/>
    <x v="3"/>
    <n v="23159"/>
    <n v="1"/>
    <x v="0"/>
    <n v="11"/>
    <n v="3"/>
    <n v="3"/>
    <n v="0"/>
    <n v="8"/>
    <n v="3"/>
    <n v="3"/>
    <n v="8"/>
    <n v="7"/>
    <n v="3"/>
    <n v="0"/>
    <x v="2"/>
    <s v="Low"/>
    <n v="6281.2528616024974"/>
    <s v="Below salary"/>
    <s v="Medium Risk"/>
  </r>
  <r>
    <n v="27"/>
    <x v="1"/>
    <s v="Travel_Rarely"/>
    <n v="591"/>
    <x v="1"/>
    <n v="2"/>
    <n v="1"/>
    <s v="Medical"/>
    <n v="7"/>
    <n v="1"/>
    <x v="1"/>
    <n v="40"/>
    <n v="3"/>
    <n v="1"/>
    <x v="2"/>
    <n v="2"/>
    <s v="Married"/>
    <x v="4"/>
    <n v="16632"/>
    <n v="9"/>
    <x v="1"/>
    <n v="12"/>
    <n v="3"/>
    <n v="4"/>
    <n v="1"/>
    <n v="6"/>
    <n v="3"/>
    <n v="3"/>
    <n v="2"/>
    <n v="2"/>
    <n v="2"/>
    <n v="2"/>
    <x v="2"/>
    <s v="Mid"/>
    <n v="6281.2528616024974"/>
    <s v="Below salary"/>
    <s v="Medium Risk"/>
  </r>
  <r>
    <n v="32"/>
    <x v="1"/>
    <s v="Travel_Frequently"/>
    <n v="1005"/>
    <x v="1"/>
    <n v="2"/>
    <n v="2"/>
    <s v="Life Sciences"/>
    <n v="8"/>
    <n v="4"/>
    <x v="1"/>
    <n v="79"/>
    <n v="3"/>
    <n v="1"/>
    <x v="2"/>
    <n v="4"/>
    <s v="Single"/>
    <x v="5"/>
    <n v="11864"/>
    <n v="0"/>
    <x v="1"/>
    <n v="13"/>
    <n v="3"/>
    <n v="3"/>
    <n v="0"/>
    <n v="8"/>
    <n v="2"/>
    <n v="2"/>
    <n v="7"/>
    <n v="7"/>
    <n v="3"/>
    <n v="6"/>
    <x v="2"/>
    <s v="Mid"/>
    <n v="6281.2528616024974"/>
    <s v="Below salary"/>
    <s v="Low Risk"/>
  </r>
  <r>
    <n v="59"/>
    <x v="1"/>
    <s v="Travel_Rarely"/>
    <n v="1324"/>
    <x v="1"/>
    <n v="3"/>
    <n v="3"/>
    <s v="Medical"/>
    <n v="10"/>
    <n v="3"/>
    <x v="0"/>
    <n v="81"/>
    <n v="4"/>
    <n v="1"/>
    <x v="2"/>
    <n v="1"/>
    <s v="Married"/>
    <x v="6"/>
    <n v="9964"/>
    <n v="4"/>
    <x v="0"/>
    <n v="20"/>
    <n v="4"/>
    <n v="1"/>
    <n v="3"/>
    <n v="12"/>
    <n v="3"/>
    <n v="2"/>
    <n v="1"/>
    <n v="0"/>
    <n v="0"/>
    <n v="0"/>
    <x v="1"/>
    <s v="Low"/>
    <n v="6281.2528616024974"/>
    <s v="Below salary"/>
    <s v="High Risk"/>
  </r>
  <r>
    <n v="30"/>
    <x v="1"/>
    <s v="Travel_Rarely"/>
    <n v="1358"/>
    <x v="1"/>
    <n v="24"/>
    <n v="1"/>
    <s v="Life Sciences"/>
    <n v="11"/>
    <n v="4"/>
    <x v="1"/>
    <n v="67"/>
    <n v="3"/>
    <n v="1"/>
    <x v="2"/>
    <n v="3"/>
    <s v="Divorced"/>
    <x v="7"/>
    <n v="13335"/>
    <n v="1"/>
    <x v="1"/>
    <n v="22"/>
    <n v="4"/>
    <n v="2"/>
    <n v="1"/>
    <n v="1"/>
    <n v="2"/>
    <n v="3"/>
    <n v="1"/>
    <n v="0"/>
    <n v="0"/>
    <n v="0"/>
    <x v="2"/>
    <s v="Low"/>
    <n v="6281.2528616024974"/>
    <s v="Below salary"/>
    <s v="Low Risk"/>
  </r>
  <r>
    <n v="38"/>
    <x v="1"/>
    <s v="Travel_Frequently"/>
    <n v="216"/>
    <x v="1"/>
    <n v="23"/>
    <n v="3"/>
    <s v="Life Sciences"/>
    <n v="12"/>
    <n v="4"/>
    <x v="1"/>
    <n v="44"/>
    <n v="2"/>
    <n v="3"/>
    <x v="3"/>
    <n v="3"/>
    <s v="Single"/>
    <x v="8"/>
    <n v="8787"/>
    <n v="0"/>
    <x v="1"/>
    <n v="21"/>
    <n v="4"/>
    <n v="2"/>
    <n v="0"/>
    <n v="10"/>
    <n v="2"/>
    <n v="3"/>
    <n v="9"/>
    <n v="7"/>
    <n v="1"/>
    <n v="8"/>
    <x v="0"/>
    <s v="High"/>
    <n v="6281.2528616024974"/>
    <s v="Above salary"/>
    <s v="Low Risk"/>
  </r>
  <r>
    <n v="36"/>
    <x v="1"/>
    <s v="Travel_Rarely"/>
    <n v="1299"/>
    <x v="1"/>
    <n v="27"/>
    <n v="3"/>
    <s v="Medical"/>
    <n v="13"/>
    <n v="3"/>
    <x v="1"/>
    <n v="94"/>
    <n v="3"/>
    <n v="2"/>
    <x v="4"/>
    <n v="3"/>
    <s v="Married"/>
    <x v="9"/>
    <n v="16577"/>
    <n v="6"/>
    <x v="1"/>
    <n v="13"/>
    <n v="3"/>
    <n v="2"/>
    <n v="2"/>
    <n v="17"/>
    <n v="3"/>
    <n v="2"/>
    <n v="7"/>
    <n v="7"/>
    <n v="7"/>
    <n v="7"/>
    <x v="0"/>
    <s v="Mid"/>
    <n v="6281.2528616024974"/>
    <s v="Below salary"/>
    <s v="Low Risk"/>
  </r>
  <r>
    <n v="35"/>
    <x v="1"/>
    <s v="Travel_Rarely"/>
    <n v="809"/>
    <x v="1"/>
    <n v="16"/>
    <n v="3"/>
    <s v="Medical"/>
    <n v="14"/>
    <n v="1"/>
    <x v="1"/>
    <n v="84"/>
    <n v="4"/>
    <n v="1"/>
    <x v="2"/>
    <n v="2"/>
    <s v="Married"/>
    <x v="10"/>
    <n v="16479"/>
    <n v="0"/>
    <x v="1"/>
    <n v="13"/>
    <n v="3"/>
    <n v="3"/>
    <n v="1"/>
    <n v="6"/>
    <n v="5"/>
    <n v="3"/>
    <n v="5"/>
    <n v="4"/>
    <n v="0"/>
    <n v="3"/>
    <x v="2"/>
    <s v="Low"/>
    <n v="6281.2528616024974"/>
    <s v="Below salary"/>
    <s v="Medium Risk"/>
  </r>
  <r>
    <n v="29"/>
    <x v="1"/>
    <s v="Travel_Rarely"/>
    <n v="153"/>
    <x v="1"/>
    <n v="15"/>
    <n v="2"/>
    <s v="Life Sciences"/>
    <n v="15"/>
    <n v="4"/>
    <x v="0"/>
    <n v="49"/>
    <n v="2"/>
    <n v="2"/>
    <x v="2"/>
    <n v="3"/>
    <s v="Single"/>
    <x v="11"/>
    <n v="12682"/>
    <n v="0"/>
    <x v="0"/>
    <n v="12"/>
    <n v="3"/>
    <n v="4"/>
    <n v="0"/>
    <n v="10"/>
    <n v="3"/>
    <n v="3"/>
    <n v="9"/>
    <n v="5"/>
    <n v="0"/>
    <n v="8"/>
    <x v="2"/>
    <s v="Mid"/>
    <n v="6281.2528616024974"/>
    <s v="Below salary"/>
    <s v="Medium Risk"/>
  </r>
  <r>
    <n v="31"/>
    <x v="1"/>
    <s v="Travel_Rarely"/>
    <n v="670"/>
    <x v="1"/>
    <n v="26"/>
    <n v="1"/>
    <s v="Life Sciences"/>
    <n v="16"/>
    <n v="1"/>
    <x v="1"/>
    <n v="31"/>
    <n v="3"/>
    <n v="1"/>
    <x v="1"/>
    <n v="3"/>
    <s v="Divorced"/>
    <x v="12"/>
    <n v="15170"/>
    <n v="1"/>
    <x v="1"/>
    <n v="17"/>
    <n v="3"/>
    <n v="4"/>
    <n v="1"/>
    <n v="5"/>
    <n v="1"/>
    <n v="2"/>
    <n v="5"/>
    <n v="2"/>
    <n v="4"/>
    <n v="3"/>
    <x v="2"/>
    <s v="Low"/>
    <n v="6281.2528616024974"/>
    <s v="Below salary"/>
    <s v="Low Risk"/>
  </r>
  <r>
    <n v="34"/>
    <x v="1"/>
    <s v="Travel_Rarely"/>
    <n v="1346"/>
    <x v="1"/>
    <n v="19"/>
    <n v="2"/>
    <s v="Medical"/>
    <n v="18"/>
    <n v="2"/>
    <x v="1"/>
    <n v="93"/>
    <n v="3"/>
    <n v="1"/>
    <x v="2"/>
    <n v="4"/>
    <s v="Divorced"/>
    <x v="13"/>
    <n v="8758"/>
    <n v="0"/>
    <x v="1"/>
    <n v="11"/>
    <n v="3"/>
    <n v="3"/>
    <n v="1"/>
    <n v="3"/>
    <n v="2"/>
    <n v="3"/>
    <n v="2"/>
    <n v="2"/>
    <n v="1"/>
    <n v="2"/>
    <x v="2"/>
    <s v="Low"/>
    <n v="6281.2528616024974"/>
    <s v="Below salary"/>
    <s v="Low Risk"/>
  </r>
  <r>
    <n v="28"/>
    <x v="0"/>
    <s v="Travel_Rarely"/>
    <n v="103"/>
    <x v="1"/>
    <n v="24"/>
    <n v="3"/>
    <s v="Life Sciences"/>
    <n v="19"/>
    <n v="3"/>
    <x v="1"/>
    <n v="50"/>
    <n v="2"/>
    <n v="1"/>
    <x v="2"/>
    <n v="3"/>
    <s v="Single"/>
    <x v="14"/>
    <n v="12947"/>
    <n v="5"/>
    <x v="0"/>
    <n v="14"/>
    <n v="3"/>
    <n v="2"/>
    <n v="0"/>
    <n v="6"/>
    <n v="4"/>
    <n v="3"/>
    <n v="4"/>
    <n v="2"/>
    <n v="0"/>
    <n v="3"/>
    <x v="2"/>
    <s v="Low"/>
    <n v="6281.2528616024974"/>
    <s v="Below salary"/>
    <s v="Medium Risk"/>
  </r>
  <r>
    <n v="29"/>
    <x v="1"/>
    <s v="Travel_Rarely"/>
    <n v="1389"/>
    <x v="1"/>
    <n v="21"/>
    <n v="4"/>
    <s v="Life Sciences"/>
    <n v="20"/>
    <n v="2"/>
    <x v="0"/>
    <n v="51"/>
    <n v="4"/>
    <n v="3"/>
    <x v="3"/>
    <n v="1"/>
    <s v="Divorced"/>
    <x v="15"/>
    <n v="10195"/>
    <n v="1"/>
    <x v="1"/>
    <n v="11"/>
    <n v="3"/>
    <n v="3"/>
    <n v="1"/>
    <n v="10"/>
    <n v="1"/>
    <n v="3"/>
    <n v="10"/>
    <n v="9"/>
    <n v="8"/>
    <n v="8"/>
    <x v="2"/>
    <s v="High"/>
    <n v="6281.2528616024974"/>
    <s v="Above salary"/>
    <s v="Medium Risk"/>
  </r>
  <r>
    <n v="32"/>
    <x v="1"/>
    <s v="Travel_Rarely"/>
    <n v="334"/>
    <x v="1"/>
    <n v="5"/>
    <n v="2"/>
    <s v="Life Sciences"/>
    <n v="21"/>
    <n v="1"/>
    <x v="1"/>
    <n v="80"/>
    <n v="4"/>
    <n v="1"/>
    <x v="1"/>
    <n v="2"/>
    <s v="Divorced"/>
    <x v="16"/>
    <n v="15053"/>
    <n v="0"/>
    <x v="0"/>
    <n v="12"/>
    <n v="3"/>
    <n v="4"/>
    <n v="2"/>
    <n v="7"/>
    <n v="5"/>
    <n v="2"/>
    <n v="6"/>
    <n v="2"/>
    <n v="0"/>
    <n v="5"/>
    <x v="2"/>
    <s v="Mid"/>
    <n v="6281.2528616024974"/>
    <s v="Below salary"/>
    <s v="High Risk"/>
  </r>
  <r>
    <n v="22"/>
    <x v="1"/>
    <s v="Non-Travel"/>
    <n v="1123"/>
    <x v="1"/>
    <n v="16"/>
    <n v="2"/>
    <s v="Medical"/>
    <n v="22"/>
    <n v="4"/>
    <x v="1"/>
    <n v="96"/>
    <n v="4"/>
    <n v="1"/>
    <x v="2"/>
    <n v="4"/>
    <s v="Divorced"/>
    <x v="17"/>
    <n v="7324"/>
    <n v="1"/>
    <x v="0"/>
    <n v="13"/>
    <n v="3"/>
    <n v="2"/>
    <n v="2"/>
    <n v="1"/>
    <n v="2"/>
    <n v="2"/>
    <n v="1"/>
    <n v="0"/>
    <n v="0"/>
    <n v="0"/>
    <x v="3"/>
    <s v="Low"/>
    <n v="6281.2528616024974"/>
    <s v="Below salary"/>
    <s v="Medium Risk"/>
  </r>
  <r>
    <n v="53"/>
    <x v="1"/>
    <s v="Travel_Rarely"/>
    <n v="1219"/>
    <x v="0"/>
    <n v="2"/>
    <n v="4"/>
    <s v="Life Sciences"/>
    <n v="23"/>
    <n v="1"/>
    <x v="0"/>
    <n v="78"/>
    <n v="2"/>
    <n v="4"/>
    <x v="5"/>
    <n v="4"/>
    <s v="Married"/>
    <x v="18"/>
    <n v="22021"/>
    <n v="2"/>
    <x v="1"/>
    <n v="16"/>
    <n v="3"/>
    <n v="3"/>
    <n v="0"/>
    <n v="31"/>
    <n v="3"/>
    <n v="3"/>
    <n v="25"/>
    <n v="8"/>
    <n v="3"/>
    <n v="7"/>
    <x v="1"/>
    <s v="Very High"/>
    <n v="6959.17264573991"/>
    <s v="Above salary"/>
    <s v="Low Risk"/>
  </r>
  <r>
    <n v="38"/>
    <x v="1"/>
    <s v="Travel_Rarely"/>
    <n v="371"/>
    <x v="1"/>
    <n v="2"/>
    <n v="3"/>
    <s v="Life Sciences"/>
    <n v="24"/>
    <n v="4"/>
    <x v="1"/>
    <n v="45"/>
    <n v="3"/>
    <n v="1"/>
    <x v="1"/>
    <n v="4"/>
    <s v="Single"/>
    <x v="19"/>
    <n v="4306"/>
    <n v="5"/>
    <x v="0"/>
    <n v="11"/>
    <n v="3"/>
    <n v="3"/>
    <n v="0"/>
    <n v="6"/>
    <n v="3"/>
    <n v="3"/>
    <n v="3"/>
    <n v="2"/>
    <n v="1"/>
    <n v="2"/>
    <x v="0"/>
    <s v="Mid"/>
    <n v="6281.2528616024974"/>
    <s v="Below salary"/>
    <s v="Medium Risk"/>
  </r>
  <r>
    <n v="24"/>
    <x v="1"/>
    <s v="Non-Travel"/>
    <n v="673"/>
    <x v="1"/>
    <n v="11"/>
    <n v="2"/>
    <s v="Other"/>
    <n v="26"/>
    <n v="1"/>
    <x v="0"/>
    <n v="96"/>
    <n v="4"/>
    <n v="2"/>
    <x v="3"/>
    <n v="3"/>
    <s v="Divorced"/>
    <x v="20"/>
    <n v="8232"/>
    <n v="0"/>
    <x v="1"/>
    <n v="18"/>
    <n v="3"/>
    <n v="4"/>
    <n v="1"/>
    <n v="5"/>
    <n v="5"/>
    <n v="2"/>
    <n v="4"/>
    <n v="2"/>
    <n v="1"/>
    <n v="3"/>
    <x v="3"/>
    <s v="Mid"/>
    <n v="6281.2528616024974"/>
    <s v="Below salary"/>
    <s v="Low Risk"/>
  </r>
  <r>
    <n v="36"/>
    <x v="0"/>
    <s v="Travel_Rarely"/>
    <n v="1218"/>
    <x v="0"/>
    <n v="9"/>
    <n v="4"/>
    <s v="Life Sciences"/>
    <n v="27"/>
    <n v="3"/>
    <x v="1"/>
    <n v="82"/>
    <n v="2"/>
    <n v="1"/>
    <x v="6"/>
    <n v="1"/>
    <s v="Single"/>
    <x v="21"/>
    <n v="6986"/>
    <n v="7"/>
    <x v="1"/>
    <n v="23"/>
    <n v="4"/>
    <n v="2"/>
    <n v="0"/>
    <n v="10"/>
    <n v="4"/>
    <n v="3"/>
    <n v="5"/>
    <n v="3"/>
    <n v="0"/>
    <n v="3"/>
    <x v="0"/>
    <s v="Mid"/>
    <n v="6959.17264573991"/>
    <s v="Below salary"/>
    <s v="Medium Risk"/>
  </r>
  <r>
    <n v="34"/>
    <x v="1"/>
    <s v="Travel_Rarely"/>
    <n v="419"/>
    <x v="1"/>
    <n v="7"/>
    <n v="4"/>
    <s v="Life Sciences"/>
    <n v="28"/>
    <n v="1"/>
    <x v="0"/>
    <n v="53"/>
    <n v="3"/>
    <n v="3"/>
    <x v="7"/>
    <n v="2"/>
    <s v="Single"/>
    <x v="22"/>
    <n v="21293"/>
    <n v="0"/>
    <x v="1"/>
    <n v="11"/>
    <n v="3"/>
    <n v="3"/>
    <n v="0"/>
    <n v="13"/>
    <n v="4"/>
    <n v="3"/>
    <n v="12"/>
    <n v="6"/>
    <n v="2"/>
    <n v="11"/>
    <x v="2"/>
    <s v="High"/>
    <n v="6281.2528616024974"/>
    <s v="Above salary"/>
    <s v="Medium Risk"/>
  </r>
  <r>
    <n v="21"/>
    <x v="1"/>
    <s v="Travel_Rarely"/>
    <n v="391"/>
    <x v="1"/>
    <n v="15"/>
    <n v="2"/>
    <s v="Life Sciences"/>
    <n v="30"/>
    <n v="3"/>
    <x v="1"/>
    <n v="96"/>
    <n v="3"/>
    <n v="1"/>
    <x v="1"/>
    <n v="4"/>
    <s v="Single"/>
    <x v="23"/>
    <n v="19281"/>
    <n v="1"/>
    <x v="1"/>
    <n v="14"/>
    <n v="3"/>
    <n v="4"/>
    <n v="0"/>
    <n v="0"/>
    <n v="6"/>
    <n v="3"/>
    <n v="0"/>
    <n v="0"/>
    <n v="0"/>
    <n v="0"/>
    <x v="3"/>
    <s v="Low"/>
    <n v="6281.2528616024974"/>
    <s v="Below salary"/>
    <s v="Low Risk"/>
  </r>
  <r>
    <n v="34"/>
    <x v="0"/>
    <s v="Travel_Rarely"/>
    <n v="699"/>
    <x v="1"/>
    <n v="6"/>
    <n v="1"/>
    <s v="Medical"/>
    <n v="31"/>
    <n v="2"/>
    <x v="1"/>
    <n v="83"/>
    <n v="3"/>
    <n v="1"/>
    <x v="1"/>
    <n v="1"/>
    <s v="Single"/>
    <x v="24"/>
    <n v="17102"/>
    <n v="2"/>
    <x v="1"/>
    <n v="11"/>
    <n v="3"/>
    <n v="3"/>
    <n v="0"/>
    <n v="8"/>
    <n v="2"/>
    <n v="3"/>
    <n v="4"/>
    <n v="2"/>
    <n v="1"/>
    <n v="3"/>
    <x v="2"/>
    <s v="Low"/>
    <n v="6281.2528616024974"/>
    <s v="Below salary"/>
    <s v="Medium Risk"/>
  </r>
  <r>
    <n v="53"/>
    <x v="1"/>
    <s v="Travel_Rarely"/>
    <n v="1282"/>
    <x v="1"/>
    <n v="5"/>
    <n v="3"/>
    <s v="Other"/>
    <n v="32"/>
    <n v="3"/>
    <x v="0"/>
    <n v="58"/>
    <n v="3"/>
    <n v="5"/>
    <x v="5"/>
    <n v="3"/>
    <s v="Divorced"/>
    <x v="25"/>
    <n v="10735"/>
    <n v="4"/>
    <x v="1"/>
    <n v="11"/>
    <n v="3"/>
    <n v="4"/>
    <n v="1"/>
    <n v="26"/>
    <n v="3"/>
    <n v="2"/>
    <n v="14"/>
    <n v="13"/>
    <n v="4"/>
    <n v="8"/>
    <x v="1"/>
    <s v="Very High"/>
    <n v="6281.2528616024974"/>
    <s v="Above salary"/>
    <s v="Low Risk"/>
  </r>
  <r>
    <n v="32"/>
    <x v="0"/>
    <s v="Travel_Frequently"/>
    <n v="1125"/>
    <x v="1"/>
    <n v="16"/>
    <n v="1"/>
    <s v="Life Sciences"/>
    <n v="33"/>
    <n v="2"/>
    <x v="0"/>
    <n v="72"/>
    <n v="1"/>
    <n v="1"/>
    <x v="1"/>
    <n v="1"/>
    <s v="Single"/>
    <x v="26"/>
    <n v="4681"/>
    <n v="1"/>
    <x v="0"/>
    <n v="22"/>
    <n v="4"/>
    <n v="2"/>
    <n v="0"/>
    <n v="10"/>
    <n v="5"/>
    <n v="3"/>
    <n v="10"/>
    <n v="2"/>
    <n v="6"/>
    <n v="7"/>
    <x v="2"/>
    <s v="Mid"/>
    <n v="6281.2528616024974"/>
    <s v="Below salary"/>
    <s v="High Risk"/>
  </r>
  <r>
    <n v="42"/>
    <x v="1"/>
    <s v="Travel_Rarely"/>
    <n v="691"/>
    <x v="0"/>
    <n v="8"/>
    <n v="4"/>
    <s v="Marketing"/>
    <n v="35"/>
    <n v="3"/>
    <x v="1"/>
    <n v="48"/>
    <n v="3"/>
    <n v="2"/>
    <x v="0"/>
    <n v="2"/>
    <s v="Married"/>
    <x v="27"/>
    <n v="21173"/>
    <n v="0"/>
    <x v="1"/>
    <n v="11"/>
    <n v="3"/>
    <n v="4"/>
    <n v="1"/>
    <n v="10"/>
    <n v="2"/>
    <n v="3"/>
    <n v="9"/>
    <n v="7"/>
    <n v="4"/>
    <n v="2"/>
    <x v="0"/>
    <s v="Mid"/>
    <n v="6959.17264573991"/>
    <s v="Below salary"/>
    <s v="Medium Risk"/>
  </r>
  <r>
    <n v="44"/>
    <x v="1"/>
    <s v="Travel_Rarely"/>
    <n v="477"/>
    <x v="1"/>
    <n v="7"/>
    <n v="4"/>
    <s v="Medical"/>
    <n v="36"/>
    <n v="1"/>
    <x v="0"/>
    <n v="42"/>
    <n v="2"/>
    <n v="3"/>
    <x v="4"/>
    <n v="4"/>
    <s v="Married"/>
    <x v="28"/>
    <n v="2094"/>
    <n v="3"/>
    <x v="1"/>
    <n v="14"/>
    <n v="3"/>
    <n v="4"/>
    <n v="1"/>
    <n v="24"/>
    <n v="4"/>
    <n v="3"/>
    <n v="22"/>
    <n v="6"/>
    <n v="5"/>
    <n v="17"/>
    <x v="0"/>
    <s v="High"/>
    <n v="6281.2528616024974"/>
    <s v="Above salary"/>
    <s v="Low Risk"/>
  </r>
  <r>
    <n v="46"/>
    <x v="1"/>
    <s v="Travel_Rarely"/>
    <n v="705"/>
    <x v="0"/>
    <n v="2"/>
    <n v="4"/>
    <s v="Marketing"/>
    <n v="38"/>
    <n v="2"/>
    <x v="0"/>
    <n v="83"/>
    <n v="3"/>
    <n v="5"/>
    <x v="5"/>
    <n v="1"/>
    <s v="Single"/>
    <x v="29"/>
    <n v="22822"/>
    <n v="3"/>
    <x v="1"/>
    <n v="12"/>
    <n v="3"/>
    <n v="4"/>
    <n v="0"/>
    <n v="22"/>
    <n v="2"/>
    <n v="2"/>
    <n v="2"/>
    <n v="2"/>
    <n v="2"/>
    <n v="1"/>
    <x v="1"/>
    <s v="Very High"/>
    <n v="6959.17264573991"/>
    <s v="Above salary"/>
    <s v="Medium Risk"/>
  </r>
  <r>
    <n v="33"/>
    <x v="1"/>
    <s v="Travel_Rarely"/>
    <n v="924"/>
    <x v="1"/>
    <n v="2"/>
    <n v="3"/>
    <s v="Medical"/>
    <n v="39"/>
    <n v="3"/>
    <x v="1"/>
    <n v="78"/>
    <n v="3"/>
    <n v="1"/>
    <x v="2"/>
    <n v="4"/>
    <s v="Single"/>
    <x v="30"/>
    <n v="6670"/>
    <n v="4"/>
    <x v="1"/>
    <n v="11"/>
    <n v="3"/>
    <n v="4"/>
    <n v="0"/>
    <n v="7"/>
    <n v="3"/>
    <n v="3"/>
    <n v="1"/>
    <n v="1"/>
    <n v="0"/>
    <n v="0"/>
    <x v="2"/>
    <s v="Low"/>
    <n v="6281.2528616024974"/>
    <s v="Below salary"/>
    <s v="Low Risk"/>
  </r>
  <r>
    <n v="44"/>
    <x v="1"/>
    <s v="Travel_Rarely"/>
    <n v="1459"/>
    <x v="1"/>
    <n v="10"/>
    <n v="4"/>
    <s v="Other"/>
    <n v="40"/>
    <n v="4"/>
    <x v="1"/>
    <n v="41"/>
    <n v="3"/>
    <n v="2"/>
    <x v="4"/>
    <n v="4"/>
    <s v="Married"/>
    <x v="31"/>
    <n v="19121"/>
    <n v="2"/>
    <x v="0"/>
    <n v="13"/>
    <n v="3"/>
    <n v="4"/>
    <n v="0"/>
    <n v="9"/>
    <n v="5"/>
    <n v="4"/>
    <n v="4"/>
    <n v="2"/>
    <n v="1"/>
    <n v="3"/>
    <x v="0"/>
    <s v="Mid"/>
    <n v="6281.2528616024974"/>
    <s v="Above salary"/>
    <s v="Medium Risk"/>
  </r>
  <r>
    <n v="30"/>
    <x v="1"/>
    <s v="Travel_Rarely"/>
    <n v="125"/>
    <x v="1"/>
    <n v="9"/>
    <n v="2"/>
    <s v="Medical"/>
    <n v="41"/>
    <n v="4"/>
    <x v="1"/>
    <n v="83"/>
    <n v="2"/>
    <n v="1"/>
    <x v="2"/>
    <n v="3"/>
    <s v="Single"/>
    <x v="32"/>
    <n v="16117"/>
    <n v="1"/>
    <x v="1"/>
    <n v="13"/>
    <n v="3"/>
    <n v="1"/>
    <n v="0"/>
    <n v="10"/>
    <n v="5"/>
    <n v="3"/>
    <n v="10"/>
    <n v="0"/>
    <n v="1"/>
    <n v="8"/>
    <x v="2"/>
    <s v="Low"/>
    <n v="6281.2528616024974"/>
    <s v="Below salary"/>
    <s v="Low Risk"/>
  </r>
  <r>
    <n v="39"/>
    <x v="0"/>
    <s v="Travel_Rarely"/>
    <n v="895"/>
    <x v="0"/>
    <n v="5"/>
    <n v="3"/>
    <s v="Technical Degree"/>
    <n v="42"/>
    <n v="4"/>
    <x v="1"/>
    <n v="56"/>
    <n v="3"/>
    <n v="2"/>
    <x v="6"/>
    <n v="4"/>
    <s v="Married"/>
    <x v="33"/>
    <n v="3335"/>
    <n v="3"/>
    <x v="1"/>
    <n v="14"/>
    <n v="3"/>
    <n v="3"/>
    <n v="1"/>
    <n v="19"/>
    <n v="6"/>
    <n v="4"/>
    <n v="1"/>
    <n v="0"/>
    <n v="0"/>
    <n v="0"/>
    <x v="0"/>
    <s v="Low"/>
    <n v="6959.17264573991"/>
    <s v="Below salary"/>
    <s v="Low Risk"/>
  </r>
  <r>
    <n v="24"/>
    <x v="0"/>
    <s v="Travel_Rarely"/>
    <n v="813"/>
    <x v="1"/>
    <n v="1"/>
    <n v="3"/>
    <s v="Medical"/>
    <n v="45"/>
    <n v="2"/>
    <x v="1"/>
    <n v="61"/>
    <n v="3"/>
    <n v="1"/>
    <x v="1"/>
    <n v="4"/>
    <s v="Married"/>
    <x v="34"/>
    <n v="3020"/>
    <n v="2"/>
    <x v="0"/>
    <n v="16"/>
    <n v="3"/>
    <n v="1"/>
    <n v="1"/>
    <n v="6"/>
    <n v="2"/>
    <n v="2"/>
    <n v="2"/>
    <n v="0"/>
    <n v="2"/>
    <n v="0"/>
    <x v="3"/>
    <s v="Low"/>
    <n v="6281.2528616024974"/>
    <s v="Below salary"/>
    <s v="Medium Risk"/>
  </r>
  <r>
    <n v="43"/>
    <x v="1"/>
    <s v="Travel_Rarely"/>
    <n v="1273"/>
    <x v="1"/>
    <n v="2"/>
    <n v="2"/>
    <s v="Medical"/>
    <n v="46"/>
    <n v="4"/>
    <x v="0"/>
    <n v="72"/>
    <n v="4"/>
    <n v="1"/>
    <x v="1"/>
    <n v="3"/>
    <s v="Divorced"/>
    <x v="35"/>
    <n v="21923"/>
    <n v="1"/>
    <x v="1"/>
    <n v="12"/>
    <n v="3"/>
    <n v="4"/>
    <n v="2"/>
    <n v="6"/>
    <n v="3"/>
    <n v="2"/>
    <n v="5"/>
    <n v="3"/>
    <n v="1"/>
    <n v="4"/>
    <x v="0"/>
    <s v="Low"/>
    <n v="6281.2528616024974"/>
    <s v="Below salary"/>
    <s v="Low Risk"/>
  </r>
  <r>
    <n v="50"/>
    <x v="0"/>
    <s v="Travel_Rarely"/>
    <n v="869"/>
    <x v="0"/>
    <n v="3"/>
    <n v="2"/>
    <s v="Marketing"/>
    <n v="47"/>
    <n v="1"/>
    <x v="1"/>
    <n v="86"/>
    <n v="2"/>
    <n v="1"/>
    <x v="6"/>
    <n v="3"/>
    <s v="Married"/>
    <x v="36"/>
    <n v="3810"/>
    <n v="1"/>
    <x v="0"/>
    <n v="14"/>
    <n v="3"/>
    <n v="3"/>
    <n v="0"/>
    <n v="3"/>
    <n v="2"/>
    <n v="3"/>
    <n v="3"/>
    <n v="2"/>
    <n v="0"/>
    <n v="2"/>
    <x v="1"/>
    <s v="Low"/>
    <n v="6959.17264573991"/>
    <s v="Below salary"/>
    <s v="Medium Risk"/>
  </r>
  <r>
    <n v="35"/>
    <x v="1"/>
    <s v="Travel_Rarely"/>
    <n v="890"/>
    <x v="0"/>
    <n v="2"/>
    <n v="3"/>
    <s v="Marketing"/>
    <n v="49"/>
    <n v="4"/>
    <x v="0"/>
    <n v="97"/>
    <n v="3"/>
    <n v="1"/>
    <x v="6"/>
    <n v="4"/>
    <s v="Married"/>
    <x v="37"/>
    <n v="9687"/>
    <n v="1"/>
    <x v="1"/>
    <n v="13"/>
    <n v="3"/>
    <n v="1"/>
    <n v="0"/>
    <n v="2"/>
    <n v="3"/>
    <n v="3"/>
    <n v="2"/>
    <n v="2"/>
    <n v="2"/>
    <n v="2"/>
    <x v="2"/>
    <s v="Low"/>
    <n v="6959.17264573991"/>
    <s v="Below salary"/>
    <s v="Low Risk"/>
  </r>
  <r>
    <n v="36"/>
    <x v="1"/>
    <s v="Travel_Rarely"/>
    <n v="852"/>
    <x v="1"/>
    <n v="5"/>
    <n v="4"/>
    <s v="Life Sciences"/>
    <n v="51"/>
    <n v="2"/>
    <x v="0"/>
    <n v="82"/>
    <n v="2"/>
    <n v="1"/>
    <x v="1"/>
    <n v="1"/>
    <s v="Married"/>
    <x v="38"/>
    <n v="13072"/>
    <n v="9"/>
    <x v="0"/>
    <n v="14"/>
    <n v="3"/>
    <n v="4"/>
    <n v="1"/>
    <n v="6"/>
    <n v="3"/>
    <n v="4"/>
    <n v="1"/>
    <n v="1"/>
    <n v="0"/>
    <n v="0"/>
    <x v="0"/>
    <s v="Mid"/>
    <n v="6281.2528616024974"/>
    <s v="Below salary"/>
    <s v="High Risk"/>
  </r>
  <r>
    <n v="33"/>
    <x v="1"/>
    <s v="Travel_Frequently"/>
    <n v="1141"/>
    <x v="0"/>
    <n v="1"/>
    <n v="3"/>
    <s v="Life Sciences"/>
    <n v="52"/>
    <n v="3"/>
    <x v="0"/>
    <n v="42"/>
    <n v="4"/>
    <n v="2"/>
    <x v="0"/>
    <n v="1"/>
    <s v="Married"/>
    <x v="39"/>
    <n v="3193"/>
    <n v="2"/>
    <x v="1"/>
    <n v="19"/>
    <n v="3"/>
    <n v="1"/>
    <n v="2"/>
    <n v="10"/>
    <n v="3"/>
    <n v="3"/>
    <n v="5"/>
    <n v="3"/>
    <n v="1"/>
    <n v="3"/>
    <x v="2"/>
    <s v="Mid"/>
    <n v="6959.17264573991"/>
    <s v="Below salary"/>
    <s v="Medium Risk"/>
  </r>
  <r>
    <n v="35"/>
    <x v="1"/>
    <s v="Travel_Rarely"/>
    <n v="464"/>
    <x v="1"/>
    <n v="4"/>
    <n v="2"/>
    <s v="Other"/>
    <n v="53"/>
    <n v="3"/>
    <x v="1"/>
    <n v="75"/>
    <n v="3"/>
    <n v="1"/>
    <x v="2"/>
    <n v="4"/>
    <s v="Divorced"/>
    <x v="40"/>
    <n v="10910"/>
    <n v="1"/>
    <x v="1"/>
    <n v="12"/>
    <n v="3"/>
    <n v="3"/>
    <n v="1"/>
    <n v="1"/>
    <n v="3"/>
    <n v="3"/>
    <n v="1"/>
    <n v="0"/>
    <n v="0"/>
    <n v="0"/>
    <x v="2"/>
    <s v="Low"/>
    <n v="6281.2528616024974"/>
    <s v="Below salary"/>
    <s v="Low Risk"/>
  </r>
  <r>
    <n v="27"/>
    <x v="1"/>
    <s v="Travel_Rarely"/>
    <n v="1240"/>
    <x v="1"/>
    <n v="2"/>
    <n v="4"/>
    <s v="Life Sciences"/>
    <n v="54"/>
    <n v="4"/>
    <x v="0"/>
    <n v="33"/>
    <n v="3"/>
    <n v="1"/>
    <x v="2"/>
    <n v="1"/>
    <s v="Divorced"/>
    <x v="41"/>
    <n v="19715"/>
    <n v="1"/>
    <x v="1"/>
    <n v="13"/>
    <n v="3"/>
    <n v="4"/>
    <n v="1"/>
    <n v="1"/>
    <n v="6"/>
    <n v="3"/>
    <n v="1"/>
    <n v="0"/>
    <n v="0"/>
    <n v="0"/>
    <x v="2"/>
    <s v="Low"/>
    <n v="6281.2528616024974"/>
    <s v="Below salary"/>
    <s v="Medium Risk"/>
  </r>
  <r>
    <n v="26"/>
    <x v="0"/>
    <s v="Travel_Rarely"/>
    <n v="1357"/>
    <x v="1"/>
    <n v="25"/>
    <n v="3"/>
    <s v="Life Sciences"/>
    <n v="55"/>
    <n v="1"/>
    <x v="1"/>
    <n v="48"/>
    <n v="1"/>
    <n v="1"/>
    <x v="2"/>
    <n v="3"/>
    <s v="Single"/>
    <x v="34"/>
    <n v="10558"/>
    <n v="1"/>
    <x v="1"/>
    <n v="12"/>
    <n v="3"/>
    <n v="3"/>
    <n v="0"/>
    <n v="1"/>
    <n v="2"/>
    <n v="2"/>
    <n v="1"/>
    <n v="0"/>
    <n v="0"/>
    <n v="1"/>
    <x v="2"/>
    <s v="Low"/>
    <n v="6281.2528616024974"/>
    <s v="Below salary"/>
    <s v="Low Risk"/>
  </r>
  <r>
    <n v="27"/>
    <x v="1"/>
    <s v="Travel_Frequently"/>
    <n v="994"/>
    <x v="0"/>
    <n v="8"/>
    <n v="3"/>
    <s v="Life Sciences"/>
    <n v="56"/>
    <n v="4"/>
    <x v="1"/>
    <n v="37"/>
    <n v="3"/>
    <n v="3"/>
    <x v="0"/>
    <n v="3"/>
    <s v="Single"/>
    <x v="42"/>
    <n v="2975"/>
    <n v="1"/>
    <x v="1"/>
    <n v="15"/>
    <n v="3"/>
    <n v="4"/>
    <n v="0"/>
    <n v="9"/>
    <n v="0"/>
    <n v="3"/>
    <n v="9"/>
    <n v="8"/>
    <n v="1"/>
    <n v="7"/>
    <x v="2"/>
    <s v="High"/>
    <n v="6959.17264573991"/>
    <s v="Above salary"/>
    <s v="Low Risk"/>
  </r>
  <r>
    <n v="30"/>
    <x v="1"/>
    <s v="Travel_Frequently"/>
    <n v="721"/>
    <x v="1"/>
    <n v="1"/>
    <n v="2"/>
    <s v="Medical"/>
    <n v="57"/>
    <n v="3"/>
    <x v="0"/>
    <n v="58"/>
    <n v="3"/>
    <n v="2"/>
    <x v="2"/>
    <n v="4"/>
    <s v="Single"/>
    <x v="20"/>
    <n v="10781"/>
    <n v="1"/>
    <x v="1"/>
    <n v="23"/>
    <n v="4"/>
    <n v="4"/>
    <n v="0"/>
    <n v="12"/>
    <n v="2"/>
    <n v="3"/>
    <n v="12"/>
    <n v="8"/>
    <n v="3"/>
    <n v="7"/>
    <x v="2"/>
    <s v="Mid"/>
    <n v="6281.2528616024974"/>
    <s v="Below salary"/>
    <s v="Low Risk"/>
  </r>
  <r>
    <n v="41"/>
    <x v="0"/>
    <s v="Travel_Rarely"/>
    <n v="1360"/>
    <x v="1"/>
    <n v="12"/>
    <n v="3"/>
    <s v="Technical Degree"/>
    <n v="58"/>
    <n v="2"/>
    <x v="0"/>
    <n v="49"/>
    <n v="3"/>
    <n v="5"/>
    <x v="7"/>
    <n v="3"/>
    <s v="Married"/>
    <x v="43"/>
    <n v="16280"/>
    <n v="1"/>
    <x v="1"/>
    <n v="12"/>
    <n v="3"/>
    <n v="4"/>
    <n v="0"/>
    <n v="23"/>
    <n v="0"/>
    <n v="3"/>
    <n v="22"/>
    <n v="15"/>
    <n v="15"/>
    <n v="8"/>
    <x v="0"/>
    <s v="Very High"/>
    <n v="6281.2528616024974"/>
    <s v="Above salary"/>
    <s v="Low Risk"/>
  </r>
  <r>
    <n v="34"/>
    <x v="1"/>
    <s v="Non-Travel"/>
    <n v="1065"/>
    <x v="0"/>
    <n v="23"/>
    <n v="4"/>
    <s v="Marketing"/>
    <n v="60"/>
    <n v="2"/>
    <x v="1"/>
    <n v="72"/>
    <n v="3"/>
    <n v="2"/>
    <x v="0"/>
    <n v="3"/>
    <s v="Single"/>
    <x v="44"/>
    <n v="10034"/>
    <n v="0"/>
    <x v="1"/>
    <n v="20"/>
    <n v="4"/>
    <n v="3"/>
    <n v="0"/>
    <n v="10"/>
    <n v="2"/>
    <n v="3"/>
    <n v="9"/>
    <n v="5"/>
    <n v="8"/>
    <n v="7"/>
    <x v="2"/>
    <s v="Mid"/>
    <n v="6959.17264573991"/>
    <s v="Below salary"/>
    <s v="Low Risk"/>
  </r>
  <r>
    <n v="37"/>
    <x v="1"/>
    <s v="Travel_Rarely"/>
    <n v="408"/>
    <x v="1"/>
    <n v="19"/>
    <n v="2"/>
    <s v="Life Sciences"/>
    <n v="61"/>
    <n v="2"/>
    <x v="1"/>
    <n v="73"/>
    <n v="3"/>
    <n v="1"/>
    <x v="1"/>
    <n v="2"/>
    <s v="Married"/>
    <x v="45"/>
    <n v="10227"/>
    <n v="4"/>
    <x v="1"/>
    <n v="21"/>
    <n v="4"/>
    <n v="1"/>
    <n v="0"/>
    <n v="8"/>
    <n v="1"/>
    <n v="3"/>
    <n v="1"/>
    <n v="0"/>
    <n v="0"/>
    <n v="0"/>
    <x v="0"/>
    <s v="Mid"/>
    <n v="6281.2528616024974"/>
    <s v="Below salary"/>
    <s v="Medium Risk"/>
  </r>
  <r>
    <n v="46"/>
    <x v="1"/>
    <s v="Travel_Frequently"/>
    <n v="1211"/>
    <x v="0"/>
    <n v="5"/>
    <n v="4"/>
    <s v="Marketing"/>
    <n v="62"/>
    <n v="1"/>
    <x v="1"/>
    <n v="98"/>
    <n v="3"/>
    <n v="2"/>
    <x v="0"/>
    <n v="4"/>
    <s v="Single"/>
    <x v="46"/>
    <n v="20445"/>
    <n v="4"/>
    <x v="0"/>
    <n v="21"/>
    <n v="4"/>
    <n v="3"/>
    <n v="0"/>
    <n v="14"/>
    <n v="4"/>
    <n v="3"/>
    <n v="9"/>
    <n v="6"/>
    <n v="0"/>
    <n v="8"/>
    <x v="1"/>
    <s v="Mid"/>
    <n v="6959.17264573991"/>
    <s v="Below salary"/>
    <s v="Medium Risk"/>
  </r>
  <r>
    <n v="35"/>
    <x v="1"/>
    <s v="Travel_Rarely"/>
    <n v="1229"/>
    <x v="1"/>
    <n v="8"/>
    <n v="1"/>
    <s v="Life Sciences"/>
    <n v="63"/>
    <n v="4"/>
    <x v="1"/>
    <n v="36"/>
    <n v="4"/>
    <n v="1"/>
    <x v="2"/>
    <n v="4"/>
    <s v="Married"/>
    <x v="47"/>
    <n v="4892"/>
    <n v="1"/>
    <x v="1"/>
    <n v="19"/>
    <n v="3"/>
    <n v="4"/>
    <n v="0"/>
    <n v="1"/>
    <n v="2"/>
    <n v="3"/>
    <n v="1"/>
    <n v="0"/>
    <n v="0"/>
    <n v="1"/>
    <x v="2"/>
    <s v="Low"/>
    <n v="6281.2528616024974"/>
    <s v="Below salary"/>
    <s v="Low Risk"/>
  </r>
  <r>
    <n v="48"/>
    <x v="0"/>
    <s v="Travel_Rarely"/>
    <n v="626"/>
    <x v="1"/>
    <n v="1"/>
    <n v="2"/>
    <s v="Life Sciences"/>
    <n v="64"/>
    <n v="1"/>
    <x v="1"/>
    <n v="98"/>
    <n v="2"/>
    <n v="3"/>
    <x v="2"/>
    <n v="3"/>
    <s v="Single"/>
    <x v="48"/>
    <n v="19294"/>
    <n v="9"/>
    <x v="0"/>
    <n v="13"/>
    <n v="3"/>
    <n v="4"/>
    <n v="0"/>
    <n v="23"/>
    <n v="2"/>
    <n v="3"/>
    <n v="1"/>
    <n v="0"/>
    <n v="0"/>
    <n v="0"/>
    <x v="1"/>
    <s v="Mid"/>
    <n v="6281.2528616024974"/>
    <s v="Below salary"/>
    <s v="Medium Risk"/>
  </r>
  <r>
    <n v="28"/>
    <x v="0"/>
    <s v="Travel_Rarely"/>
    <n v="1434"/>
    <x v="1"/>
    <n v="5"/>
    <n v="4"/>
    <s v="Technical Degree"/>
    <n v="65"/>
    <n v="3"/>
    <x v="1"/>
    <n v="50"/>
    <n v="3"/>
    <n v="1"/>
    <x v="2"/>
    <n v="3"/>
    <s v="Single"/>
    <x v="49"/>
    <n v="11179"/>
    <n v="1"/>
    <x v="0"/>
    <n v="13"/>
    <n v="3"/>
    <n v="3"/>
    <n v="0"/>
    <n v="2"/>
    <n v="3"/>
    <n v="2"/>
    <n v="2"/>
    <n v="2"/>
    <n v="2"/>
    <n v="2"/>
    <x v="2"/>
    <s v="Mid"/>
    <n v="6281.2528616024974"/>
    <s v="Below salary"/>
    <s v="Medium Risk"/>
  </r>
  <r>
    <n v="44"/>
    <x v="1"/>
    <s v="Travel_Rarely"/>
    <n v="1488"/>
    <x v="0"/>
    <n v="1"/>
    <n v="5"/>
    <s v="Marketing"/>
    <n v="68"/>
    <n v="2"/>
    <x v="0"/>
    <n v="75"/>
    <n v="3"/>
    <n v="2"/>
    <x v="0"/>
    <n v="1"/>
    <s v="Divorced"/>
    <x v="50"/>
    <n v="4009"/>
    <n v="5"/>
    <x v="0"/>
    <n v="21"/>
    <n v="4"/>
    <n v="3"/>
    <n v="1"/>
    <n v="9"/>
    <n v="2"/>
    <n v="2"/>
    <n v="4"/>
    <n v="3"/>
    <n v="1"/>
    <n v="3"/>
    <x v="0"/>
    <s v="Mid"/>
    <n v="6959.17264573991"/>
    <s v="Below salary"/>
    <s v="High Risk"/>
  </r>
  <r>
    <n v="35"/>
    <x v="1"/>
    <s v="Non-Travel"/>
    <n v="1097"/>
    <x v="1"/>
    <n v="11"/>
    <n v="2"/>
    <s v="Medical"/>
    <n v="70"/>
    <n v="3"/>
    <x v="1"/>
    <n v="79"/>
    <n v="2"/>
    <n v="3"/>
    <x v="4"/>
    <n v="1"/>
    <s v="Married"/>
    <x v="51"/>
    <n v="8302"/>
    <n v="2"/>
    <x v="0"/>
    <n v="13"/>
    <n v="3"/>
    <n v="3"/>
    <n v="1"/>
    <n v="10"/>
    <n v="3"/>
    <n v="3"/>
    <n v="4"/>
    <n v="0"/>
    <n v="2"/>
    <n v="3"/>
    <x v="2"/>
    <s v="High"/>
    <n v="6281.2528616024974"/>
    <s v="Above salary"/>
    <s v="High Risk"/>
  </r>
  <r>
    <n v="26"/>
    <x v="1"/>
    <s v="Travel_Rarely"/>
    <n v="1443"/>
    <x v="0"/>
    <n v="23"/>
    <n v="3"/>
    <s v="Marketing"/>
    <n v="72"/>
    <n v="3"/>
    <x v="0"/>
    <n v="47"/>
    <n v="2"/>
    <n v="2"/>
    <x v="0"/>
    <n v="4"/>
    <s v="Married"/>
    <x v="52"/>
    <n v="21436"/>
    <n v="7"/>
    <x v="0"/>
    <n v="19"/>
    <n v="3"/>
    <n v="3"/>
    <n v="1"/>
    <n v="5"/>
    <n v="2"/>
    <n v="2"/>
    <n v="2"/>
    <n v="2"/>
    <n v="0"/>
    <n v="0"/>
    <x v="2"/>
    <s v="Mid"/>
    <n v="6959.17264573991"/>
    <s v="Below salary"/>
    <s v="Medium Risk"/>
  </r>
  <r>
    <n v="33"/>
    <x v="1"/>
    <s v="Travel_Frequently"/>
    <n v="515"/>
    <x v="1"/>
    <n v="1"/>
    <n v="2"/>
    <s v="Life Sciences"/>
    <n v="73"/>
    <n v="1"/>
    <x v="0"/>
    <n v="98"/>
    <n v="3"/>
    <n v="3"/>
    <x v="7"/>
    <n v="4"/>
    <s v="Single"/>
    <x v="53"/>
    <n v="15146"/>
    <n v="1"/>
    <x v="0"/>
    <n v="12"/>
    <n v="3"/>
    <n v="3"/>
    <n v="0"/>
    <n v="15"/>
    <n v="1"/>
    <n v="3"/>
    <n v="15"/>
    <n v="14"/>
    <n v="8"/>
    <n v="12"/>
    <x v="2"/>
    <s v="Very High"/>
    <n v="6281.2528616024974"/>
    <s v="Above salary"/>
    <s v="Medium Risk"/>
  </r>
  <r>
    <n v="35"/>
    <x v="1"/>
    <s v="Travel_Frequently"/>
    <n v="853"/>
    <x v="0"/>
    <n v="18"/>
    <n v="5"/>
    <s v="Life Sciences"/>
    <n v="74"/>
    <n v="2"/>
    <x v="1"/>
    <n v="71"/>
    <n v="3"/>
    <n v="3"/>
    <x v="0"/>
    <n v="1"/>
    <s v="Married"/>
    <x v="54"/>
    <n v="11031"/>
    <n v="1"/>
    <x v="1"/>
    <n v="22"/>
    <n v="4"/>
    <n v="4"/>
    <n v="1"/>
    <n v="9"/>
    <n v="3"/>
    <n v="2"/>
    <n v="9"/>
    <n v="8"/>
    <n v="1"/>
    <n v="8"/>
    <x v="2"/>
    <s v="High"/>
    <n v="6959.17264573991"/>
    <s v="Above salary"/>
    <s v="Medium Risk"/>
  </r>
  <r>
    <n v="35"/>
    <x v="1"/>
    <s v="Travel_Rarely"/>
    <n v="1142"/>
    <x v="1"/>
    <n v="23"/>
    <n v="4"/>
    <s v="Medical"/>
    <n v="75"/>
    <n v="3"/>
    <x v="0"/>
    <n v="30"/>
    <n v="3"/>
    <n v="1"/>
    <x v="2"/>
    <n v="1"/>
    <s v="Married"/>
    <x v="55"/>
    <n v="16002"/>
    <n v="3"/>
    <x v="0"/>
    <n v="15"/>
    <n v="3"/>
    <n v="3"/>
    <n v="1"/>
    <n v="4"/>
    <n v="3"/>
    <n v="3"/>
    <n v="2"/>
    <n v="2"/>
    <n v="2"/>
    <n v="2"/>
    <x v="2"/>
    <s v="Mid"/>
    <n v="6281.2528616024974"/>
    <s v="Below salary"/>
    <s v="High Risk"/>
  </r>
  <r>
    <n v="31"/>
    <x v="1"/>
    <s v="Travel_Rarely"/>
    <n v="655"/>
    <x v="1"/>
    <n v="7"/>
    <n v="4"/>
    <s v="Life Sciences"/>
    <n v="76"/>
    <n v="4"/>
    <x v="1"/>
    <n v="48"/>
    <n v="3"/>
    <n v="2"/>
    <x v="2"/>
    <n v="4"/>
    <s v="Divorced"/>
    <x v="56"/>
    <n v="9528"/>
    <n v="3"/>
    <x v="1"/>
    <n v="22"/>
    <n v="4"/>
    <n v="4"/>
    <n v="1"/>
    <n v="10"/>
    <n v="3"/>
    <n v="2"/>
    <n v="7"/>
    <n v="7"/>
    <n v="1"/>
    <n v="7"/>
    <x v="2"/>
    <s v="Mid"/>
    <n v="6281.2528616024974"/>
    <s v="Below salary"/>
    <s v="Low Risk"/>
  </r>
  <r>
    <n v="37"/>
    <x v="1"/>
    <s v="Travel_Rarely"/>
    <n v="1115"/>
    <x v="1"/>
    <n v="1"/>
    <n v="4"/>
    <s v="Life Sciences"/>
    <n v="77"/>
    <n v="1"/>
    <x v="1"/>
    <n v="51"/>
    <n v="2"/>
    <n v="2"/>
    <x v="3"/>
    <n v="3"/>
    <s v="Divorced"/>
    <x v="0"/>
    <n v="2689"/>
    <n v="1"/>
    <x v="1"/>
    <n v="18"/>
    <n v="3"/>
    <n v="3"/>
    <n v="1"/>
    <n v="7"/>
    <n v="2"/>
    <n v="4"/>
    <n v="7"/>
    <n v="5"/>
    <n v="0"/>
    <n v="7"/>
    <x v="0"/>
    <s v="Mid"/>
    <n v="6281.2528616024974"/>
    <s v="Below salary"/>
    <s v="Low Risk"/>
  </r>
  <r>
    <n v="32"/>
    <x v="1"/>
    <s v="Travel_Rarely"/>
    <n v="427"/>
    <x v="1"/>
    <n v="1"/>
    <n v="3"/>
    <s v="Medical"/>
    <n v="78"/>
    <n v="1"/>
    <x v="1"/>
    <n v="33"/>
    <n v="3"/>
    <n v="2"/>
    <x v="3"/>
    <n v="4"/>
    <s v="Married"/>
    <x v="57"/>
    <n v="10877"/>
    <n v="1"/>
    <x v="0"/>
    <n v="22"/>
    <n v="4"/>
    <n v="2"/>
    <n v="1"/>
    <n v="9"/>
    <n v="3"/>
    <n v="3"/>
    <n v="9"/>
    <n v="8"/>
    <n v="7"/>
    <n v="8"/>
    <x v="2"/>
    <s v="Mid"/>
    <n v="6281.2528616024974"/>
    <s v="Below salary"/>
    <s v="Medium Risk"/>
  </r>
  <r>
    <n v="38"/>
    <x v="1"/>
    <s v="Travel_Frequently"/>
    <n v="653"/>
    <x v="1"/>
    <n v="29"/>
    <n v="5"/>
    <s v="Life Sciences"/>
    <n v="79"/>
    <n v="4"/>
    <x v="0"/>
    <n v="50"/>
    <n v="3"/>
    <n v="2"/>
    <x v="2"/>
    <n v="4"/>
    <s v="Single"/>
    <x v="58"/>
    <n v="5456"/>
    <n v="1"/>
    <x v="1"/>
    <n v="11"/>
    <n v="3"/>
    <n v="4"/>
    <n v="0"/>
    <n v="10"/>
    <n v="2"/>
    <n v="3"/>
    <n v="10"/>
    <n v="3"/>
    <n v="9"/>
    <n v="9"/>
    <x v="0"/>
    <s v="Low"/>
    <n v="6281.2528616024974"/>
    <s v="Below salary"/>
    <s v="Low Risk"/>
  </r>
  <r>
    <n v="50"/>
    <x v="1"/>
    <s v="Travel_Rarely"/>
    <n v="989"/>
    <x v="1"/>
    <n v="7"/>
    <n v="2"/>
    <s v="Medical"/>
    <n v="80"/>
    <n v="2"/>
    <x v="0"/>
    <n v="43"/>
    <n v="2"/>
    <n v="5"/>
    <x v="7"/>
    <n v="3"/>
    <s v="Divorced"/>
    <x v="59"/>
    <n v="16701"/>
    <n v="5"/>
    <x v="0"/>
    <n v="12"/>
    <n v="3"/>
    <n v="4"/>
    <n v="1"/>
    <n v="29"/>
    <n v="2"/>
    <n v="2"/>
    <n v="27"/>
    <n v="3"/>
    <n v="13"/>
    <n v="8"/>
    <x v="1"/>
    <s v="Very High"/>
    <n v="6281.2528616024974"/>
    <s v="Above salary"/>
    <s v="Medium Risk"/>
  </r>
  <r>
    <n v="59"/>
    <x v="1"/>
    <s v="Travel_Rarely"/>
    <n v="1435"/>
    <x v="0"/>
    <n v="25"/>
    <n v="3"/>
    <s v="Life Sciences"/>
    <n v="81"/>
    <n v="1"/>
    <x v="0"/>
    <n v="99"/>
    <n v="3"/>
    <n v="3"/>
    <x v="0"/>
    <n v="1"/>
    <s v="Single"/>
    <x v="60"/>
    <n v="2354"/>
    <n v="7"/>
    <x v="1"/>
    <n v="11"/>
    <n v="3"/>
    <n v="4"/>
    <n v="0"/>
    <n v="28"/>
    <n v="3"/>
    <n v="2"/>
    <n v="21"/>
    <n v="16"/>
    <n v="7"/>
    <n v="9"/>
    <x v="1"/>
    <s v="High"/>
    <n v="6959.17264573991"/>
    <s v="Above salary"/>
    <s v="Medium Risk"/>
  </r>
  <r>
    <n v="36"/>
    <x v="1"/>
    <s v="Travel_Rarely"/>
    <n v="1223"/>
    <x v="1"/>
    <n v="8"/>
    <n v="3"/>
    <s v="Technical Degree"/>
    <n v="83"/>
    <n v="3"/>
    <x v="0"/>
    <n v="59"/>
    <n v="3"/>
    <n v="3"/>
    <x v="4"/>
    <n v="3"/>
    <s v="Divorced"/>
    <x v="61"/>
    <n v="8202"/>
    <n v="1"/>
    <x v="1"/>
    <n v="13"/>
    <n v="3"/>
    <n v="2"/>
    <n v="3"/>
    <n v="17"/>
    <n v="2"/>
    <n v="3"/>
    <n v="17"/>
    <n v="14"/>
    <n v="12"/>
    <n v="8"/>
    <x v="0"/>
    <s v="High"/>
    <n v="6281.2528616024974"/>
    <s v="Above salary"/>
    <s v="Low Risk"/>
  </r>
  <r>
    <n v="55"/>
    <x v="1"/>
    <s v="Travel_Rarely"/>
    <n v="836"/>
    <x v="1"/>
    <n v="8"/>
    <n v="3"/>
    <s v="Medical"/>
    <n v="84"/>
    <n v="4"/>
    <x v="0"/>
    <n v="33"/>
    <n v="3"/>
    <n v="4"/>
    <x v="5"/>
    <n v="3"/>
    <s v="Divorced"/>
    <x v="62"/>
    <n v="19730"/>
    <n v="2"/>
    <x v="0"/>
    <n v="14"/>
    <n v="3"/>
    <n v="3"/>
    <n v="3"/>
    <n v="21"/>
    <n v="2"/>
    <n v="3"/>
    <n v="5"/>
    <n v="0"/>
    <n v="0"/>
    <n v="2"/>
    <x v="1"/>
    <s v="Very High"/>
    <n v="6281.2528616024974"/>
    <s v="Above salary"/>
    <s v="Medium Risk"/>
  </r>
  <r>
    <n v="36"/>
    <x v="1"/>
    <s v="Travel_Frequently"/>
    <n v="1195"/>
    <x v="1"/>
    <n v="11"/>
    <n v="3"/>
    <s v="Life Sciences"/>
    <n v="85"/>
    <n v="2"/>
    <x v="1"/>
    <n v="95"/>
    <n v="2"/>
    <n v="2"/>
    <x v="3"/>
    <n v="2"/>
    <s v="Single"/>
    <x v="63"/>
    <n v="22656"/>
    <n v="1"/>
    <x v="1"/>
    <n v="13"/>
    <n v="3"/>
    <n v="3"/>
    <n v="0"/>
    <n v="6"/>
    <n v="3"/>
    <n v="3"/>
    <n v="6"/>
    <n v="5"/>
    <n v="0"/>
    <n v="3"/>
    <x v="0"/>
    <s v="Mid"/>
    <n v="6281.2528616024974"/>
    <s v="Above salary"/>
    <s v="Medium Risk"/>
  </r>
  <r>
    <n v="45"/>
    <x v="1"/>
    <s v="Travel_Rarely"/>
    <n v="1339"/>
    <x v="1"/>
    <n v="7"/>
    <n v="3"/>
    <s v="Life Sciences"/>
    <n v="86"/>
    <n v="2"/>
    <x v="1"/>
    <n v="59"/>
    <n v="3"/>
    <n v="3"/>
    <x v="1"/>
    <n v="1"/>
    <s v="Divorced"/>
    <x v="64"/>
    <n v="18787"/>
    <n v="2"/>
    <x v="1"/>
    <n v="17"/>
    <n v="3"/>
    <n v="3"/>
    <n v="1"/>
    <n v="25"/>
    <n v="2"/>
    <n v="3"/>
    <n v="1"/>
    <n v="0"/>
    <n v="0"/>
    <n v="0"/>
    <x v="0"/>
    <s v="High"/>
    <n v="6281.2528616024974"/>
    <s v="Above salary"/>
    <s v="Medium Risk"/>
  </r>
  <r>
    <n v="35"/>
    <x v="1"/>
    <s v="Travel_Frequently"/>
    <n v="664"/>
    <x v="1"/>
    <n v="1"/>
    <n v="3"/>
    <s v="Medical"/>
    <n v="88"/>
    <n v="2"/>
    <x v="1"/>
    <n v="79"/>
    <n v="3"/>
    <n v="1"/>
    <x v="1"/>
    <n v="1"/>
    <s v="Married"/>
    <x v="65"/>
    <n v="5868"/>
    <n v="4"/>
    <x v="1"/>
    <n v="13"/>
    <n v="3"/>
    <n v="4"/>
    <n v="1"/>
    <n v="5"/>
    <n v="2"/>
    <n v="2"/>
    <n v="3"/>
    <n v="2"/>
    <n v="1"/>
    <n v="2"/>
    <x v="2"/>
    <s v="Low"/>
    <n v="6281.2528616024974"/>
    <s v="Below salary"/>
    <s v="Medium Risk"/>
  </r>
  <r>
    <n v="36"/>
    <x v="0"/>
    <s v="Travel_Rarely"/>
    <n v="318"/>
    <x v="1"/>
    <n v="9"/>
    <n v="3"/>
    <s v="Medical"/>
    <n v="90"/>
    <n v="4"/>
    <x v="1"/>
    <n v="79"/>
    <n v="2"/>
    <n v="1"/>
    <x v="1"/>
    <n v="3"/>
    <s v="Married"/>
    <x v="66"/>
    <n v="21777"/>
    <n v="0"/>
    <x v="0"/>
    <n v="17"/>
    <n v="3"/>
    <n v="1"/>
    <n v="1"/>
    <n v="2"/>
    <n v="0"/>
    <n v="2"/>
    <n v="1"/>
    <n v="0"/>
    <n v="0"/>
    <n v="0"/>
    <x v="0"/>
    <s v="Mid"/>
    <n v="6281.2528616024974"/>
    <s v="Below salary"/>
    <s v="Medium Risk"/>
  </r>
  <r>
    <n v="59"/>
    <x v="1"/>
    <s v="Travel_Frequently"/>
    <n v="1225"/>
    <x v="0"/>
    <n v="1"/>
    <n v="1"/>
    <s v="Life Sciences"/>
    <n v="91"/>
    <n v="1"/>
    <x v="0"/>
    <n v="57"/>
    <n v="2"/>
    <n v="2"/>
    <x v="0"/>
    <n v="3"/>
    <s v="Single"/>
    <x v="67"/>
    <n v="24668"/>
    <n v="7"/>
    <x v="1"/>
    <n v="11"/>
    <n v="3"/>
    <n v="4"/>
    <n v="0"/>
    <n v="20"/>
    <n v="2"/>
    <n v="2"/>
    <n v="4"/>
    <n v="3"/>
    <n v="1"/>
    <n v="3"/>
    <x v="1"/>
    <s v="Mid"/>
    <n v="6959.17264573991"/>
    <s v="Below salary"/>
    <s v="Low Risk"/>
  </r>
  <r>
    <n v="29"/>
    <x v="1"/>
    <s v="Travel_Rarely"/>
    <n v="1328"/>
    <x v="1"/>
    <n v="2"/>
    <n v="3"/>
    <s v="Life Sciences"/>
    <n v="94"/>
    <n v="3"/>
    <x v="1"/>
    <n v="76"/>
    <n v="3"/>
    <n v="1"/>
    <x v="1"/>
    <n v="2"/>
    <s v="Married"/>
    <x v="68"/>
    <n v="4956"/>
    <n v="0"/>
    <x v="1"/>
    <n v="23"/>
    <n v="4"/>
    <n v="4"/>
    <n v="1"/>
    <n v="6"/>
    <n v="3"/>
    <n v="3"/>
    <n v="5"/>
    <n v="4"/>
    <n v="0"/>
    <n v="4"/>
    <x v="2"/>
    <s v="Low"/>
    <n v="6281.2528616024974"/>
    <s v="Below salary"/>
    <s v="Medium Risk"/>
  </r>
  <r>
    <n v="31"/>
    <x v="1"/>
    <s v="Travel_Rarely"/>
    <n v="1082"/>
    <x v="1"/>
    <n v="1"/>
    <n v="4"/>
    <s v="Medical"/>
    <n v="95"/>
    <n v="3"/>
    <x v="1"/>
    <n v="87"/>
    <n v="3"/>
    <n v="1"/>
    <x v="1"/>
    <n v="2"/>
    <s v="Single"/>
    <x v="69"/>
    <n v="18775"/>
    <n v="1"/>
    <x v="1"/>
    <n v="17"/>
    <n v="3"/>
    <n v="2"/>
    <n v="0"/>
    <n v="1"/>
    <n v="4"/>
    <n v="3"/>
    <n v="1"/>
    <n v="1"/>
    <n v="1"/>
    <n v="0"/>
    <x v="2"/>
    <s v="Low"/>
    <n v="6281.2528616024974"/>
    <s v="Below salary"/>
    <s v="Medium Risk"/>
  </r>
  <r>
    <n v="32"/>
    <x v="1"/>
    <s v="Travel_Rarely"/>
    <n v="548"/>
    <x v="1"/>
    <n v="1"/>
    <n v="3"/>
    <s v="Life Sciences"/>
    <n v="96"/>
    <n v="2"/>
    <x v="1"/>
    <n v="66"/>
    <n v="3"/>
    <n v="2"/>
    <x v="1"/>
    <n v="2"/>
    <s v="Married"/>
    <x v="70"/>
    <n v="7346"/>
    <n v="1"/>
    <x v="1"/>
    <n v="17"/>
    <n v="3"/>
    <n v="2"/>
    <n v="2"/>
    <n v="10"/>
    <n v="3"/>
    <n v="3"/>
    <n v="10"/>
    <n v="4"/>
    <n v="0"/>
    <n v="9"/>
    <x v="2"/>
    <s v="Mid"/>
    <n v="6281.2528616024974"/>
    <s v="Below salary"/>
    <s v="Medium Risk"/>
  </r>
  <r>
    <n v="36"/>
    <x v="1"/>
    <s v="Travel_Rarely"/>
    <n v="132"/>
    <x v="1"/>
    <n v="6"/>
    <n v="3"/>
    <s v="Life Sciences"/>
    <n v="97"/>
    <n v="2"/>
    <x v="0"/>
    <n v="55"/>
    <n v="4"/>
    <n v="1"/>
    <x v="2"/>
    <n v="4"/>
    <s v="Married"/>
    <x v="71"/>
    <n v="22002"/>
    <n v="3"/>
    <x v="1"/>
    <n v="12"/>
    <n v="3"/>
    <n v="2"/>
    <n v="0"/>
    <n v="5"/>
    <n v="3"/>
    <n v="3"/>
    <n v="1"/>
    <n v="0"/>
    <n v="0"/>
    <n v="0"/>
    <x v="0"/>
    <s v="Mid"/>
    <n v="6281.2528616024974"/>
    <s v="Below salary"/>
    <s v="Low Risk"/>
  </r>
  <r>
    <n v="31"/>
    <x v="1"/>
    <s v="Travel_Rarely"/>
    <n v="746"/>
    <x v="1"/>
    <n v="8"/>
    <n v="4"/>
    <s v="Life Sciences"/>
    <n v="98"/>
    <n v="3"/>
    <x v="0"/>
    <n v="61"/>
    <n v="3"/>
    <n v="2"/>
    <x v="3"/>
    <n v="4"/>
    <s v="Single"/>
    <x v="72"/>
    <n v="20682"/>
    <n v="1"/>
    <x v="1"/>
    <n v="23"/>
    <n v="4"/>
    <n v="4"/>
    <n v="0"/>
    <n v="11"/>
    <n v="2"/>
    <n v="3"/>
    <n v="11"/>
    <n v="7"/>
    <n v="1"/>
    <n v="8"/>
    <x v="2"/>
    <s v="Mid"/>
    <n v="6281.2528616024974"/>
    <s v="Below salary"/>
    <s v="Low Risk"/>
  </r>
  <r>
    <n v="35"/>
    <x v="1"/>
    <s v="Travel_Rarely"/>
    <n v="776"/>
    <x v="0"/>
    <n v="1"/>
    <n v="4"/>
    <s v="Marketing"/>
    <n v="100"/>
    <n v="3"/>
    <x v="1"/>
    <n v="32"/>
    <n v="2"/>
    <n v="2"/>
    <x v="0"/>
    <n v="1"/>
    <s v="Single"/>
    <x v="73"/>
    <n v="23016"/>
    <n v="0"/>
    <x v="1"/>
    <n v="14"/>
    <n v="3"/>
    <n v="2"/>
    <n v="0"/>
    <n v="16"/>
    <n v="2"/>
    <n v="3"/>
    <n v="15"/>
    <n v="13"/>
    <n v="2"/>
    <n v="8"/>
    <x v="2"/>
    <s v="Mid"/>
    <n v="6959.17264573991"/>
    <s v="Below salary"/>
    <s v="Medium Risk"/>
  </r>
  <r>
    <n v="45"/>
    <x v="1"/>
    <s v="Travel_Rarely"/>
    <n v="193"/>
    <x v="1"/>
    <n v="6"/>
    <n v="4"/>
    <s v="Other"/>
    <n v="101"/>
    <n v="4"/>
    <x v="1"/>
    <n v="52"/>
    <n v="3"/>
    <n v="3"/>
    <x v="7"/>
    <n v="1"/>
    <s v="Married"/>
    <x v="74"/>
    <n v="15067"/>
    <n v="4"/>
    <x v="0"/>
    <n v="14"/>
    <n v="3"/>
    <n v="2"/>
    <n v="0"/>
    <n v="17"/>
    <n v="3"/>
    <n v="4"/>
    <n v="0"/>
    <n v="0"/>
    <n v="0"/>
    <n v="0"/>
    <x v="0"/>
    <s v="Very High"/>
    <n v="6281.2528616024974"/>
    <s v="Above salary"/>
    <s v="High Risk"/>
  </r>
  <r>
    <n v="37"/>
    <x v="1"/>
    <s v="Travel_Rarely"/>
    <n v="397"/>
    <x v="1"/>
    <n v="7"/>
    <n v="4"/>
    <s v="Medical"/>
    <n v="102"/>
    <n v="1"/>
    <x v="1"/>
    <n v="30"/>
    <n v="3"/>
    <n v="3"/>
    <x v="7"/>
    <n v="3"/>
    <s v="Single"/>
    <x v="75"/>
    <n v="25258"/>
    <n v="4"/>
    <x v="1"/>
    <n v="13"/>
    <n v="3"/>
    <n v="1"/>
    <n v="0"/>
    <n v="16"/>
    <n v="3"/>
    <n v="4"/>
    <n v="5"/>
    <n v="2"/>
    <n v="0"/>
    <n v="2"/>
    <x v="0"/>
    <s v="Very High"/>
    <n v="6281.2528616024974"/>
    <s v="Above salary"/>
    <s v="Low Risk"/>
  </r>
  <r>
    <n v="46"/>
    <x v="1"/>
    <s v="Travel_Rarely"/>
    <n v="945"/>
    <x v="2"/>
    <n v="5"/>
    <n v="2"/>
    <s v="Medical"/>
    <n v="103"/>
    <n v="2"/>
    <x v="1"/>
    <n v="80"/>
    <n v="3"/>
    <n v="2"/>
    <x v="8"/>
    <n v="2"/>
    <s v="Divorced"/>
    <x v="76"/>
    <n v="10425"/>
    <n v="8"/>
    <x v="0"/>
    <n v="22"/>
    <n v="4"/>
    <n v="4"/>
    <n v="1"/>
    <n v="16"/>
    <n v="2"/>
    <n v="3"/>
    <n v="4"/>
    <n v="2"/>
    <n v="0"/>
    <n v="2"/>
    <x v="1"/>
    <s v="Mid"/>
    <n v="6654.5079365079364"/>
    <s v="Below salary"/>
    <s v="High Risk"/>
  </r>
  <r>
    <n v="30"/>
    <x v="1"/>
    <s v="Travel_Rarely"/>
    <n v="852"/>
    <x v="1"/>
    <n v="1"/>
    <n v="1"/>
    <s v="Life Sciences"/>
    <n v="104"/>
    <n v="4"/>
    <x v="1"/>
    <n v="55"/>
    <n v="2"/>
    <n v="2"/>
    <x v="2"/>
    <n v="4"/>
    <s v="Married"/>
    <x v="77"/>
    <n v="15998"/>
    <n v="1"/>
    <x v="0"/>
    <n v="12"/>
    <n v="3"/>
    <n v="3"/>
    <n v="2"/>
    <n v="10"/>
    <n v="1"/>
    <n v="2"/>
    <n v="10"/>
    <n v="8"/>
    <n v="3"/>
    <n v="0"/>
    <x v="2"/>
    <s v="Mid"/>
    <n v="6281.2528616024974"/>
    <s v="Below salary"/>
    <s v="Medium Risk"/>
  </r>
  <r>
    <n v="35"/>
    <x v="1"/>
    <s v="Travel_Rarely"/>
    <n v="1214"/>
    <x v="1"/>
    <n v="1"/>
    <n v="3"/>
    <s v="Medical"/>
    <n v="105"/>
    <n v="2"/>
    <x v="1"/>
    <n v="30"/>
    <n v="2"/>
    <n v="1"/>
    <x v="1"/>
    <n v="3"/>
    <s v="Single"/>
    <x v="78"/>
    <n v="26278"/>
    <n v="1"/>
    <x v="1"/>
    <n v="18"/>
    <n v="3"/>
    <n v="1"/>
    <n v="0"/>
    <n v="6"/>
    <n v="3"/>
    <n v="3"/>
    <n v="6"/>
    <n v="4"/>
    <n v="0"/>
    <n v="4"/>
    <x v="2"/>
    <s v="Low"/>
    <n v="6281.2528616024974"/>
    <s v="Below salary"/>
    <s v="Low Risk"/>
  </r>
  <r>
    <n v="55"/>
    <x v="1"/>
    <s v="Travel_Rarely"/>
    <n v="111"/>
    <x v="0"/>
    <n v="1"/>
    <n v="2"/>
    <s v="Life Sciences"/>
    <n v="106"/>
    <n v="1"/>
    <x v="1"/>
    <n v="70"/>
    <n v="3"/>
    <n v="3"/>
    <x v="0"/>
    <n v="4"/>
    <s v="Married"/>
    <x v="79"/>
    <n v="18092"/>
    <n v="3"/>
    <x v="1"/>
    <n v="14"/>
    <n v="3"/>
    <n v="4"/>
    <n v="1"/>
    <n v="24"/>
    <n v="4"/>
    <n v="3"/>
    <n v="1"/>
    <n v="0"/>
    <n v="1"/>
    <n v="0"/>
    <x v="1"/>
    <s v="High"/>
    <n v="6959.17264573991"/>
    <s v="Above salary"/>
    <s v="Low Risk"/>
  </r>
  <r>
    <n v="38"/>
    <x v="1"/>
    <s v="Non-Travel"/>
    <n v="573"/>
    <x v="1"/>
    <n v="6"/>
    <n v="3"/>
    <s v="Medical"/>
    <n v="107"/>
    <n v="2"/>
    <x v="0"/>
    <n v="79"/>
    <n v="1"/>
    <n v="2"/>
    <x v="1"/>
    <n v="4"/>
    <s v="Divorced"/>
    <x v="80"/>
    <n v="15717"/>
    <n v="7"/>
    <x v="0"/>
    <n v="12"/>
    <n v="3"/>
    <n v="4"/>
    <n v="3"/>
    <n v="17"/>
    <n v="3"/>
    <n v="3"/>
    <n v="13"/>
    <n v="11"/>
    <n v="1"/>
    <n v="9"/>
    <x v="0"/>
    <s v="Mid"/>
    <n v="6281.2528616024974"/>
    <s v="Below salary"/>
    <s v="Medium Risk"/>
  </r>
  <r>
    <n v="34"/>
    <x v="1"/>
    <s v="Travel_Rarely"/>
    <n v="1153"/>
    <x v="1"/>
    <n v="1"/>
    <n v="2"/>
    <s v="Medical"/>
    <n v="110"/>
    <n v="1"/>
    <x v="1"/>
    <n v="94"/>
    <n v="3"/>
    <n v="2"/>
    <x v="3"/>
    <n v="2"/>
    <s v="Married"/>
    <x v="81"/>
    <n v="17736"/>
    <n v="1"/>
    <x v="1"/>
    <n v="15"/>
    <n v="3"/>
    <n v="3"/>
    <n v="0"/>
    <n v="5"/>
    <n v="2"/>
    <n v="3"/>
    <n v="5"/>
    <n v="2"/>
    <n v="1"/>
    <n v="3"/>
    <x v="2"/>
    <s v="Mid"/>
    <n v="6281.2528616024974"/>
    <s v="Below salary"/>
    <s v="Medium Risk"/>
  </r>
  <r>
    <n v="56"/>
    <x v="1"/>
    <s v="Travel_Rarely"/>
    <n v="1400"/>
    <x v="1"/>
    <n v="7"/>
    <n v="3"/>
    <s v="Life Sciences"/>
    <n v="112"/>
    <n v="4"/>
    <x v="1"/>
    <n v="49"/>
    <n v="1"/>
    <n v="3"/>
    <x v="3"/>
    <n v="4"/>
    <s v="Single"/>
    <x v="82"/>
    <n v="21698"/>
    <n v="4"/>
    <x v="1"/>
    <n v="11"/>
    <n v="3"/>
    <n v="1"/>
    <n v="0"/>
    <n v="37"/>
    <n v="3"/>
    <n v="2"/>
    <n v="6"/>
    <n v="4"/>
    <n v="0"/>
    <n v="2"/>
    <x v="1"/>
    <s v="High"/>
    <n v="6281.2528616024974"/>
    <s v="Above salary"/>
    <s v="Low Risk"/>
  </r>
  <r>
    <n v="23"/>
    <x v="1"/>
    <s v="Travel_Rarely"/>
    <n v="541"/>
    <x v="0"/>
    <n v="2"/>
    <n v="1"/>
    <s v="Technical Degree"/>
    <n v="113"/>
    <n v="3"/>
    <x v="1"/>
    <n v="62"/>
    <n v="3"/>
    <n v="1"/>
    <x v="6"/>
    <n v="1"/>
    <s v="Divorced"/>
    <x v="83"/>
    <n v="9518"/>
    <n v="3"/>
    <x v="1"/>
    <n v="13"/>
    <n v="3"/>
    <n v="3"/>
    <n v="1"/>
    <n v="3"/>
    <n v="3"/>
    <n v="3"/>
    <n v="0"/>
    <n v="0"/>
    <n v="0"/>
    <n v="0"/>
    <x v="3"/>
    <s v="Low"/>
    <n v="6959.17264573991"/>
    <s v="Below salary"/>
    <s v="Medium Risk"/>
  </r>
  <r>
    <n v="51"/>
    <x v="1"/>
    <s v="Travel_Rarely"/>
    <n v="432"/>
    <x v="1"/>
    <n v="9"/>
    <n v="4"/>
    <s v="Life Sciences"/>
    <n v="116"/>
    <n v="4"/>
    <x v="1"/>
    <n v="96"/>
    <n v="3"/>
    <n v="1"/>
    <x v="2"/>
    <n v="4"/>
    <s v="Married"/>
    <x v="84"/>
    <n v="18725"/>
    <n v="3"/>
    <x v="1"/>
    <n v="23"/>
    <n v="4"/>
    <n v="2"/>
    <n v="2"/>
    <n v="10"/>
    <n v="4"/>
    <n v="3"/>
    <n v="4"/>
    <n v="2"/>
    <n v="0"/>
    <n v="3"/>
    <x v="1"/>
    <s v="Low"/>
    <n v="6281.2528616024974"/>
    <s v="Below salary"/>
    <s v="Low Risk"/>
  </r>
  <r>
    <n v="30"/>
    <x v="1"/>
    <s v="Travel_Rarely"/>
    <n v="288"/>
    <x v="1"/>
    <n v="2"/>
    <n v="3"/>
    <s v="Life Sciences"/>
    <n v="117"/>
    <n v="3"/>
    <x v="1"/>
    <n v="99"/>
    <n v="2"/>
    <n v="2"/>
    <x v="4"/>
    <n v="4"/>
    <s v="Married"/>
    <x v="85"/>
    <n v="15830"/>
    <n v="1"/>
    <x v="1"/>
    <n v="19"/>
    <n v="3"/>
    <n v="1"/>
    <n v="3"/>
    <n v="11"/>
    <n v="3"/>
    <n v="3"/>
    <n v="11"/>
    <n v="10"/>
    <n v="10"/>
    <n v="8"/>
    <x v="2"/>
    <s v="Mid"/>
    <n v="6281.2528616024974"/>
    <s v="Below salary"/>
    <s v="Low Risk"/>
  </r>
  <r>
    <n v="46"/>
    <x v="0"/>
    <s v="Travel_Rarely"/>
    <n v="669"/>
    <x v="0"/>
    <n v="9"/>
    <n v="2"/>
    <s v="Medical"/>
    <n v="118"/>
    <n v="3"/>
    <x v="1"/>
    <n v="64"/>
    <n v="2"/>
    <n v="3"/>
    <x v="0"/>
    <n v="4"/>
    <s v="Single"/>
    <x v="86"/>
    <n v="13596"/>
    <n v="1"/>
    <x v="1"/>
    <n v="16"/>
    <n v="3"/>
    <n v="4"/>
    <n v="0"/>
    <n v="9"/>
    <n v="3"/>
    <n v="3"/>
    <n v="9"/>
    <n v="8"/>
    <n v="4"/>
    <n v="7"/>
    <x v="1"/>
    <s v="High"/>
    <n v="6959.17264573991"/>
    <s v="Above salary"/>
    <s v="Low Risk"/>
  </r>
  <r>
    <n v="40"/>
    <x v="1"/>
    <s v="Travel_Frequently"/>
    <n v="530"/>
    <x v="1"/>
    <n v="1"/>
    <n v="4"/>
    <s v="Life Sciences"/>
    <n v="119"/>
    <n v="3"/>
    <x v="1"/>
    <n v="78"/>
    <n v="2"/>
    <n v="4"/>
    <x v="4"/>
    <n v="2"/>
    <s v="Married"/>
    <x v="87"/>
    <n v="14115"/>
    <n v="1"/>
    <x v="1"/>
    <n v="22"/>
    <n v="4"/>
    <n v="4"/>
    <n v="1"/>
    <n v="22"/>
    <n v="3"/>
    <n v="2"/>
    <n v="22"/>
    <n v="3"/>
    <n v="11"/>
    <n v="11"/>
    <x v="0"/>
    <s v="Very High"/>
    <n v="6281.2528616024974"/>
    <s v="Above salary"/>
    <s v="Medium Risk"/>
  </r>
  <r>
    <n v="51"/>
    <x v="1"/>
    <s v="Travel_Rarely"/>
    <n v="632"/>
    <x v="0"/>
    <n v="21"/>
    <n v="4"/>
    <s v="Marketing"/>
    <n v="120"/>
    <n v="3"/>
    <x v="1"/>
    <n v="71"/>
    <n v="3"/>
    <n v="2"/>
    <x v="0"/>
    <n v="4"/>
    <s v="Single"/>
    <x v="88"/>
    <n v="8423"/>
    <n v="0"/>
    <x v="0"/>
    <n v="22"/>
    <n v="4"/>
    <n v="4"/>
    <n v="0"/>
    <n v="11"/>
    <n v="2"/>
    <n v="1"/>
    <n v="10"/>
    <n v="7"/>
    <n v="1"/>
    <n v="0"/>
    <x v="1"/>
    <s v="Mid"/>
    <n v="6959.17264573991"/>
    <s v="Below salary"/>
    <s v="Medium Risk"/>
  </r>
  <r>
    <n v="30"/>
    <x v="1"/>
    <s v="Travel_Rarely"/>
    <n v="1334"/>
    <x v="0"/>
    <n v="4"/>
    <n v="2"/>
    <s v="Medical"/>
    <n v="121"/>
    <n v="3"/>
    <x v="0"/>
    <n v="63"/>
    <n v="2"/>
    <n v="2"/>
    <x v="0"/>
    <n v="2"/>
    <s v="Divorced"/>
    <x v="89"/>
    <n v="19760"/>
    <n v="1"/>
    <x v="0"/>
    <n v="12"/>
    <n v="3"/>
    <n v="2"/>
    <n v="3"/>
    <n v="11"/>
    <n v="4"/>
    <n v="2"/>
    <n v="11"/>
    <n v="8"/>
    <n v="2"/>
    <n v="7"/>
    <x v="2"/>
    <s v="Mid"/>
    <n v="6959.17264573991"/>
    <s v="Below salary"/>
    <s v="High Risk"/>
  </r>
  <r>
    <n v="46"/>
    <x v="1"/>
    <s v="Travel_Frequently"/>
    <n v="638"/>
    <x v="1"/>
    <n v="1"/>
    <n v="3"/>
    <s v="Medical"/>
    <n v="124"/>
    <n v="3"/>
    <x v="1"/>
    <n v="40"/>
    <n v="2"/>
    <n v="3"/>
    <x v="4"/>
    <n v="1"/>
    <s v="Married"/>
    <x v="90"/>
    <n v="3142"/>
    <n v="2"/>
    <x v="0"/>
    <n v="13"/>
    <n v="3"/>
    <n v="3"/>
    <n v="1"/>
    <n v="21"/>
    <n v="5"/>
    <n v="2"/>
    <n v="10"/>
    <n v="9"/>
    <n v="9"/>
    <n v="5"/>
    <x v="1"/>
    <s v="High"/>
    <n v="6281.2528616024974"/>
    <s v="Above salary"/>
    <s v="High Risk"/>
  </r>
  <r>
    <n v="32"/>
    <x v="1"/>
    <s v="Travel_Rarely"/>
    <n v="1093"/>
    <x v="0"/>
    <n v="6"/>
    <n v="4"/>
    <s v="Medical"/>
    <n v="125"/>
    <n v="2"/>
    <x v="1"/>
    <n v="87"/>
    <n v="3"/>
    <n v="2"/>
    <x v="0"/>
    <n v="3"/>
    <s v="Single"/>
    <x v="91"/>
    <n v="24301"/>
    <n v="1"/>
    <x v="1"/>
    <n v="16"/>
    <n v="3"/>
    <n v="1"/>
    <n v="0"/>
    <n v="12"/>
    <n v="0"/>
    <n v="3"/>
    <n v="11"/>
    <n v="8"/>
    <n v="5"/>
    <n v="7"/>
    <x v="2"/>
    <s v="Mid"/>
    <n v="6959.17264573991"/>
    <s v="Below salary"/>
    <s v="Low Risk"/>
  </r>
  <r>
    <n v="54"/>
    <x v="1"/>
    <s v="Travel_Rarely"/>
    <n v="1217"/>
    <x v="1"/>
    <n v="2"/>
    <n v="4"/>
    <s v="Technical Degree"/>
    <n v="126"/>
    <n v="1"/>
    <x v="0"/>
    <n v="60"/>
    <n v="3"/>
    <n v="3"/>
    <x v="7"/>
    <n v="3"/>
    <s v="Married"/>
    <x v="92"/>
    <n v="24001"/>
    <n v="9"/>
    <x v="1"/>
    <n v="12"/>
    <n v="3"/>
    <n v="1"/>
    <n v="1"/>
    <n v="16"/>
    <n v="5"/>
    <n v="1"/>
    <n v="4"/>
    <n v="3"/>
    <n v="0"/>
    <n v="3"/>
    <x v="1"/>
    <s v="Very High"/>
    <n v="6281.2528616024974"/>
    <s v="Above salary"/>
    <s v="Low Risk"/>
  </r>
  <r>
    <n v="24"/>
    <x v="1"/>
    <s v="Travel_Rarely"/>
    <n v="1353"/>
    <x v="0"/>
    <n v="3"/>
    <n v="2"/>
    <s v="Other"/>
    <n v="128"/>
    <n v="1"/>
    <x v="0"/>
    <n v="33"/>
    <n v="3"/>
    <n v="2"/>
    <x v="0"/>
    <n v="3"/>
    <s v="Married"/>
    <x v="93"/>
    <n v="17519"/>
    <n v="0"/>
    <x v="1"/>
    <n v="21"/>
    <n v="4"/>
    <n v="1"/>
    <n v="1"/>
    <n v="4"/>
    <n v="2"/>
    <n v="2"/>
    <n v="3"/>
    <n v="2"/>
    <n v="0"/>
    <n v="2"/>
    <x v="3"/>
    <s v="Mid"/>
    <n v="6959.17264573991"/>
    <s v="Below salary"/>
    <s v="Low Risk"/>
  </r>
  <r>
    <n v="28"/>
    <x v="1"/>
    <s v="Non-Travel"/>
    <n v="120"/>
    <x v="0"/>
    <n v="4"/>
    <n v="3"/>
    <s v="Medical"/>
    <n v="129"/>
    <n v="2"/>
    <x v="1"/>
    <n v="43"/>
    <n v="3"/>
    <n v="2"/>
    <x v="0"/>
    <n v="3"/>
    <s v="Married"/>
    <x v="94"/>
    <n v="8863"/>
    <n v="1"/>
    <x v="1"/>
    <n v="15"/>
    <n v="3"/>
    <n v="2"/>
    <n v="0"/>
    <n v="5"/>
    <n v="3"/>
    <n v="4"/>
    <n v="5"/>
    <n v="4"/>
    <n v="0"/>
    <n v="4"/>
    <x v="2"/>
    <s v="Mid"/>
    <n v="6959.17264573991"/>
    <s v="Below salary"/>
    <s v="Low Risk"/>
  </r>
  <r>
    <n v="58"/>
    <x v="1"/>
    <s v="Travel_Rarely"/>
    <n v="682"/>
    <x v="0"/>
    <n v="10"/>
    <n v="4"/>
    <s v="Medical"/>
    <n v="131"/>
    <n v="4"/>
    <x v="1"/>
    <n v="37"/>
    <n v="3"/>
    <n v="4"/>
    <x v="0"/>
    <n v="3"/>
    <s v="Single"/>
    <x v="95"/>
    <n v="24409"/>
    <n v="0"/>
    <x v="1"/>
    <n v="13"/>
    <n v="3"/>
    <n v="3"/>
    <n v="0"/>
    <n v="38"/>
    <n v="1"/>
    <n v="2"/>
    <n v="37"/>
    <n v="10"/>
    <n v="1"/>
    <n v="8"/>
    <x v="1"/>
    <s v="Very High"/>
    <n v="6959.17264573991"/>
    <s v="Above salary"/>
    <s v="Low Risk"/>
  </r>
  <r>
    <n v="44"/>
    <x v="1"/>
    <s v="Non-Travel"/>
    <n v="489"/>
    <x v="1"/>
    <n v="23"/>
    <n v="3"/>
    <s v="Medical"/>
    <n v="132"/>
    <n v="2"/>
    <x v="1"/>
    <n v="67"/>
    <n v="3"/>
    <n v="2"/>
    <x v="2"/>
    <n v="2"/>
    <s v="Married"/>
    <x v="96"/>
    <n v="25043"/>
    <n v="4"/>
    <x v="1"/>
    <n v="12"/>
    <n v="3"/>
    <n v="3"/>
    <n v="1"/>
    <n v="17"/>
    <n v="3"/>
    <n v="4"/>
    <n v="3"/>
    <n v="2"/>
    <n v="1"/>
    <n v="2"/>
    <x v="0"/>
    <s v="Low"/>
    <n v="6281.2528616024974"/>
    <s v="Below salary"/>
    <s v="Medium Risk"/>
  </r>
  <r>
    <n v="37"/>
    <x v="0"/>
    <s v="Travel_Rarely"/>
    <n v="807"/>
    <x v="2"/>
    <n v="6"/>
    <n v="4"/>
    <s v="Human Resources"/>
    <n v="133"/>
    <n v="3"/>
    <x v="1"/>
    <n v="63"/>
    <n v="3"/>
    <n v="1"/>
    <x v="8"/>
    <n v="1"/>
    <s v="Divorced"/>
    <x v="97"/>
    <n v="23648"/>
    <n v="4"/>
    <x v="0"/>
    <n v="22"/>
    <n v="4"/>
    <n v="4"/>
    <n v="0"/>
    <n v="7"/>
    <n v="3"/>
    <n v="3"/>
    <n v="3"/>
    <n v="2"/>
    <n v="0"/>
    <n v="2"/>
    <x v="0"/>
    <s v="Low"/>
    <n v="6654.5079365079364"/>
    <s v="Below salary"/>
    <s v="High Risk"/>
  </r>
  <r>
    <n v="32"/>
    <x v="1"/>
    <s v="Travel_Rarely"/>
    <n v="827"/>
    <x v="1"/>
    <n v="1"/>
    <n v="1"/>
    <s v="Life Sciences"/>
    <n v="134"/>
    <n v="4"/>
    <x v="1"/>
    <n v="71"/>
    <n v="3"/>
    <n v="1"/>
    <x v="1"/>
    <n v="1"/>
    <s v="Single"/>
    <x v="98"/>
    <n v="15178"/>
    <n v="1"/>
    <x v="1"/>
    <n v="13"/>
    <n v="3"/>
    <n v="4"/>
    <n v="0"/>
    <n v="1"/>
    <n v="2"/>
    <n v="3"/>
    <n v="1"/>
    <n v="0"/>
    <n v="0"/>
    <n v="0"/>
    <x v="2"/>
    <s v="Low"/>
    <n v="6281.2528616024974"/>
    <s v="Below salary"/>
    <s v="Medium Risk"/>
  </r>
  <r>
    <n v="20"/>
    <x v="0"/>
    <s v="Travel_Frequently"/>
    <n v="871"/>
    <x v="1"/>
    <n v="6"/>
    <n v="3"/>
    <s v="Life Sciences"/>
    <n v="137"/>
    <n v="4"/>
    <x v="0"/>
    <n v="66"/>
    <n v="2"/>
    <n v="1"/>
    <x v="2"/>
    <n v="4"/>
    <s v="Single"/>
    <x v="99"/>
    <n v="19783"/>
    <n v="1"/>
    <x v="0"/>
    <n v="18"/>
    <n v="3"/>
    <n v="2"/>
    <n v="0"/>
    <n v="1"/>
    <n v="5"/>
    <n v="3"/>
    <n v="1"/>
    <n v="0"/>
    <n v="1"/>
    <n v="0"/>
    <x v="3"/>
    <s v="Low"/>
    <n v="6281.2528616024974"/>
    <s v="Below salary"/>
    <s v="Medium Risk"/>
  </r>
  <r>
    <n v="34"/>
    <x v="1"/>
    <s v="Travel_Rarely"/>
    <n v="665"/>
    <x v="1"/>
    <n v="6"/>
    <n v="4"/>
    <s v="Other"/>
    <n v="138"/>
    <n v="1"/>
    <x v="0"/>
    <n v="41"/>
    <n v="3"/>
    <n v="2"/>
    <x v="1"/>
    <n v="3"/>
    <s v="Single"/>
    <x v="100"/>
    <n v="12482"/>
    <n v="1"/>
    <x v="1"/>
    <n v="14"/>
    <n v="3"/>
    <n v="3"/>
    <n v="0"/>
    <n v="16"/>
    <n v="3"/>
    <n v="3"/>
    <n v="16"/>
    <n v="13"/>
    <n v="2"/>
    <n v="10"/>
    <x v="2"/>
    <s v="Mid"/>
    <n v="6281.2528616024974"/>
    <s v="Below salary"/>
    <s v="Low Risk"/>
  </r>
  <r>
    <n v="37"/>
    <x v="1"/>
    <s v="Non-Travel"/>
    <n v="1040"/>
    <x v="1"/>
    <n v="2"/>
    <n v="2"/>
    <s v="Life Sciences"/>
    <n v="139"/>
    <n v="3"/>
    <x v="1"/>
    <n v="100"/>
    <n v="2"/>
    <n v="2"/>
    <x v="4"/>
    <n v="4"/>
    <s v="Divorced"/>
    <x v="101"/>
    <n v="15850"/>
    <n v="5"/>
    <x v="1"/>
    <n v="14"/>
    <n v="3"/>
    <n v="4"/>
    <n v="1"/>
    <n v="17"/>
    <n v="2"/>
    <n v="4"/>
    <n v="1"/>
    <n v="0"/>
    <n v="0"/>
    <n v="0"/>
    <x v="0"/>
    <s v="Mid"/>
    <n v="6281.2528616024974"/>
    <s v="Below salary"/>
    <s v="Low Risk"/>
  </r>
  <r>
    <n v="59"/>
    <x v="1"/>
    <s v="Non-Travel"/>
    <n v="1420"/>
    <x v="2"/>
    <n v="2"/>
    <n v="4"/>
    <s v="Human Resources"/>
    <n v="140"/>
    <n v="3"/>
    <x v="0"/>
    <n v="32"/>
    <n v="2"/>
    <n v="5"/>
    <x v="5"/>
    <n v="4"/>
    <s v="Married"/>
    <x v="102"/>
    <n v="21922"/>
    <n v="9"/>
    <x v="1"/>
    <n v="21"/>
    <n v="4"/>
    <n v="4"/>
    <n v="1"/>
    <n v="30"/>
    <n v="3"/>
    <n v="3"/>
    <n v="3"/>
    <n v="2"/>
    <n v="2"/>
    <n v="2"/>
    <x v="1"/>
    <s v="Very High"/>
    <n v="6654.5079365079364"/>
    <s v="Above salary"/>
    <s v="Low Risk"/>
  </r>
  <r>
    <n v="50"/>
    <x v="1"/>
    <s v="Travel_Frequently"/>
    <n v="1115"/>
    <x v="1"/>
    <n v="1"/>
    <n v="3"/>
    <s v="Life Sciences"/>
    <n v="141"/>
    <n v="1"/>
    <x v="0"/>
    <n v="73"/>
    <n v="3"/>
    <n v="5"/>
    <x v="7"/>
    <n v="2"/>
    <s v="Married"/>
    <x v="103"/>
    <n v="9755"/>
    <n v="3"/>
    <x v="0"/>
    <n v="19"/>
    <n v="3"/>
    <n v="1"/>
    <n v="0"/>
    <n v="28"/>
    <n v="1"/>
    <n v="2"/>
    <n v="8"/>
    <n v="3"/>
    <n v="0"/>
    <n v="7"/>
    <x v="1"/>
    <s v="Very High"/>
    <n v="6281.2528616024974"/>
    <s v="Above salary"/>
    <s v="High Risk"/>
  </r>
  <r>
    <n v="25"/>
    <x v="0"/>
    <s v="Travel_Rarely"/>
    <n v="240"/>
    <x v="0"/>
    <n v="5"/>
    <n v="3"/>
    <s v="Marketing"/>
    <n v="142"/>
    <n v="3"/>
    <x v="1"/>
    <n v="46"/>
    <n v="2"/>
    <n v="2"/>
    <x v="0"/>
    <n v="3"/>
    <s v="Single"/>
    <x v="104"/>
    <n v="26959"/>
    <n v="1"/>
    <x v="0"/>
    <n v="11"/>
    <n v="3"/>
    <n v="4"/>
    <n v="0"/>
    <n v="6"/>
    <n v="1"/>
    <n v="3"/>
    <n v="6"/>
    <n v="4"/>
    <n v="0"/>
    <n v="3"/>
    <x v="3"/>
    <s v="Mid"/>
    <n v="6959.17264573991"/>
    <s v="Below salary"/>
    <s v="Medium Risk"/>
  </r>
  <r>
    <n v="25"/>
    <x v="1"/>
    <s v="Travel_Rarely"/>
    <n v="1280"/>
    <x v="1"/>
    <n v="7"/>
    <n v="1"/>
    <s v="Medical"/>
    <n v="143"/>
    <n v="4"/>
    <x v="1"/>
    <n v="64"/>
    <n v="2"/>
    <n v="1"/>
    <x v="1"/>
    <n v="4"/>
    <s v="Married"/>
    <x v="105"/>
    <n v="26897"/>
    <n v="1"/>
    <x v="1"/>
    <n v="11"/>
    <n v="3"/>
    <n v="3"/>
    <n v="2"/>
    <n v="2"/>
    <n v="2"/>
    <n v="3"/>
    <n v="2"/>
    <n v="2"/>
    <n v="2"/>
    <n v="1"/>
    <x v="3"/>
    <s v="Low"/>
    <n v="6281.2528616024974"/>
    <s v="Below salary"/>
    <s v="Low Risk"/>
  </r>
  <r>
    <n v="22"/>
    <x v="1"/>
    <s v="Travel_Rarely"/>
    <n v="534"/>
    <x v="1"/>
    <n v="15"/>
    <n v="3"/>
    <s v="Medical"/>
    <n v="144"/>
    <n v="2"/>
    <x v="0"/>
    <n v="59"/>
    <n v="3"/>
    <n v="1"/>
    <x v="2"/>
    <n v="4"/>
    <s v="Single"/>
    <x v="106"/>
    <n v="23785"/>
    <n v="1"/>
    <x v="1"/>
    <n v="15"/>
    <n v="3"/>
    <n v="3"/>
    <n v="0"/>
    <n v="1"/>
    <n v="5"/>
    <n v="3"/>
    <n v="0"/>
    <n v="0"/>
    <n v="0"/>
    <n v="0"/>
    <x v="3"/>
    <s v="Low"/>
    <n v="6281.2528616024974"/>
    <s v="Below salary"/>
    <s v="Low Risk"/>
  </r>
  <r>
    <n v="51"/>
    <x v="1"/>
    <s v="Travel_Frequently"/>
    <n v="1456"/>
    <x v="1"/>
    <n v="1"/>
    <n v="4"/>
    <s v="Medical"/>
    <n v="145"/>
    <n v="1"/>
    <x v="0"/>
    <n v="30"/>
    <n v="2"/>
    <n v="3"/>
    <x v="4"/>
    <n v="1"/>
    <s v="Single"/>
    <x v="107"/>
    <n v="25796"/>
    <n v="3"/>
    <x v="1"/>
    <n v="20"/>
    <n v="4"/>
    <n v="3"/>
    <n v="0"/>
    <n v="23"/>
    <n v="1"/>
    <n v="2"/>
    <n v="13"/>
    <n v="12"/>
    <n v="12"/>
    <n v="8"/>
    <x v="1"/>
    <s v="High"/>
    <n v="6281.2528616024974"/>
    <s v="Above salary"/>
    <s v="Medium Risk"/>
  </r>
  <r>
    <n v="34"/>
    <x v="0"/>
    <s v="Travel_Frequently"/>
    <n v="658"/>
    <x v="1"/>
    <n v="7"/>
    <n v="3"/>
    <s v="Life Sciences"/>
    <n v="147"/>
    <n v="1"/>
    <x v="1"/>
    <n v="66"/>
    <n v="1"/>
    <n v="2"/>
    <x v="2"/>
    <n v="3"/>
    <s v="Single"/>
    <x v="108"/>
    <n v="22887"/>
    <n v="1"/>
    <x v="0"/>
    <n v="24"/>
    <n v="4"/>
    <n v="4"/>
    <n v="0"/>
    <n v="9"/>
    <n v="3"/>
    <n v="3"/>
    <n v="9"/>
    <n v="7"/>
    <n v="0"/>
    <n v="6"/>
    <x v="2"/>
    <s v="Mid"/>
    <n v="6281.2528616024974"/>
    <s v="Below salary"/>
    <s v="Medium Risk"/>
  </r>
  <r>
    <n v="54"/>
    <x v="1"/>
    <s v="Non-Travel"/>
    <n v="142"/>
    <x v="2"/>
    <n v="26"/>
    <n v="3"/>
    <s v="Human Resources"/>
    <n v="148"/>
    <n v="4"/>
    <x v="0"/>
    <n v="30"/>
    <n v="4"/>
    <n v="4"/>
    <x v="5"/>
    <n v="4"/>
    <s v="Single"/>
    <x v="109"/>
    <n v="13871"/>
    <n v="2"/>
    <x v="0"/>
    <n v="12"/>
    <n v="3"/>
    <n v="3"/>
    <n v="0"/>
    <n v="23"/>
    <n v="3"/>
    <n v="3"/>
    <n v="5"/>
    <n v="3"/>
    <n v="4"/>
    <n v="4"/>
    <x v="1"/>
    <s v="Very High"/>
    <n v="6654.5079365079364"/>
    <s v="Above salary"/>
    <s v="Medium Risk"/>
  </r>
  <r>
    <n v="24"/>
    <x v="1"/>
    <s v="Travel_Rarely"/>
    <n v="1127"/>
    <x v="1"/>
    <n v="18"/>
    <n v="1"/>
    <s v="Life Sciences"/>
    <n v="150"/>
    <n v="2"/>
    <x v="1"/>
    <n v="52"/>
    <n v="3"/>
    <n v="1"/>
    <x v="2"/>
    <n v="3"/>
    <s v="Married"/>
    <x v="110"/>
    <n v="13257"/>
    <n v="0"/>
    <x v="1"/>
    <n v="12"/>
    <n v="3"/>
    <n v="3"/>
    <n v="1"/>
    <n v="6"/>
    <n v="2"/>
    <n v="3"/>
    <n v="5"/>
    <n v="3"/>
    <n v="1"/>
    <n v="2"/>
    <x v="3"/>
    <s v="Low"/>
    <n v="6281.2528616024974"/>
    <s v="Below salary"/>
    <s v="Low Risk"/>
  </r>
  <r>
    <n v="34"/>
    <x v="1"/>
    <s v="Travel_Rarely"/>
    <n v="1031"/>
    <x v="1"/>
    <n v="6"/>
    <n v="4"/>
    <s v="Life Sciences"/>
    <n v="151"/>
    <n v="3"/>
    <x v="0"/>
    <n v="45"/>
    <n v="2"/>
    <n v="2"/>
    <x v="1"/>
    <n v="2"/>
    <s v="Divorced"/>
    <x v="111"/>
    <n v="15000"/>
    <n v="6"/>
    <x v="1"/>
    <n v="15"/>
    <n v="3"/>
    <n v="3"/>
    <n v="1"/>
    <n v="12"/>
    <n v="3"/>
    <n v="3"/>
    <n v="1"/>
    <n v="0"/>
    <n v="0"/>
    <n v="0"/>
    <x v="2"/>
    <s v="Mid"/>
    <n v="6281.2528616024974"/>
    <s v="Below salary"/>
    <s v="Medium Risk"/>
  </r>
  <r>
    <n v="37"/>
    <x v="1"/>
    <s v="Travel_Rarely"/>
    <n v="1189"/>
    <x v="0"/>
    <n v="3"/>
    <n v="3"/>
    <s v="Life Sciences"/>
    <n v="152"/>
    <n v="3"/>
    <x v="1"/>
    <n v="87"/>
    <n v="3"/>
    <n v="3"/>
    <x v="0"/>
    <n v="4"/>
    <s v="Single"/>
    <x v="112"/>
    <n v="14506"/>
    <n v="2"/>
    <x v="1"/>
    <n v="12"/>
    <n v="3"/>
    <n v="1"/>
    <n v="0"/>
    <n v="12"/>
    <n v="3"/>
    <n v="3"/>
    <n v="5"/>
    <n v="3"/>
    <n v="1"/>
    <n v="3"/>
    <x v="0"/>
    <s v="High"/>
    <n v="6959.17264573991"/>
    <s v="Above salary"/>
    <s v="Low Risk"/>
  </r>
  <r>
    <n v="34"/>
    <x v="1"/>
    <s v="Travel_Rarely"/>
    <n v="1354"/>
    <x v="1"/>
    <n v="5"/>
    <n v="3"/>
    <s v="Medical"/>
    <n v="153"/>
    <n v="3"/>
    <x v="0"/>
    <n v="45"/>
    <n v="2"/>
    <n v="3"/>
    <x v="5"/>
    <n v="1"/>
    <s v="Single"/>
    <x v="113"/>
    <n v="5615"/>
    <n v="2"/>
    <x v="1"/>
    <n v="12"/>
    <n v="3"/>
    <n v="4"/>
    <n v="0"/>
    <n v="14"/>
    <n v="6"/>
    <n v="3"/>
    <n v="11"/>
    <n v="10"/>
    <n v="5"/>
    <n v="8"/>
    <x v="2"/>
    <s v="High"/>
    <n v="6281.2528616024974"/>
    <s v="Above salary"/>
    <s v="Medium Risk"/>
  </r>
  <r>
    <n v="36"/>
    <x v="1"/>
    <s v="Travel_Frequently"/>
    <n v="1467"/>
    <x v="0"/>
    <n v="11"/>
    <n v="2"/>
    <s v="Technical Degree"/>
    <n v="154"/>
    <n v="2"/>
    <x v="0"/>
    <n v="92"/>
    <n v="3"/>
    <n v="3"/>
    <x v="0"/>
    <n v="4"/>
    <s v="Married"/>
    <x v="114"/>
    <n v="22952"/>
    <n v="0"/>
    <x v="1"/>
    <n v="14"/>
    <n v="3"/>
    <n v="3"/>
    <n v="1"/>
    <n v="10"/>
    <n v="6"/>
    <n v="3"/>
    <n v="9"/>
    <n v="7"/>
    <n v="2"/>
    <n v="8"/>
    <x v="0"/>
    <s v="High"/>
    <n v="6959.17264573991"/>
    <s v="Above salary"/>
    <s v="Low Risk"/>
  </r>
  <r>
    <n v="36"/>
    <x v="1"/>
    <s v="Travel_Rarely"/>
    <n v="922"/>
    <x v="1"/>
    <n v="3"/>
    <n v="2"/>
    <s v="Life Sciences"/>
    <n v="155"/>
    <n v="1"/>
    <x v="0"/>
    <n v="39"/>
    <n v="3"/>
    <n v="1"/>
    <x v="2"/>
    <n v="4"/>
    <s v="Divorced"/>
    <x v="115"/>
    <n v="2561"/>
    <n v="5"/>
    <x v="1"/>
    <n v="22"/>
    <n v="4"/>
    <n v="1"/>
    <n v="1"/>
    <n v="7"/>
    <n v="2"/>
    <n v="3"/>
    <n v="1"/>
    <n v="0"/>
    <n v="0"/>
    <n v="0"/>
    <x v="0"/>
    <s v="Low"/>
    <n v="6281.2528616024974"/>
    <s v="Below salary"/>
    <s v="Low Risk"/>
  </r>
  <r>
    <n v="43"/>
    <x v="1"/>
    <s v="Travel_Frequently"/>
    <n v="394"/>
    <x v="0"/>
    <n v="26"/>
    <n v="2"/>
    <s v="Life Sciences"/>
    <n v="158"/>
    <n v="3"/>
    <x v="1"/>
    <n v="92"/>
    <n v="3"/>
    <n v="4"/>
    <x v="5"/>
    <n v="4"/>
    <s v="Married"/>
    <x v="116"/>
    <n v="19494"/>
    <n v="1"/>
    <x v="0"/>
    <n v="12"/>
    <n v="3"/>
    <n v="4"/>
    <n v="2"/>
    <n v="25"/>
    <n v="3"/>
    <n v="4"/>
    <n v="25"/>
    <n v="12"/>
    <n v="4"/>
    <n v="12"/>
    <x v="0"/>
    <s v="Very High"/>
    <n v="6959.17264573991"/>
    <s v="Above salary"/>
    <s v="Medium Risk"/>
  </r>
  <r>
    <n v="30"/>
    <x v="1"/>
    <s v="Travel_Frequently"/>
    <n v="1312"/>
    <x v="1"/>
    <n v="23"/>
    <n v="3"/>
    <s v="Life Sciences"/>
    <n v="159"/>
    <n v="1"/>
    <x v="1"/>
    <n v="96"/>
    <n v="1"/>
    <n v="1"/>
    <x v="1"/>
    <n v="3"/>
    <s v="Divorced"/>
    <x v="117"/>
    <n v="22310"/>
    <n v="1"/>
    <x v="1"/>
    <n v="25"/>
    <n v="4"/>
    <n v="3"/>
    <n v="3"/>
    <n v="10"/>
    <n v="2"/>
    <n v="2"/>
    <n v="10"/>
    <n v="7"/>
    <n v="0"/>
    <n v="9"/>
    <x v="2"/>
    <s v="Low"/>
    <n v="6281.2528616024974"/>
    <s v="Below salary"/>
    <s v="Low Risk"/>
  </r>
  <r>
    <n v="33"/>
    <x v="1"/>
    <s v="Non-Travel"/>
    <n v="750"/>
    <x v="0"/>
    <n v="22"/>
    <n v="2"/>
    <s v="Marketing"/>
    <n v="160"/>
    <n v="3"/>
    <x v="1"/>
    <n v="95"/>
    <n v="3"/>
    <n v="2"/>
    <x v="0"/>
    <n v="2"/>
    <s v="Married"/>
    <x v="118"/>
    <n v="15480"/>
    <n v="0"/>
    <x v="1"/>
    <n v="13"/>
    <n v="3"/>
    <n v="1"/>
    <n v="1"/>
    <n v="8"/>
    <n v="2"/>
    <n v="4"/>
    <n v="7"/>
    <n v="7"/>
    <n v="0"/>
    <n v="7"/>
    <x v="2"/>
    <s v="Mid"/>
    <n v="6959.17264573991"/>
    <s v="Below salary"/>
    <s v="Medium Risk"/>
  </r>
  <r>
    <n v="56"/>
    <x v="0"/>
    <s v="Travel_Rarely"/>
    <n v="441"/>
    <x v="1"/>
    <n v="14"/>
    <n v="4"/>
    <s v="Life Sciences"/>
    <n v="161"/>
    <n v="2"/>
    <x v="0"/>
    <n v="72"/>
    <n v="3"/>
    <n v="1"/>
    <x v="1"/>
    <n v="2"/>
    <s v="Married"/>
    <x v="119"/>
    <n v="4510"/>
    <n v="9"/>
    <x v="0"/>
    <n v="18"/>
    <n v="3"/>
    <n v="1"/>
    <n v="3"/>
    <n v="7"/>
    <n v="2"/>
    <n v="3"/>
    <n v="5"/>
    <n v="4"/>
    <n v="4"/>
    <n v="3"/>
    <x v="1"/>
    <s v="Mid"/>
    <n v="6281.2528616024974"/>
    <s v="Below salary"/>
    <s v="High Risk"/>
  </r>
  <r>
    <n v="51"/>
    <x v="1"/>
    <s v="Travel_Rarely"/>
    <n v="684"/>
    <x v="1"/>
    <n v="6"/>
    <n v="3"/>
    <s v="Life Sciences"/>
    <n v="162"/>
    <n v="1"/>
    <x v="1"/>
    <n v="51"/>
    <n v="3"/>
    <n v="5"/>
    <x v="7"/>
    <n v="3"/>
    <s v="Single"/>
    <x v="120"/>
    <n v="6462"/>
    <n v="7"/>
    <x v="1"/>
    <n v="13"/>
    <n v="3"/>
    <n v="3"/>
    <n v="0"/>
    <n v="23"/>
    <n v="5"/>
    <n v="3"/>
    <n v="20"/>
    <n v="18"/>
    <n v="15"/>
    <n v="15"/>
    <x v="1"/>
    <s v="Very High"/>
    <n v="6281.2528616024974"/>
    <s v="Above salary"/>
    <s v="Low Risk"/>
  </r>
  <r>
    <n v="31"/>
    <x v="0"/>
    <s v="Travel_Rarely"/>
    <n v="249"/>
    <x v="0"/>
    <n v="6"/>
    <n v="4"/>
    <s v="Life Sciences"/>
    <n v="163"/>
    <n v="2"/>
    <x v="1"/>
    <n v="76"/>
    <n v="1"/>
    <n v="2"/>
    <x v="0"/>
    <n v="3"/>
    <s v="Married"/>
    <x v="121"/>
    <n v="20739"/>
    <n v="4"/>
    <x v="0"/>
    <n v="18"/>
    <n v="3"/>
    <n v="2"/>
    <n v="0"/>
    <n v="12"/>
    <n v="3"/>
    <n v="2"/>
    <n v="7"/>
    <n v="7"/>
    <n v="7"/>
    <n v="7"/>
    <x v="2"/>
    <s v="Mid"/>
    <n v="6959.17264573991"/>
    <s v="Below salary"/>
    <s v="Medium Risk"/>
  </r>
  <r>
    <n v="26"/>
    <x v="1"/>
    <s v="Travel_Rarely"/>
    <n v="841"/>
    <x v="1"/>
    <n v="6"/>
    <n v="3"/>
    <s v="Other"/>
    <n v="164"/>
    <n v="3"/>
    <x v="0"/>
    <n v="46"/>
    <n v="2"/>
    <n v="1"/>
    <x v="1"/>
    <n v="2"/>
    <s v="Married"/>
    <x v="122"/>
    <n v="23300"/>
    <n v="1"/>
    <x v="1"/>
    <n v="19"/>
    <n v="3"/>
    <n v="3"/>
    <n v="0"/>
    <n v="5"/>
    <n v="3"/>
    <n v="2"/>
    <n v="5"/>
    <n v="4"/>
    <n v="4"/>
    <n v="3"/>
    <x v="2"/>
    <s v="Low"/>
    <n v="6281.2528616024974"/>
    <s v="Below salary"/>
    <s v="Medium Risk"/>
  </r>
  <r>
    <n v="58"/>
    <x v="0"/>
    <s v="Travel_Rarely"/>
    <n v="147"/>
    <x v="1"/>
    <n v="23"/>
    <n v="4"/>
    <s v="Medical"/>
    <n v="165"/>
    <n v="4"/>
    <x v="0"/>
    <n v="94"/>
    <n v="3"/>
    <n v="3"/>
    <x v="4"/>
    <n v="4"/>
    <s v="Married"/>
    <x v="123"/>
    <n v="3465"/>
    <n v="1"/>
    <x v="1"/>
    <n v="12"/>
    <n v="3"/>
    <n v="4"/>
    <n v="1"/>
    <n v="40"/>
    <n v="3"/>
    <n v="2"/>
    <n v="40"/>
    <n v="10"/>
    <n v="15"/>
    <n v="6"/>
    <x v="1"/>
    <s v="High"/>
    <n v="6281.2528616024974"/>
    <s v="Above salary"/>
    <s v="Low Risk"/>
  </r>
  <r>
    <n v="19"/>
    <x v="0"/>
    <s v="Travel_Rarely"/>
    <n v="528"/>
    <x v="0"/>
    <n v="22"/>
    <n v="1"/>
    <s v="Marketing"/>
    <n v="167"/>
    <n v="4"/>
    <x v="1"/>
    <n v="50"/>
    <n v="3"/>
    <n v="1"/>
    <x v="6"/>
    <n v="3"/>
    <s v="Single"/>
    <x v="124"/>
    <n v="26820"/>
    <n v="1"/>
    <x v="0"/>
    <n v="19"/>
    <n v="3"/>
    <n v="4"/>
    <n v="0"/>
    <n v="0"/>
    <n v="2"/>
    <n v="2"/>
    <n v="0"/>
    <n v="0"/>
    <n v="0"/>
    <n v="0"/>
    <x v="3"/>
    <s v="Low"/>
    <n v="6959.17264573991"/>
    <s v="Below salary"/>
    <s v="Medium Risk"/>
  </r>
  <r>
    <n v="22"/>
    <x v="1"/>
    <s v="Travel_Rarely"/>
    <n v="594"/>
    <x v="1"/>
    <n v="2"/>
    <n v="1"/>
    <s v="Technical Degree"/>
    <n v="169"/>
    <n v="3"/>
    <x v="1"/>
    <n v="100"/>
    <n v="3"/>
    <n v="1"/>
    <x v="2"/>
    <n v="4"/>
    <s v="Married"/>
    <x v="125"/>
    <n v="19299"/>
    <n v="0"/>
    <x v="1"/>
    <n v="14"/>
    <n v="3"/>
    <n v="3"/>
    <n v="1"/>
    <n v="3"/>
    <n v="2"/>
    <n v="3"/>
    <n v="2"/>
    <n v="1"/>
    <n v="2"/>
    <n v="1"/>
    <x v="3"/>
    <s v="Low"/>
    <n v="6281.2528616024974"/>
    <s v="Below salary"/>
    <s v="Low Risk"/>
  </r>
  <r>
    <n v="49"/>
    <x v="1"/>
    <s v="Travel_Rarely"/>
    <n v="470"/>
    <x v="1"/>
    <n v="20"/>
    <n v="4"/>
    <s v="Medical"/>
    <n v="170"/>
    <n v="3"/>
    <x v="0"/>
    <n v="96"/>
    <n v="3"/>
    <n v="2"/>
    <x v="3"/>
    <n v="1"/>
    <s v="Married"/>
    <x v="126"/>
    <n v="5549"/>
    <n v="1"/>
    <x v="1"/>
    <n v="14"/>
    <n v="3"/>
    <n v="3"/>
    <n v="0"/>
    <n v="16"/>
    <n v="2"/>
    <n v="2"/>
    <n v="15"/>
    <n v="11"/>
    <n v="5"/>
    <n v="11"/>
    <x v="1"/>
    <s v="Mid"/>
    <n v="6281.2528616024974"/>
    <s v="Above salary"/>
    <s v="Medium Risk"/>
  </r>
  <r>
    <n v="43"/>
    <x v="1"/>
    <s v="Travel_Frequently"/>
    <n v="957"/>
    <x v="1"/>
    <n v="28"/>
    <n v="3"/>
    <s v="Medical"/>
    <n v="171"/>
    <n v="2"/>
    <x v="0"/>
    <n v="72"/>
    <n v="4"/>
    <n v="1"/>
    <x v="1"/>
    <n v="3"/>
    <s v="Single"/>
    <x v="127"/>
    <n v="16090"/>
    <n v="4"/>
    <x v="1"/>
    <n v="12"/>
    <n v="3"/>
    <n v="4"/>
    <n v="0"/>
    <n v="18"/>
    <n v="2"/>
    <n v="3"/>
    <n v="3"/>
    <n v="2"/>
    <n v="1"/>
    <n v="2"/>
    <x v="0"/>
    <s v="Mid"/>
    <n v="6281.2528616024974"/>
    <s v="Below salary"/>
    <s v="Low Risk"/>
  </r>
  <r>
    <n v="50"/>
    <x v="1"/>
    <s v="Travel_Frequently"/>
    <n v="809"/>
    <x v="0"/>
    <n v="12"/>
    <n v="3"/>
    <s v="Marketing"/>
    <n v="174"/>
    <n v="3"/>
    <x v="0"/>
    <n v="77"/>
    <n v="3"/>
    <n v="3"/>
    <x v="0"/>
    <n v="4"/>
    <s v="Single"/>
    <x v="128"/>
    <n v="6645"/>
    <n v="4"/>
    <x v="1"/>
    <n v="11"/>
    <n v="3"/>
    <n v="4"/>
    <n v="0"/>
    <n v="16"/>
    <n v="3"/>
    <n v="3"/>
    <n v="2"/>
    <n v="2"/>
    <n v="2"/>
    <n v="1"/>
    <x v="1"/>
    <s v="High"/>
    <n v="6959.17264573991"/>
    <s v="Above salary"/>
    <s v="Low Risk"/>
  </r>
  <r>
    <n v="31"/>
    <x v="0"/>
    <s v="Travel_Rarely"/>
    <n v="542"/>
    <x v="0"/>
    <n v="20"/>
    <n v="3"/>
    <s v="Life Sciences"/>
    <n v="175"/>
    <n v="2"/>
    <x v="0"/>
    <n v="71"/>
    <n v="1"/>
    <n v="2"/>
    <x v="0"/>
    <n v="3"/>
    <s v="Married"/>
    <x v="129"/>
    <n v="24788"/>
    <n v="3"/>
    <x v="0"/>
    <n v="11"/>
    <n v="3"/>
    <n v="3"/>
    <n v="1"/>
    <n v="4"/>
    <n v="2"/>
    <n v="3"/>
    <n v="2"/>
    <n v="2"/>
    <n v="2"/>
    <n v="2"/>
    <x v="2"/>
    <s v="Mid"/>
    <n v="6959.17264573991"/>
    <s v="Below salary"/>
    <s v="Medium Risk"/>
  </r>
  <r>
    <n v="41"/>
    <x v="1"/>
    <s v="Travel_Rarely"/>
    <n v="802"/>
    <x v="0"/>
    <n v="9"/>
    <n v="1"/>
    <s v="Life Sciences"/>
    <n v="176"/>
    <n v="3"/>
    <x v="1"/>
    <n v="96"/>
    <n v="3"/>
    <n v="3"/>
    <x v="0"/>
    <n v="3"/>
    <s v="Divorced"/>
    <x v="130"/>
    <n v="21196"/>
    <n v="3"/>
    <x v="0"/>
    <n v="13"/>
    <n v="3"/>
    <n v="3"/>
    <n v="1"/>
    <n v="12"/>
    <n v="2"/>
    <n v="3"/>
    <n v="9"/>
    <n v="7"/>
    <n v="0"/>
    <n v="7"/>
    <x v="0"/>
    <s v="High"/>
    <n v="6959.17264573991"/>
    <s v="Above salary"/>
    <s v="Medium Risk"/>
  </r>
  <r>
    <n v="26"/>
    <x v="1"/>
    <s v="Travel_Rarely"/>
    <n v="1355"/>
    <x v="2"/>
    <n v="25"/>
    <n v="1"/>
    <s v="Life Sciences"/>
    <n v="177"/>
    <n v="3"/>
    <x v="0"/>
    <n v="61"/>
    <n v="3"/>
    <n v="1"/>
    <x v="8"/>
    <n v="3"/>
    <s v="Married"/>
    <x v="131"/>
    <n v="8916"/>
    <n v="1"/>
    <x v="1"/>
    <n v="23"/>
    <n v="4"/>
    <n v="4"/>
    <n v="1"/>
    <n v="8"/>
    <n v="3"/>
    <n v="3"/>
    <n v="8"/>
    <n v="7"/>
    <n v="5"/>
    <n v="7"/>
    <x v="2"/>
    <s v="Low"/>
    <n v="6654.5079365079364"/>
    <s v="Below salary"/>
    <s v="Low Risk"/>
  </r>
  <r>
    <n v="36"/>
    <x v="1"/>
    <s v="Travel_Rarely"/>
    <n v="216"/>
    <x v="1"/>
    <n v="6"/>
    <n v="2"/>
    <s v="Medical"/>
    <n v="178"/>
    <n v="2"/>
    <x v="1"/>
    <n v="84"/>
    <n v="3"/>
    <n v="2"/>
    <x v="3"/>
    <n v="2"/>
    <s v="Divorced"/>
    <x v="132"/>
    <n v="2819"/>
    <n v="6"/>
    <x v="1"/>
    <n v="20"/>
    <n v="4"/>
    <n v="4"/>
    <n v="2"/>
    <n v="7"/>
    <n v="0"/>
    <n v="3"/>
    <n v="3"/>
    <n v="2"/>
    <n v="0"/>
    <n v="1"/>
    <x v="0"/>
    <s v="Mid"/>
    <n v="6281.2528616024974"/>
    <s v="Below salary"/>
    <s v="Medium Risk"/>
  </r>
  <r>
    <n v="51"/>
    <x v="0"/>
    <s v="Travel_Frequently"/>
    <n v="1150"/>
    <x v="1"/>
    <n v="8"/>
    <n v="4"/>
    <s v="Life Sciences"/>
    <n v="179"/>
    <n v="1"/>
    <x v="1"/>
    <n v="53"/>
    <n v="1"/>
    <n v="3"/>
    <x v="3"/>
    <n v="4"/>
    <s v="Single"/>
    <x v="133"/>
    <n v="25150"/>
    <n v="2"/>
    <x v="1"/>
    <n v="15"/>
    <n v="3"/>
    <n v="4"/>
    <n v="0"/>
    <n v="18"/>
    <n v="2"/>
    <n v="3"/>
    <n v="4"/>
    <n v="2"/>
    <n v="0"/>
    <n v="3"/>
    <x v="1"/>
    <s v="High"/>
    <n v="6281.2528616024974"/>
    <s v="Above salary"/>
    <s v="Low Risk"/>
  </r>
  <r>
    <n v="39"/>
    <x v="1"/>
    <s v="Travel_Rarely"/>
    <n v="1329"/>
    <x v="0"/>
    <n v="4"/>
    <n v="4"/>
    <s v="Life Sciences"/>
    <n v="182"/>
    <n v="4"/>
    <x v="0"/>
    <n v="47"/>
    <n v="2"/>
    <n v="2"/>
    <x v="0"/>
    <n v="3"/>
    <s v="Married"/>
    <x v="134"/>
    <n v="14590"/>
    <n v="4"/>
    <x v="1"/>
    <n v="14"/>
    <n v="3"/>
    <n v="3"/>
    <n v="1"/>
    <n v="17"/>
    <n v="1"/>
    <n v="4"/>
    <n v="15"/>
    <n v="11"/>
    <n v="5"/>
    <n v="9"/>
    <x v="0"/>
    <s v="Mid"/>
    <n v="6959.17264573991"/>
    <s v="Below salary"/>
    <s v="Low Risk"/>
  </r>
  <r>
    <n v="25"/>
    <x v="1"/>
    <s v="Travel_Rarely"/>
    <n v="959"/>
    <x v="0"/>
    <n v="28"/>
    <n v="3"/>
    <s v="Life Sciences"/>
    <n v="183"/>
    <n v="1"/>
    <x v="1"/>
    <n v="41"/>
    <n v="2"/>
    <n v="2"/>
    <x v="0"/>
    <n v="3"/>
    <s v="Married"/>
    <x v="135"/>
    <n v="24835"/>
    <n v="2"/>
    <x v="1"/>
    <n v="18"/>
    <n v="3"/>
    <n v="4"/>
    <n v="0"/>
    <n v="6"/>
    <n v="3"/>
    <n v="3"/>
    <n v="2"/>
    <n v="2"/>
    <n v="2"/>
    <n v="2"/>
    <x v="3"/>
    <s v="High"/>
    <n v="6959.17264573991"/>
    <s v="Above salary"/>
    <s v="Low Risk"/>
  </r>
  <r>
    <n v="30"/>
    <x v="1"/>
    <s v="Travel_Rarely"/>
    <n v="1240"/>
    <x v="2"/>
    <n v="9"/>
    <n v="3"/>
    <s v="Human Resources"/>
    <n v="184"/>
    <n v="3"/>
    <x v="1"/>
    <n v="48"/>
    <n v="3"/>
    <n v="2"/>
    <x v="8"/>
    <n v="4"/>
    <s v="Married"/>
    <x v="136"/>
    <n v="13982"/>
    <n v="0"/>
    <x v="0"/>
    <n v="19"/>
    <n v="3"/>
    <n v="4"/>
    <n v="0"/>
    <n v="12"/>
    <n v="2"/>
    <n v="1"/>
    <n v="11"/>
    <n v="9"/>
    <n v="4"/>
    <n v="7"/>
    <x v="2"/>
    <s v="Mid"/>
    <n v="6654.5079365079364"/>
    <s v="Below salary"/>
    <s v="Medium Risk"/>
  </r>
  <r>
    <n v="32"/>
    <x v="0"/>
    <s v="Travel_Rarely"/>
    <n v="1033"/>
    <x v="1"/>
    <n v="9"/>
    <n v="3"/>
    <s v="Medical"/>
    <n v="190"/>
    <n v="1"/>
    <x v="0"/>
    <n v="41"/>
    <n v="3"/>
    <n v="1"/>
    <x v="2"/>
    <n v="1"/>
    <s v="Single"/>
    <x v="137"/>
    <n v="10224"/>
    <n v="7"/>
    <x v="1"/>
    <n v="22"/>
    <n v="4"/>
    <n v="1"/>
    <n v="0"/>
    <n v="10"/>
    <n v="2"/>
    <n v="4"/>
    <n v="5"/>
    <n v="4"/>
    <n v="0"/>
    <n v="4"/>
    <x v="2"/>
    <s v="Mid"/>
    <n v="6281.2528616024974"/>
    <s v="Below salary"/>
    <s v="Medium Risk"/>
  </r>
  <r>
    <n v="45"/>
    <x v="1"/>
    <s v="Travel_Rarely"/>
    <n v="1316"/>
    <x v="1"/>
    <n v="29"/>
    <n v="3"/>
    <s v="Medical"/>
    <n v="192"/>
    <n v="3"/>
    <x v="1"/>
    <n v="83"/>
    <n v="3"/>
    <n v="1"/>
    <x v="1"/>
    <n v="4"/>
    <s v="Single"/>
    <x v="138"/>
    <n v="9752"/>
    <n v="5"/>
    <x v="1"/>
    <n v="13"/>
    <n v="3"/>
    <n v="2"/>
    <n v="0"/>
    <n v="9"/>
    <n v="2"/>
    <n v="2"/>
    <n v="6"/>
    <n v="5"/>
    <n v="0"/>
    <n v="3"/>
    <x v="0"/>
    <s v="Mid"/>
    <n v="6281.2528616024974"/>
    <s v="Below salary"/>
    <s v="Low Risk"/>
  </r>
  <r>
    <n v="38"/>
    <x v="1"/>
    <s v="Travel_Rarely"/>
    <n v="364"/>
    <x v="1"/>
    <n v="3"/>
    <n v="5"/>
    <s v="Technical Degree"/>
    <n v="193"/>
    <n v="4"/>
    <x v="0"/>
    <n v="32"/>
    <n v="3"/>
    <n v="2"/>
    <x v="1"/>
    <n v="3"/>
    <s v="Single"/>
    <x v="139"/>
    <n v="2302"/>
    <n v="3"/>
    <x v="0"/>
    <n v="20"/>
    <n v="4"/>
    <n v="2"/>
    <n v="0"/>
    <n v="19"/>
    <n v="2"/>
    <n v="3"/>
    <n v="3"/>
    <n v="2"/>
    <n v="2"/>
    <n v="2"/>
    <x v="0"/>
    <s v="Mid"/>
    <n v="6281.2528616024974"/>
    <s v="Below salary"/>
    <s v="Medium Risk"/>
  </r>
  <r>
    <n v="30"/>
    <x v="1"/>
    <s v="Travel_Rarely"/>
    <n v="438"/>
    <x v="1"/>
    <n v="18"/>
    <n v="3"/>
    <s v="Life Sciences"/>
    <n v="194"/>
    <n v="1"/>
    <x v="0"/>
    <n v="75"/>
    <n v="3"/>
    <n v="1"/>
    <x v="1"/>
    <n v="3"/>
    <s v="Single"/>
    <x v="140"/>
    <n v="23910"/>
    <n v="1"/>
    <x v="1"/>
    <n v="14"/>
    <n v="3"/>
    <n v="3"/>
    <n v="0"/>
    <n v="5"/>
    <n v="4"/>
    <n v="2"/>
    <n v="5"/>
    <n v="4"/>
    <n v="0"/>
    <n v="4"/>
    <x v="2"/>
    <s v="Low"/>
    <n v="6281.2528616024974"/>
    <s v="Below salary"/>
    <s v="Low Risk"/>
  </r>
  <r>
    <n v="32"/>
    <x v="1"/>
    <s v="Travel_Frequently"/>
    <n v="689"/>
    <x v="0"/>
    <n v="9"/>
    <n v="2"/>
    <s v="Medical"/>
    <n v="195"/>
    <n v="4"/>
    <x v="1"/>
    <n v="35"/>
    <n v="1"/>
    <n v="2"/>
    <x v="0"/>
    <n v="4"/>
    <s v="Divorced"/>
    <x v="141"/>
    <n v="22812"/>
    <n v="0"/>
    <x v="1"/>
    <n v="17"/>
    <n v="3"/>
    <n v="4"/>
    <n v="3"/>
    <n v="9"/>
    <n v="2"/>
    <n v="4"/>
    <n v="8"/>
    <n v="7"/>
    <n v="0"/>
    <n v="7"/>
    <x v="2"/>
    <s v="Mid"/>
    <n v="6959.17264573991"/>
    <s v="Below salary"/>
    <s v="Low Risk"/>
  </r>
  <r>
    <n v="30"/>
    <x v="1"/>
    <s v="Travel_Rarely"/>
    <n v="201"/>
    <x v="1"/>
    <n v="5"/>
    <n v="3"/>
    <s v="Technical Degree"/>
    <n v="197"/>
    <n v="4"/>
    <x v="0"/>
    <n v="84"/>
    <n v="3"/>
    <n v="1"/>
    <x v="1"/>
    <n v="1"/>
    <s v="Divorced"/>
    <x v="142"/>
    <n v="10415"/>
    <n v="5"/>
    <x v="1"/>
    <n v="14"/>
    <n v="3"/>
    <n v="4"/>
    <n v="1"/>
    <n v="8"/>
    <n v="3"/>
    <n v="3"/>
    <n v="3"/>
    <n v="2"/>
    <n v="2"/>
    <n v="2"/>
    <x v="2"/>
    <s v="Mid"/>
    <n v="6281.2528616024974"/>
    <s v="Below salary"/>
    <s v="Medium Risk"/>
  </r>
  <r>
    <n v="30"/>
    <x v="1"/>
    <s v="Travel_Rarely"/>
    <n v="1427"/>
    <x v="1"/>
    <n v="2"/>
    <n v="1"/>
    <s v="Medical"/>
    <n v="198"/>
    <n v="2"/>
    <x v="1"/>
    <n v="35"/>
    <n v="2"/>
    <n v="1"/>
    <x v="2"/>
    <n v="4"/>
    <s v="Single"/>
    <x v="143"/>
    <n v="11162"/>
    <n v="0"/>
    <x v="1"/>
    <n v="13"/>
    <n v="3"/>
    <n v="4"/>
    <n v="0"/>
    <n v="6"/>
    <n v="3"/>
    <n v="3"/>
    <n v="5"/>
    <n v="3"/>
    <n v="1"/>
    <n v="2"/>
    <x v="2"/>
    <s v="Low"/>
    <n v="6281.2528616024974"/>
    <s v="Below salary"/>
    <s v="Low Risk"/>
  </r>
  <r>
    <n v="41"/>
    <x v="1"/>
    <s v="Travel_Frequently"/>
    <n v="857"/>
    <x v="1"/>
    <n v="10"/>
    <n v="3"/>
    <s v="Life Sciences"/>
    <n v="199"/>
    <n v="4"/>
    <x v="1"/>
    <n v="91"/>
    <n v="2"/>
    <n v="4"/>
    <x v="5"/>
    <n v="1"/>
    <s v="Divorced"/>
    <x v="144"/>
    <n v="12888"/>
    <n v="4"/>
    <x v="1"/>
    <n v="13"/>
    <n v="3"/>
    <n v="2"/>
    <n v="1"/>
    <n v="21"/>
    <n v="2"/>
    <n v="2"/>
    <n v="7"/>
    <n v="6"/>
    <n v="7"/>
    <n v="7"/>
    <x v="0"/>
    <s v="Very High"/>
    <n v="6281.2528616024974"/>
    <s v="Above salary"/>
    <s v="Medium Risk"/>
  </r>
  <r>
    <n v="41"/>
    <x v="1"/>
    <s v="Travel_Rarely"/>
    <n v="933"/>
    <x v="1"/>
    <n v="9"/>
    <n v="4"/>
    <s v="Life Sciences"/>
    <n v="200"/>
    <n v="3"/>
    <x v="1"/>
    <n v="94"/>
    <n v="3"/>
    <n v="1"/>
    <x v="2"/>
    <n v="1"/>
    <s v="Married"/>
    <x v="145"/>
    <n v="6961"/>
    <n v="2"/>
    <x v="1"/>
    <n v="21"/>
    <n v="4"/>
    <n v="4"/>
    <n v="1"/>
    <n v="7"/>
    <n v="2"/>
    <n v="3"/>
    <n v="5"/>
    <n v="0"/>
    <n v="1"/>
    <n v="4"/>
    <x v="0"/>
    <s v="Low"/>
    <n v="6281.2528616024974"/>
    <s v="Below salary"/>
    <s v="Medium Risk"/>
  </r>
  <r>
    <n v="19"/>
    <x v="1"/>
    <s v="Travel_Rarely"/>
    <n v="1181"/>
    <x v="1"/>
    <n v="3"/>
    <n v="1"/>
    <s v="Medical"/>
    <n v="201"/>
    <n v="2"/>
    <x v="0"/>
    <n v="79"/>
    <n v="3"/>
    <n v="1"/>
    <x v="2"/>
    <n v="2"/>
    <s v="Single"/>
    <x v="146"/>
    <n v="16102"/>
    <n v="1"/>
    <x v="1"/>
    <n v="14"/>
    <n v="3"/>
    <n v="4"/>
    <n v="0"/>
    <n v="1"/>
    <n v="3"/>
    <n v="3"/>
    <n v="1"/>
    <n v="0"/>
    <n v="0"/>
    <n v="0"/>
    <x v="3"/>
    <s v="Low"/>
    <n v="6281.2528616024974"/>
    <s v="Below salary"/>
    <s v="Medium Risk"/>
  </r>
  <r>
    <n v="40"/>
    <x v="1"/>
    <s v="Travel_Frequently"/>
    <n v="1395"/>
    <x v="1"/>
    <n v="26"/>
    <n v="3"/>
    <s v="Medical"/>
    <n v="202"/>
    <n v="2"/>
    <x v="0"/>
    <n v="54"/>
    <n v="3"/>
    <n v="2"/>
    <x v="1"/>
    <n v="2"/>
    <s v="Divorced"/>
    <x v="147"/>
    <n v="8504"/>
    <n v="1"/>
    <x v="1"/>
    <n v="11"/>
    <n v="3"/>
    <n v="1"/>
    <n v="1"/>
    <n v="20"/>
    <n v="2"/>
    <n v="3"/>
    <n v="20"/>
    <n v="7"/>
    <n v="2"/>
    <n v="13"/>
    <x v="0"/>
    <s v="Mid"/>
    <n v="6281.2528616024974"/>
    <s v="Below salary"/>
    <s v="Medium Risk"/>
  </r>
  <r>
    <n v="35"/>
    <x v="1"/>
    <s v="Travel_Rarely"/>
    <n v="662"/>
    <x v="0"/>
    <n v="1"/>
    <n v="5"/>
    <s v="Marketing"/>
    <n v="204"/>
    <n v="3"/>
    <x v="1"/>
    <n v="94"/>
    <n v="3"/>
    <n v="3"/>
    <x v="0"/>
    <n v="2"/>
    <s v="Married"/>
    <x v="148"/>
    <n v="11439"/>
    <n v="1"/>
    <x v="1"/>
    <n v="13"/>
    <n v="3"/>
    <n v="1"/>
    <n v="2"/>
    <n v="10"/>
    <n v="3"/>
    <n v="3"/>
    <n v="10"/>
    <n v="8"/>
    <n v="0"/>
    <n v="6"/>
    <x v="2"/>
    <s v="High"/>
    <n v="6959.17264573991"/>
    <s v="Above salary"/>
    <s v="Medium Risk"/>
  </r>
  <r>
    <n v="53"/>
    <x v="1"/>
    <s v="Travel_Rarely"/>
    <n v="1436"/>
    <x v="0"/>
    <n v="6"/>
    <n v="2"/>
    <s v="Marketing"/>
    <n v="205"/>
    <n v="2"/>
    <x v="1"/>
    <n v="34"/>
    <n v="3"/>
    <n v="2"/>
    <x v="6"/>
    <n v="3"/>
    <s v="Married"/>
    <x v="149"/>
    <n v="16047"/>
    <n v="2"/>
    <x v="0"/>
    <n v="20"/>
    <n v="4"/>
    <n v="4"/>
    <n v="1"/>
    <n v="13"/>
    <n v="3"/>
    <n v="1"/>
    <n v="7"/>
    <n v="7"/>
    <n v="4"/>
    <n v="5"/>
    <x v="1"/>
    <s v="Low"/>
    <n v="6959.17264573991"/>
    <s v="Below salary"/>
    <s v="Medium Risk"/>
  </r>
  <r>
    <n v="45"/>
    <x v="1"/>
    <s v="Travel_Rarely"/>
    <n v="194"/>
    <x v="1"/>
    <n v="9"/>
    <n v="3"/>
    <s v="Life Sciences"/>
    <n v="206"/>
    <n v="2"/>
    <x v="1"/>
    <n v="60"/>
    <n v="3"/>
    <n v="2"/>
    <x v="2"/>
    <n v="2"/>
    <s v="Divorced"/>
    <x v="150"/>
    <n v="10901"/>
    <n v="8"/>
    <x v="1"/>
    <n v="18"/>
    <n v="3"/>
    <n v="3"/>
    <n v="1"/>
    <n v="20"/>
    <n v="2"/>
    <n v="1"/>
    <n v="17"/>
    <n v="9"/>
    <n v="0"/>
    <n v="15"/>
    <x v="0"/>
    <s v="Low"/>
    <n v="6281.2528616024974"/>
    <s v="Below salary"/>
    <s v="Medium Risk"/>
  </r>
  <r>
    <n v="32"/>
    <x v="1"/>
    <s v="Travel_Frequently"/>
    <n v="967"/>
    <x v="0"/>
    <n v="8"/>
    <n v="3"/>
    <s v="Marketing"/>
    <n v="207"/>
    <n v="2"/>
    <x v="0"/>
    <n v="43"/>
    <n v="3"/>
    <n v="3"/>
    <x v="0"/>
    <n v="4"/>
    <s v="Single"/>
    <x v="151"/>
    <n v="15589"/>
    <n v="1"/>
    <x v="1"/>
    <n v="14"/>
    <n v="3"/>
    <n v="4"/>
    <n v="0"/>
    <n v="9"/>
    <n v="2"/>
    <n v="3"/>
    <n v="9"/>
    <n v="8"/>
    <n v="3"/>
    <n v="7"/>
    <x v="2"/>
    <s v="High"/>
    <n v="6959.17264573991"/>
    <s v="Above salary"/>
    <s v="Low Risk"/>
  </r>
  <r>
    <n v="29"/>
    <x v="1"/>
    <s v="Non-Travel"/>
    <n v="1496"/>
    <x v="1"/>
    <n v="1"/>
    <n v="1"/>
    <s v="Technical Degree"/>
    <n v="208"/>
    <n v="4"/>
    <x v="1"/>
    <n v="41"/>
    <n v="3"/>
    <n v="2"/>
    <x v="3"/>
    <n v="3"/>
    <s v="Married"/>
    <x v="152"/>
    <n v="26283"/>
    <n v="1"/>
    <x v="1"/>
    <n v="13"/>
    <n v="3"/>
    <n v="1"/>
    <n v="1"/>
    <n v="10"/>
    <n v="1"/>
    <n v="3"/>
    <n v="10"/>
    <n v="7"/>
    <n v="0"/>
    <n v="9"/>
    <x v="2"/>
    <s v="Mid"/>
    <n v="6281.2528616024974"/>
    <s v="Below salary"/>
    <s v="Low Risk"/>
  </r>
  <r>
    <n v="51"/>
    <x v="1"/>
    <s v="Travel_Rarely"/>
    <n v="1169"/>
    <x v="1"/>
    <n v="7"/>
    <n v="4"/>
    <s v="Medical"/>
    <n v="211"/>
    <n v="2"/>
    <x v="1"/>
    <n v="34"/>
    <n v="2"/>
    <n v="2"/>
    <x v="3"/>
    <n v="3"/>
    <s v="Married"/>
    <x v="153"/>
    <n v="13983"/>
    <n v="2"/>
    <x v="1"/>
    <n v="17"/>
    <n v="3"/>
    <n v="3"/>
    <n v="0"/>
    <n v="10"/>
    <n v="2"/>
    <n v="3"/>
    <n v="1"/>
    <n v="0"/>
    <n v="0"/>
    <n v="0"/>
    <x v="1"/>
    <s v="Mid"/>
    <n v="6281.2528616024974"/>
    <s v="Below salary"/>
    <s v="Low Risk"/>
  </r>
  <r>
    <n v="58"/>
    <x v="1"/>
    <s v="Travel_Rarely"/>
    <n v="1145"/>
    <x v="1"/>
    <n v="9"/>
    <n v="3"/>
    <s v="Medical"/>
    <n v="214"/>
    <n v="2"/>
    <x v="0"/>
    <n v="75"/>
    <n v="2"/>
    <n v="1"/>
    <x v="1"/>
    <n v="2"/>
    <s v="Married"/>
    <x v="154"/>
    <n v="11873"/>
    <n v="4"/>
    <x v="0"/>
    <n v="20"/>
    <n v="4"/>
    <n v="2"/>
    <n v="1"/>
    <n v="9"/>
    <n v="3"/>
    <n v="2"/>
    <n v="1"/>
    <n v="0"/>
    <n v="0"/>
    <n v="0"/>
    <x v="1"/>
    <s v="Mid"/>
    <n v="6281.2528616024974"/>
    <s v="Below salary"/>
    <s v="High Risk"/>
  </r>
  <r>
    <n v="40"/>
    <x v="1"/>
    <s v="Travel_Rarely"/>
    <n v="630"/>
    <x v="0"/>
    <n v="4"/>
    <n v="4"/>
    <s v="Marketing"/>
    <n v="215"/>
    <n v="3"/>
    <x v="1"/>
    <n v="67"/>
    <n v="2"/>
    <n v="3"/>
    <x v="0"/>
    <n v="4"/>
    <s v="Married"/>
    <x v="155"/>
    <n v="8552"/>
    <n v="7"/>
    <x v="1"/>
    <n v="11"/>
    <n v="3"/>
    <n v="1"/>
    <n v="1"/>
    <n v="15"/>
    <n v="2"/>
    <n v="2"/>
    <n v="12"/>
    <n v="11"/>
    <n v="2"/>
    <n v="11"/>
    <x v="0"/>
    <s v="High"/>
    <n v="6959.17264573991"/>
    <s v="Above salary"/>
    <s v="Low Risk"/>
  </r>
  <r>
    <n v="34"/>
    <x v="1"/>
    <s v="Travel_Frequently"/>
    <n v="303"/>
    <x v="0"/>
    <n v="2"/>
    <n v="4"/>
    <s v="Marketing"/>
    <n v="216"/>
    <n v="3"/>
    <x v="0"/>
    <n v="75"/>
    <n v="3"/>
    <n v="1"/>
    <x v="6"/>
    <n v="3"/>
    <s v="Married"/>
    <x v="156"/>
    <n v="11314"/>
    <n v="6"/>
    <x v="1"/>
    <n v="18"/>
    <n v="3"/>
    <n v="4"/>
    <n v="1"/>
    <n v="6"/>
    <n v="3"/>
    <n v="3"/>
    <n v="4"/>
    <n v="3"/>
    <n v="1"/>
    <n v="2"/>
    <x v="2"/>
    <s v="Low"/>
    <n v="6959.17264573991"/>
    <s v="Below salary"/>
    <s v="Low Risk"/>
  </r>
  <r>
    <n v="22"/>
    <x v="1"/>
    <s v="Travel_Rarely"/>
    <n v="1256"/>
    <x v="1"/>
    <n v="19"/>
    <n v="1"/>
    <s v="Medical"/>
    <n v="217"/>
    <n v="3"/>
    <x v="1"/>
    <n v="80"/>
    <n v="3"/>
    <n v="1"/>
    <x v="1"/>
    <n v="4"/>
    <s v="Married"/>
    <x v="157"/>
    <n v="11992"/>
    <n v="1"/>
    <x v="1"/>
    <n v="24"/>
    <n v="4"/>
    <n v="1"/>
    <n v="2"/>
    <n v="2"/>
    <n v="6"/>
    <n v="3"/>
    <n v="2"/>
    <n v="2"/>
    <n v="2"/>
    <n v="2"/>
    <x v="3"/>
    <s v="Low"/>
    <n v="6281.2528616024974"/>
    <s v="Below salary"/>
    <s v="Low Risk"/>
  </r>
  <r>
    <n v="27"/>
    <x v="1"/>
    <s v="Non-Travel"/>
    <n v="691"/>
    <x v="1"/>
    <n v="9"/>
    <n v="3"/>
    <s v="Medical"/>
    <n v="218"/>
    <n v="4"/>
    <x v="1"/>
    <n v="57"/>
    <n v="3"/>
    <n v="1"/>
    <x v="1"/>
    <n v="2"/>
    <s v="Divorced"/>
    <x v="158"/>
    <n v="5970"/>
    <n v="6"/>
    <x v="1"/>
    <n v="18"/>
    <n v="3"/>
    <n v="4"/>
    <n v="1"/>
    <n v="6"/>
    <n v="1"/>
    <n v="1"/>
    <n v="2"/>
    <n v="2"/>
    <n v="2"/>
    <n v="2"/>
    <x v="2"/>
    <s v="Low"/>
    <n v="6281.2528616024974"/>
    <s v="Below salary"/>
    <s v="Medium Risk"/>
  </r>
  <r>
    <n v="28"/>
    <x v="1"/>
    <s v="Travel_Rarely"/>
    <n v="440"/>
    <x v="1"/>
    <n v="21"/>
    <n v="3"/>
    <s v="Medical"/>
    <n v="221"/>
    <n v="3"/>
    <x v="1"/>
    <n v="42"/>
    <n v="3"/>
    <n v="1"/>
    <x v="1"/>
    <n v="4"/>
    <s v="Married"/>
    <x v="159"/>
    <n v="6672"/>
    <n v="1"/>
    <x v="1"/>
    <n v="11"/>
    <n v="3"/>
    <n v="3"/>
    <n v="1"/>
    <n v="5"/>
    <n v="2"/>
    <n v="1"/>
    <n v="5"/>
    <n v="2"/>
    <n v="0"/>
    <n v="2"/>
    <x v="2"/>
    <s v="Low"/>
    <n v="6281.2528616024974"/>
    <s v="Below salary"/>
    <s v="Low Risk"/>
  </r>
  <r>
    <n v="57"/>
    <x v="1"/>
    <s v="Travel_Rarely"/>
    <n v="334"/>
    <x v="1"/>
    <n v="24"/>
    <n v="2"/>
    <s v="Life Sciences"/>
    <n v="223"/>
    <n v="3"/>
    <x v="1"/>
    <n v="83"/>
    <n v="4"/>
    <n v="3"/>
    <x v="4"/>
    <n v="4"/>
    <s v="Divorced"/>
    <x v="160"/>
    <n v="23402"/>
    <n v="3"/>
    <x v="0"/>
    <n v="16"/>
    <n v="3"/>
    <n v="2"/>
    <n v="1"/>
    <n v="12"/>
    <n v="2"/>
    <n v="1"/>
    <n v="5"/>
    <n v="3"/>
    <n v="1"/>
    <n v="4"/>
    <x v="1"/>
    <s v="High"/>
    <n v="6281.2528616024974"/>
    <s v="Above salary"/>
    <s v="Medium Risk"/>
  </r>
  <r>
    <n v="27"/>
    <x v="1"/>
    <s v="Non-Travel"/>
    <n v="1450"/>
    <x v="1"/>
    <n v="3"/>
    <n v="3"/>
    <s v="Medical"/>
    <n v="224"/>
    <n v="3"/>
    <x v="1"/>
    <n v="79"/>
    <n v="2"/>
    <n v="1"/>
    <x v="1"/>
    <n v="3"/>
    <s v="Divorced"/>
    <x v="161"/>
    <n v="25326"/>
    <n v="1"/>
    <x v="0"/>
    <n v="15"/>
    <n v="3"/>
    <n v="4"/>
    <n v="1"/>
    <n v="1"/>
    <n v="2"/>
    <n v="2"/>
    <n v="1"/>
    <n v="1"/>
    <n v="0"/>
    <n v="1"/>
    <x v="2"/>
    <s v="Low"/>
    <n v="6281.2528616024974"/>
    <s v="Below salary"/>
    <s v="Medium Risk"/>
  </r>
  <r>
    <n v="50"/>
    <x v="1"/>
    <s v="Travel_Rarely"/>
    <n v="1452"/>
    <x v="1"/>
    <n v="11"/>
    <n v="3"/>
    <s v="Life Sciences"/>
    <n v="226"/>
    <n v="3"/>
    <x v="0"/>
    <n v="53"/>
    <n v="3"/>
    <n v="5"/>
    <x v="5"/>
    <n v="2"/>
    <s v="Single"/>
    <x v="162"/>
    <n v="17053"/>
    <n v="3"/>
    <x v="1"/>
    <n v="15"/>
    <n v="3"/>
    <n v="2"/>
    <n v="0"/>
    <n v="21"/>
    <n v="5"/>
    <n v="3"/>
    <n v="5"/>
    <n v="4"/>
    <n v="4"/>
    <n v="4"/>
    <x v="1"/>
    <s v="Very High"/>
    <n v="6281.2528616024974"/>
    <s v="Above salary"/>
    <s v="Medium Risk"/>
  </r>
  <r>
    <n v="41"/>
    <x v="1"/>
    <s v="Travel_Rarely"/>
    <n v="465"/>
    <x v="1"/>
    <n v="14"/>
    <n v="3"/>
    <s v="Life Sciences"/>
    <n v="227"/>
    <n v="1"/>
    <x v="1"/>
    <n v="56"/>
    <n v="3"/>
    <n v="1"/>
    <x v="1"/>
    <n v="3"/>
    <s v="Divorced"/>
    <x v="163"/>
    <n v="4609"/>
    <n v="4"/>
    <x v="1"/>
    <n v="12"/>
    <n v="3"/>
    <n v="1"/>
    <n v="1"/>
    <n v="13"/>
    <n v="2"/>
    <n v="3"/>
    <n v="9"/>
    <n v="8"/>
    <n v="1"/>
    <n v="8"/>
    <x v="0"/>
    <s v="Low"/>
    <n v="6281.2528616024974"/>
    <s v="Below salary"/>
    <s v="Low Risk"/>
  </r>
  <r>
    <n v="30"/>
    <x v="1"/>
    <s v="Travel_Rarely"/>
    <n v="1339"/>
    <x v="0"/>
    <n v="5"/>
    <n v="3"/>
    <s v="Life Sciences"/>
    <n v="228"/>
    <n v="2"/>
    <x v="0"/>
    <n v="41"/>
    <n v="3"/>
    <n v="3"/>
    <x v="0"/>
    <n v="4"/>
    <s v="Married"/>
    <x v="164"/>
    <n v="8053"/>
    <n v="2"/>
    <x v="1"/>
    <n v="12"/>
    <n v="3"/>
    <n v="3"/>
    <n v="1"/>
    <n v="12"/>
    <n v="2"/>
    <n v="3"/>
    <n v="10"/>
    <n v="9"/>
    <n v="7"/>
    <n v="4"/>
    <x v="2"/>
    <s v="High"/>
    <n v="6959.17264573991"/>
    <s v="Above salary"/>
    <s v="Low Risk"/>
  </r>
  <r>
    <n v="38"/>
    <x v="1"/>
    <s v="Travel_Rarely"/>
    <n v="702"/>
    <x v="0"/>
    <n v="1"/>
    <n v="4"/>
    <s v="Life Sciences"/>
    <n v="230"/>
    <n v="1"/>
    <x v="0"/>
    <n v="59"/>
    <n v="2"/>
    <n v="2"/>
    <x v="0"/>
    <n v="4"/>
    <s v="Single"/>
    <x v="165"/>
    <n v="12930"/>
    <n v="4"/>
    <x v="1"/>
    <n v="22"/>
    <n v="4"/>
    <n v="3"/>
    <n v="0"/>
    <n v="12"/>
    <n v="2"/>
    <n v="4"/>
    <n v="8"/>
    <n v="3"/>
    <n v="0"/>
    <n v="7"/>
    <x v="0"/>
    <s v="High"/>
    <n v="6959.17264573991"/>
    <s v="Above salary"/>
    <s v="Low Risk"/>
  </r>
  <r>
    <n v="32"/>
    <x v="1"/>
    <s v="Travel_Rarely"/>
    <n v="120"/>
    <x v="1"/>
    <n v="6"/>
    <n v="5"/>
    <s v="Life Sciences"/>
    <n v="231"/>
    <n v="3"/>
    <x v="1"/>
    <n v="43"/>
    <n v="3"/>
    <n v="1"/>
    <x v="1"/>
    <n v="3"/>
    <s v="Single"/>
    <x v="71"/>
    <n v="12430"/>
    <n v="3"/>
    <x v="1"/>
    <n v="20"/>
    <n v="4"/>
    <n v="1"/>
    <n v="0"/>
    <n v="8"/>
    <n v="2"/>
    <n v="3"/>
    <n v="5"/>
    <n v="4"/>
    <n v="1"/>
    <n v="4"/>
    <x v="2"/>
    <s v="Mid"/>
    <n v="6281.2528616024974"/>
    <s v="Below salary"/>
    <s v="Low Risk"/>
  </r>
  <r>
    <n v="27"/>
    <x v="1"/>
    <s v="Travel_Rarely"/>
    <n v="1157"/>
    <x v="1"/>
    <n v="17"/>
    <n v="3"/>
    <s v="Technical Degree"/>
    <n v="233"/>
    <n v="3"/>
    <x v="1"/>
    <n v="51"/>
    <n v="3"/>
    <n v="1"/>
    <x v="1"/>
    <n v="2"/>
    <s v="Married"/>
    <x v="166"/>
    <n v="13364"/>
    <n v="0"/>
    <x v="0"/>
    <n v="16"/>
    <n v="3"/>
    <n v="4"/>
    <n v="1"/>
    <n v="6"/>
    <n v="3"/>
    <n v="2"/>
    <n v="5"/>
    <n v="2"/>
    <n v="1"/>
    <n v="1"/>
    <x v="2"/>
    <s v="Mid"/>
    <n v="6281.2528616024974"/>
    <s v="Below salary"/>
    <s v="High Risk"/>
  </r>
  <r>
    <n v="19"/>
    <x v="0"/>
    <s v="Travel_Frequently"/>
    <n v="602"/>
    <x v="0"/>
    <n v="1"/>
    <n v="1"/>
    <s v="Technical Degree"/>
    <n v="235"/>
    <n v="3"/>
    <x v="0"/>
    <n v="100"/>
    <n v="1"/>
    <n v="1"/>
    <x v="6"/>
    <n v="1"/>
    <s v="Single"/>
    <x v="167"/>
    <n v="20989"/>
    <n v="0"/>
    <x v="1"/>
    <n v="21"/>
    <n v="4"/>
    <n v="1"/>
    <n v="0"/>
    <n v="1"/>
    <n v="5"/>
    <n v="4"/>
    <n v="0"/>
    <n v="0"/>
    <n v="0"/>
    <n v="0"/>
    <x v="3"/>
    <s v="Low"/>
    <n v="6959.17264573991"/>
    <s v="Below salary"/>
    <s v="Medium Risk"/>
  </r>
  <r>
    <n v="36"/>
    <x v="1"/>
    <s v="Travel_Frequently"/>
    <n v="1480"/>
    <x v="1"/>
    <n v="3"/>
    <n v="2"/>
    <s v="Medical"/>
    <n v="238"/>
    <n v="4"/>
    <x v="1"/>
    <n v="30"/>
    <n v="3"/>
    <n v="1"/>
    <x v="2"/>
    <n v="2"/>
    <s v="Single"/>
    <x v="168"/>
    <n v="15062"/>
    <n v="4"/>
    <x v="1"/>
    <n v="12"/>
    <n v="3"/>
    <n v="3"/>
    <n v="0"/>
    <n v="13"/>
    <n v="3"/>
    <n v="2"/>
    <n v="8"/>
    <n v="7"/>
    <n v="7"/>
    <n v="2"/>
    <x v="0"/>
    <s v="Low"/>
    <n v="6281.2528616024974"/>
    <s v="Below salary"/>
    <s v="Medium Risk"/>
  </r>
  <r>
    <n v="30"/>
    <x v="1"/>
    <s v="Non-Travel"/>
    <n v="111"/>
    <x v="1"/>
    <n v="9"/>
    <n v="3"/>
    <s v="Medical"/>
    <n v="239"/>
    <n v="3"/>
    <x v="1"/>
    <n v="66"/>
    <n v="3"/>
    <n v="2"/>
    <x v="2"/>
    <n v="1"/>
    <s v="Divorced"/>
    <x v="169"/>
    <n v="11012"/>
    <n v="1"/>
    <x v="1"/>
    <n v="11"/>
    <n v="3"/>
    <n v="3"/>
    <n v="2"/>
    <n v="12"/>
    <n v="4"/>
    <n v="3"/>
    <n v="12"/>
    <n v="9"/>
    <n v="6"/>
    <n v="10"/>
    <x v="2"/>
    <s v="Mid"/>
    <n v="6281.2528616024974"/>
    <s v="Below salary"/>
    <s v="Medium Risk"/>
  </r>
  <r>
    <n v="45"/>
    <x v="1"/>
    <s v="Travel_Rarely"/>
    <n v="1268"/>
    <x v="0"/>
    <n v="4"/>
    <n v="2"/>
    <s v="Life Sciences"/>
    <n v="240"/>
    <n v="3"/>
    <x v="0"/>
    <n v="30"/>
    <n v="3"/>
    <n v="2"/>
    <x v="0"/>
    <n v="1"/>
    <s v="Divorced"/>
    <x v="170"/>
    <n v="6319"/>
    <n v="4"/>
    <x v="0"/>
    <n v="11"/>
    <n v="3"/>
    <n v="1"/>
    <n v="1"/>
    <n v="9"/>
    <n v="3"/>
    <n v="4"/>
    <n v="5"/>
    <n v="4"/>
    <n v="0"/>
    <n v="3"/>
    <x v="0"/>
    <s v="Mid"/>
    <n v="6959.17264573991"/>
    <s v="Below salary"/>
    <s v="High Risk"/>
  </r>
  <r>
    <n v="56"/>
    <x v="1"/>
    <s v="Travel_Rarely"/>
    <n v="713"/>
    <x v="1"/>
    <n v="8"/>
    <n v="3"/>
    <s v="Life Sciences"/>
    <n v="241"/>
    <n v="3"/>
    <x v="0"/>
    <n v="67"/>
    <n v="3"/>
    <n v="1"/>
    <x v="1"/>
    <n v="1"/>
    <s v="Divorced"/>
    <x v="171"/>
    <n v="13939"/>
    <n v="4"/>
    <x v="0"/>
    <n v="18"/>
    <n v="3"/>
    <n v="3"/>
    <n v="1"/>
    <n v="19"/>
    <n v="3"/>
    <n v="3"/>
    <n v="2"/>
    <n v="2"/>
    <n v="2"/>
    <n v="2"/>
    <x v="1"/>
    <s v="Mid"/>
    <n v="6281.2528616024974"/>
    <s v="Below salary"/>
    <s v="High Risk"/>
  </r>
  <r>
    <n v="33"/>
    <x v="1"/>
    <s v="Travel_Rarely"/>
    <n v="134"/>
    <x v="1"/>
    <n v="2"/>
    <n v="3"/>
    <s v="Life Sciences"/>
    <n v="242"/>
    <n v="3"/>
    <x v="1"/>
    <n v="90"/>
    <n v="3"/>
    <n v="1"/>
    <x v="1"/>
    <n v="4"/>
    <s v="Single"/>
    <x v="172"/>
    <n v="10515"/>
    <n v="0"/>
    <x v="1"/>
    <n v="14"/>
    <n v="3"/>
    <n v="1"/>
    <n v="0"/>
    <n v="4"/>
    <n v="2"/>
    <n v="4"/>
    <n v="3"/>
    <n v="1"/>
    <n v="0"/>
    <n v="2"/>
    <x v="2"/>
    <s v="Low"/>
    <n v="6281.2528616024974"/>
    <s v="Below salary"/>
    <s v="Low Risk"/>
  </r>
  <r>
    <n v="19"/>
    <x v="0"/>
    <s v="Travel_Rarely"/>
    <n v="303"/>
    <x v="1"/>
    <n v="2"/>
    <n v="3"/>
    <s v="Life Sciences"/>
    <n v="243"/>
    <n v="2"/>
    <x v="1"/>
    <n v="47"/>
    <n v="2"/>
    <n v="1"/>
    <x v="2"/>
    <n v="4"/>
    <s v="Single"/>
    <x v="173"/>
    <n v="9241"/>
    <n v="1"/>
    <x v="1"/>
    <n v="22"/>
    <n v="4"/>
    <n v="3"/>
    <n v="0"/>
    <n v="1"/>
    <n v="3"/>
    <n v="2"/>
    <n v="1"/>
    <n v="0"/>
    <n v="1"/>
    <n v="0"/>
    <x v="3"/>
    <s v="Low"/>
    <n v="6281.2528616024974"/>
    <s v="Below salary"/>
    <s v="Low Risk"/>
  </r>
  <r>
    <n v="46"/>
    <x v="1"/>
    <s v="Travel_Rarely"/>
    <n v="526"/>
    <x v="0"/>
    <n v="1"/>
    <n v="2"/>
    <s v="Marketing"/>
    <n v="244"/>
    <n v="2"/>
    <x v="0"/>
    <n v="92"/>
    <n v="3"/>
    <n v="3"/>
    <x v="0"/>
    <n v="1"/>
    <s v="Divorced"/>
    <x v="174"/>
    <n v="2137"/>
    <n v="1"/>
    <x v="1"/>
    <n v="25"/>
    <n v="4"/>
    <n v="3"/>
    <n v="3"/>
    <n v="24"/>
    <n v="2"/>
    <n v="3"/>
    <n v="24"/>
    <n v="13"/>
    <n v="15"/>
    <n v="7"/>
    <x v="1"/>
    <s v="High"/>
    <n v="6959.17264573991"/>
    <s v="Above salary"/>
    <s v="Medium Risk"/>
  </r>
  <r>
    <n v="38"/>
    <x v="1"/>
    <s v="Travel_Rarely"/>
    <n v="1380"/>
    <x v="1"/>
    <n v="9"/>
    <n v="2"/>
    <s v="Life Sciences"/>
    <n v="245"/>
    <n v="3"/>
    <x v="0"/>
    <n v="75"/>
    <n v="3"/>
    <n v="1"/>
    <x v="2"/>
    <n v="4"/>
    <s v="Single"/>
    <x v="175"/>
    <n v="6319"/>
    <n v="1"/>
    <x v="1"/>
    <n v="12"/>
    <n v="3"/>
    <n v="3"/>
    <n v="0"/>
    <n v="2"/>
    <n v="3"/>
    <n v="3"/>
    <n v="2"/>
    <n v="2"/>
    <n v="2"/>
    <n v="1"/>
    <x v="0"/>
    <s v="Low"/>
    <n v="6281.2528616024974"/>
    <s v="Below salary"/>
    <s v="Low Risk"/>
  </r>
  <r>
    <n v="31"/>
    <x v="1"/>
    <s v="Travel_Rarely"/>
    <n v="140"/>
    <x v="1"/>
    <n v="12"/>
    <n v="1"/>
    <s v="Medical"/>
    <n v="246"/>
    <n v="3"/>
    <x v="0"/>
    <n v="95"/>
    <n v="3"/>
    <n v="1"/>
    <x v="1"/>
    <n v="4"/>
    <s v="Married"/>
    <x v="176"/>
    <n v="6984"/>
    <n v="8"/>
    <x v="0"/>
    <n v="23"/>
    <n v="4"/>
    <n v="3"/>
    <n v="1"/>
    <n v="7"/>
    <n v="0"/>
    <n v="3"/>
    <n v="4"/>
    <n v="2"/>
    <n v="0"/>
    <n v="2"/>
    <x v="2"/>
    <s v="Mid"/>
    <n v="6281.2528616024974"/>
    <s v="Below salary"/>
    <s v="Medium Risk"/>
  </r>
  <r>
    <n v="34"/>
    <x v="1"/>
    <s v="Travel_Rarely"/>
    <n v="629"/>
    <x v="1"/>
    <n v="27"/>
    <n v="2"/>
    <s v="Medical"/>
    <n v="247"/>
    <n v="4"/>
    <x v="0"/>
    <n v="95"/>
    <n v="3"/>
    <n v="1"/>
    <x v="1"/>
    <n v="2"/>
    <s v="Single"/>
    <x v="177"/>
    <n v="5711"/>
    <n v="2"/>
    <x v="1"/>
    <n v="15"/>
    <n v="3"/>
    <n v="4"/>
    <n v="0"/>
    <n v="9"/>
    <n v="3"/>
    <n v="3"/>
    <n v="3"/>
    <n v="2"/>
    <n v="1"/>
    <n v="2"/>
    <x v="2"/>
    <s v="Low"/>
    <n v="6281.2528616024974"/>
    <s v="Below salary"/>
    <s v="Medium Risk"/>
  </r>
  <r>
    <n v="41"/>
    <x v="0"/>
    <s v="Travel_Rarely"/>
    <n v="1356"/>
    <x v="0"/>
    <n v="20"/>
    <n v="2"/>
    <s v="Marketing"/>
    <n v="248"/>
    <n v="2"/>
    <x v="0"/>
    <n v="70"/>
    <n v="3"/>
    <n v="1"/>
    <x v="6"/>
    <n v="2"/>
    <s v="Single"/>
    <x v="178"/>
    <n v="21728"/>
    <n v="1"/>
    <x v="0"/>
    <n v="22"/>
    <n v="4"/>
    <n v="4"/>
    <n v="0"/>
    <n v="4"/>
    <n v="5"/>
    <n v="2"/>
    <n v="4"/>
    <n v="3"/>
    <n v="0"/>
    <n v="2"/>
    <x v="0"/>
    <s v="Mid"/>
    <n v="6959.17264573991"/>
    <s v="Below salary"/>
    <s v="High Risk"/>
  </r>
  <r>
    <n v="50"/>
    <x v="1"/>
    <s v="Travel_Rarely"/>
    <n v="328"/>
    <x v="1"/>
    <n v="1"/>
    <n v="3"/>
    <s v="Medical"/>
    <n v="249"/>
    <n v="3"/>
    <x v="1"/>
    <n v="86"/>
    <n v="2"/>
    <n v="1"/>
    <x v="2"/>
    <n v="3"/>
    <s v="Married"/>
    <x v="179"/>
    <n v="3425"/>
    <n v="2"/>
    <x v="1"/>
    <n v="15"/>
    <n v="3"/>
    <n v="4"/>
    <n v="1"/>
    <n v="5"/>
    <n v="2"/>
    <n v="2"/>
    <n v="3"/>
    <n v="2"/>
    <n v="0"/>
    <n v="2"/>
    <x v="1"/>
    <s v="Mid"/>
    <n v="6281.2528616024974"/>
    <s v="Below salary"/>
    <s v="Low Risk"/>
  </r>
  <r>
    <n v="53"/>
    <x v="1"/>
    <s v="Travel_Rarely"/>
    <n v="1084"/>
    <x v="1"/>
    <n v="13"/>
    <n v="2"/>
    <s v="Medical"/>
    <n v="250"/>
    <n v="4"/>
    <x v="0"/>
    <n v="57"/>
    <n v="4"/>
    <n v="2"/>
    <x v="3"/>
    <n v="1"/>
    <s v="Divorced"/>
    <x v="180"/>
    <n v="26250"/>
    <n v="1"/>
    <x v="1"/>
    <n v="11"/>
    <n v="3"/>
    <n v="3"/>
    <n v="2"/>
    <n v="5"/>
    <n v="3"/>
    <n v="3"/>
    <n v="4"/>
    <n v="2"/>
    <n v="1"/>
    <n v="3"/>
    <x v="1"/>
    <s v="Mid"/>
    <n v="6281.2528616024974"/>
    <s v="Below salary"/>
    <s v="Medium Risk"/>
  </r>
  <r>
    <n v="33"/>
    <x v="1"/>
    <s v="Travel_Rarely"/>
    <n v="931"/>
    <x v="1"/>
    <n v="14"/>
    <n v="3"/>
    <s v="Medical"/>
    <n v="252"/>
    <n v="4"/>
    <x v="0"/>
    <n v="72"/>
    <n v="3"/>
    <n v="1"/>
    <x v="1"/>
    <n v="2"/>
    <s v="Married"/>
    <x v="181"/>
    <n v="4673"/>
    <n v="1"/>
    <x v="1"/>
    <n v="13"/>
    <n v="3"/>
    <n v="4"/>
    <n v="1"/>
    <n v="8"/>
    <n v="5"/>
    <n v="3"/>
    <n v="8"/>
    <n v="7"/>
    <n v="1"/>
    <n v="6"/>
    <x v="2"/>
    <s v="Low"/>
    <n v="6281.2528616024974"/>
    <s v="Below salary"/>
    <s v="Medium Risk"/>
  </r>
  <r>
    <n v="40"/>
    <x v="1"/>
    <s v="Travel_Rarely"/>
    <n v="989"/>
    <x v="1"/>
    <n v="4"/>
    <n v="1"/>
    <s v="Medical"/>
    <n v="253"/>
    <n v="4"/>
    <x v="0"/>
    <n v="46"/>
    <n v="3"/>
    <n v="5"/>
    <x v="5"/>
    <n v="3"/>
    <s v="Married"/>
    <x v="182"/>
    <n v="6499"/>
    <n v="1"/>
    <x v="1"/>
    <n v="14"/>
    <n v="3"/>
    <n v="2"/>
    <n v="1"/>
    <n v="21"/>
    <n v="2"/>
    <n v="3"/>
    <n v="20"/>
    <n v="8"/>
    <n v="9"/>
    <n v="9"/>
    <x v="0"/>
    <s v="Very High"/>
    <n v="6281.2528616024974"/>
    <s v="Above salary"/>
    <s v="Low Risk"/>
  </r>
  <r>
    <n v="55"/>
    <x v="1"/>
    <s v="Travel_Rarely"/>
    <n v="692"/>
    <x v="1"/>
    <n v="14"/>
    <n v="4"/>
    <s v="Medical"/>
    <n v="254"/>
    <n v="3"/>
    <x v="1"/>
    <n v="61"/>
    <n v="4"/>
    <n v="5"/>
    <x v="7"/>
    <n v="2"/>
    <s v="Single"/>
    <x v="183"/>
    <n v="13339"/>
    <n v="8"/>
    <x v="1"/>
    <n v="11"/>
    <n v="3"/>
    <n v="4"/>
    <n v="0"/>
    <n v="36"/>
    <n v="3"/>
    <n v="3"/>
    <n v="24"/>
    <n v="15"/>
    <n v="2"/>
    <n v="15"/>
    <x v="1"/>
    <s v="Very High"/>
    <n v="6281.2528616024974"/>
    <s v="Above salary"/>
    <s v="Medium Risk"/>
  </r>
  <r>
    <n v="34"/>
    <x v="1"/>
    <s v="Travel_Frequently"/>
    <n v="1069"/>
    <x v="1"/>
    <n v="2"/>
    <n v="1"/>
    <s v="Life Sciences"/>
    <n v="256"/>
    <n v="4"/>
    <x v="1"/>
    <n v="45"/>
    <n v="2"/>
    <n v="2"/>
    <x v="3"/>
    <n v="3"/>
    <s v="Married"/>
    <x v="184"/>
    <n v="14074"/>
    <n v="1"/>
    <x v="1"/>
    <n v="17"/>
    <n v="3"/>
    <n v="3"/>
    <n v="0"/>
    <n v="10"/>
    <n v="2"/>
    <n v="2"/>
    <n v="10"/>
    <n v="9"/>
    <n v="1"/>
    <n v="9"/>
    <x v="2"/>
    <s v="High"/>
    <n v="6281.2528616024974"/>
    <s v="Above salary"/>
    <s v="Low Risk"/>
  </r>
  <r>
    <n v="51"/>
    <x v="1"/>
    <s v="Travel_Rarely"/>
    <n v="313"/>
    <x v="1"/>
    <n v="3"/>
    <n v="3"/>
    <s v="Medical"/>
    <n v="258"/>
    <n v="4"/>
    <x v="0"/>
    <n v="98"/>
    <n v="3"/>
    <n v="4"/>
    <x v="4"/>
    <n v="2"/>
    <s v="Single"/>
    <x v="185"/>
    <n v="7192"/>
    <n v="3"/>
    <x v="1"/>
    <n v="18"/>
    <n v="3"/>
    <n v="3"/>
    <n v="0"/>
    <n v="21"/>
    <n v="6"/>
    <n v="3"/>
    <n v="7"/>
    <n v="7"/>
    <n v="1"/>
    <n v="0"/>
    <x v="1"/>
    <s v="Very High"/>
    <n v="6281.2528616024974"/>
    <s v="Above salary"/>
    <s v="Medium Risk"/>
  </r>
  <r>
    <n v="52"/>
    <x v="1"/>
    <s v="Travel_Rarely"/>
    <n v="699"/>
    <x v="1"/>
    <n v="1"/>
    <n v="4"/>
    <s v="Life Sciences"/>
    <n v="259"/>
    <n v="3"/>
    <x v="1"/>
    <n v="65"/>
    <n v="2"/>
    <n v="5"/>
    <x v="5"/>
    <n v="3"/>
    <s v="Married"/>
    <x v="186"/>
    <n v="5678"/>
    <n v="0"/>
    <x v="1"/>
    <n v="14"/>
    <n v="3"/>
    <n v="1"/>
    <n v="1"/>
    <n v="34"/>
    <n v="5"/>
    <n v="3"/>
    <n v="33"/>
    <n v="18"/>
    <n v="11"/>
    <n v="9"/>
    <x v="1"/>
    <s v="Very High"/>
    <n v="6281.2528616024974"/>
    <s v="Above salary"/>
    <s v="Low Risk"/>
  </r>
  <r>
    <n v="27"/>
    <x v="1"/>
    <s v="Travel_Rarely"/>
    <n v="894"/>
    <x v="1"/>
    <n v="9"/>
    <n v="3"/>
    <s v="Medical"/>
    <n v="260"/>
    <n v="4"/>
    <x v="0"/>
    <n v="99"/>
    <n v="3"/>
    <n v="1"/>
    <x v="1"/>
    <n v="2"/>
    <s v="Single"/>
    <x v="187"/>
    <n v="11781"/>
    <n v="1"/>
    <x v="1"/>
    <n v="16"/>
    <n v="3"/>
    <n v="4"/>
    <n v="0"/>
    <n v="7"/>
    <n v="2"/>
    <n v="2"/>
    <n v="7"/>
    <n v="7"/>
    <n v="0"/>
    <n v="3"/>
    <x v="2"/>
    <s v="Low"/>
    <n v="6281.2528616024974"/>
    <s v="Below salary"/>
    <s v="Medium Risk"/>
  </r>
  <r>
    <n v="35"/>
    <x v="0"/>
    <s v="Travel_Rarely"/>
    <n v="556"/>
    <x v="1"/>
    <n v="23"/>
    <n v="2"/>
    <s v="Life Sciences"/>
    <n v="261"/>
    <n v="2"/>
    <x v="1"/>
    <n v="50"/>
    <n v="2"/>
    <n v="2"/>
    <x v="3"/>
    <n v="3"/>
    <s v="Married"/>
    <x v="188"/>
    <n v="15497"/>
    <n v="3"/>
    <x v="0"/>
    <n v="13"/>
    <n v="3"/>
    <n v="1"/>
    <n v="0"/>
    <n v="8"/>
    <n v="1"/>
    <n v="3"/>
    <n v="1"/>
    <n v="0"/>
    <n v="0"/>
    <n v="1"/>
    <x v="2"/>
    <s v="Mid"/>
    <n v="6281.2528616024974"/>
    <s v="Below salary"/>
    <s v="Medium Risk"/>
  </r>
  <r>
    <n v="43"/>
    <x v="1"/>
    <s v="Non-Travel"/>
    <n v="1344"/>
    <x v="1"/>
    <n v="7"/>
    <n v="3"/>
    <s v="Medical"/>
    <n v="262"/>
    <n v="4"/>
    <x v="1"/>
    <n v="37"/>
    <n v="4"/>
    <n v="1"/>
    <x v="1"/>
    <n v="4"/>
    <s v="Divorced"/>
    <x v="189"/>
    <n v="5228"/>
    <n v="4"/>
    <x v="1"/>
    <n v="14"/>
    <n v="3"/>
    <n v="4"/>
    <n v="3"/>
    <n v="7"/>
    <n v="3"/>
    <n v="4"/>
    <n v="5"/>
    <n v="4"/>
    <n v="2"/>
    <n v="2"/>
    <x v="0"/>
    <s v="Low"/>
    <n v="6281.2528616024974"/>
    <s v="Below salary"/>
    <s v="Low Risk"/>
  </r>
  <r>
    <n v="45"/>
    <x v="1"/>
    <s v="Non-Travel"/>
    <n v="1195"/>
    <x v="1"/>
    <n v="2"/>
    <n v="2"/>
    <s v="Medical"/>
    <n v="264"/>
    <n v="1"/>
    <x v="1"/>
    <n v="65"/>
    <n v="2"/>
    <n v="4"/>
    <x v="5"/>
    <n v="4"/>
    <s v="Married"/>
    <x v="190"/>
    <n v="20462"/>
    <n v="9"/>
    <x v="1"/>
    <n v="23"/>
    <n v="4"/>
    <n v="4"/>
    <n v="1"/>
    <n v="22"/>
    <n v="1"/>
    <n v="3"/>
    <n v="20"/>
    <n v="8"/>
    <n v="11"/>
    <n v="8"/>
    <x v="0"/>
    <s v="Very High"/>
    <n v="6281.2528616024974"/>
    <s v="Above salary"/>
    <s v="Low Risk"/>
  </r>
  <r>
    <n v="37"/>
    <x v="1"/>
    <s v="Travel_Rarely"/>
    <n v="290"/>
    <x v="1"/>
    <n v="21"/>
    <n v="3"/>
    <s v="Life Sciences"/>
    <n v="267"/>
    <n v="2"/>
    <x v="1"/>
    <n v="65"/>
    <n v="4"/>
    <n v="1"/>
    <x v="1"/>
    <n v="1"/>
    <s v="Married"/>
    <x v="191"/>
    <n v="22977"/>
    <n v="1"/>
    <x v="0"/>
    <n v="12"/>
    <n v="3"/>
    <n v="1"/>
    <n v="1"/>
    <n v="8"/>
    <n v="3"/>
    <n v="2"/>
    <n v="8"/>
    <n v="7"/>
    <n v="1"/>
    <n v="7"/>
    <x v="0"/>
    <s v="Mid"/>
    <n v="6281.2528616024974"/>
    <s v="Below salary"/>
    <s v="High Risk"/>
  </r>
  <r>
    <n v="35"/>
    <x v="1"/>
    <s v="Travel_Frequently"/>
    <n v="138"/>
    <x v="1"/>
    <n v="2"/>
    <n v="3"/>
    <s v="Medical"/>
    <n v="269"/>
    <n v="2"/>
    <x v="0"/>
    <n v="37"/>
    <n v="3"/>
    <n v="2"/>
    <x v="2"/>
    <n v="2"/>
    <s v="Single"/>
    <x v="192"/>
    <n v="15986"/>
    <n v="5"/>
    <x v="1"/>
    <n v="11"/>
    <n v="3"/>
    <n v="4"/>
    <n v="0"/>
    <n v="10"/>
    <n v="5"/>
    <n v="3"/>
    <n v="6"/>
    <n v="2"/>
    <n v="1"/>
    <n v="2"/>
    <x v="2"/>
    <s v="Mid"/>
    <n v="6281.2528616024974"/>
    <s v="Below salary"/>
    <s v="Medium Risk"/>
  </r>
  <r>
    <n v="42"/>
    <x v="1"/>
    <s v="Non-Travel"/>
    <n v="926"/>
    <x v="1"/>
    <n v="21"/>
    <n v="2"/>
    <s v="Medical"/>
    <n v="270"/>
    <n v="3"/>
    <x v="0"/>
    <n v="36"/>
    <n v="3"/>
    <n v="2"/>
    <x v="3"/>
    <n v="3"/>
    <s v="Divorced"/>
    <x v="193"/>
    <n v="16439"/>
    <n v="2"/>
    <x v="1"/>
    <n v="16"/>
    <n v="3"/>
    <n v="2"/>
    <n v="1"/>
    <n v="11"/>
    <n v="5"/>
    <n v="3"/>
    <n v="5"/>
    <n v="3"/>
    <n v="0"/>
    <n v="2"/>
    <x v="0"/>
    <s v="Mid"/>
    <n v="6281.2528616024974"/>
    <s v="Below salary"/>
    <s v="Low Risk"/>
  </r>
  <r>
    <n v="38"/>
    <x v="1"/>
    <s v="Travel_Rarely"/>
    <n v="1261"/>
    <x v="1"/>
    <n v="2"/>
    <n v="4"/>
    <s v="Life Sciences"/>
    <n v="271"/>
    <n v="4"/>
    <x v="1"/>
    <n v="88"/>
    <n v="3"/>
    <n v="2"/>
    <x v="3"/>
    <n v="3"/>
    <s v="Married"/>
    <x v="194"/>
    <n v="7259"/>
    <n v="9"/>
    <x v="1"/>
    <n v="14"/>
    <n v="3"/>
    <n v="2"/>
    <n v="0"/>
    <n v="14"/>
    <n v="3"/>
    <n v="3"/>
    <n v="1"/>
    <n v="0"/>
    <n v="0"/>
    <n v="0"/>
    <x v="0"/>
    <s v="Mid"/>
    <n v="6281.2528616024974"/>
    <s v="Above salary"/>
    <s v="Low Risk"/>
  </r>
  <r>
    <n v="38"/>
    <x v="1"/>
    <s v="Travel_Rarely"/>
    <n v="1084"/>
    <x v="1"/>
    <n v="29"/>
    <n v="3"/>
    <s v="Technical Degree"/>
    <n v="273"/>
    <n v="4"/>
    <x v="1"/>
    <n v="54"/>
    <n v="3"/>
    <n v="2"/>
    <x v="3"/>
    <n v="4"/>
    <s v="Married"/>
    <x v="195"/>
    <n v="4185"/>
    <n v="3"/>
    <x v="1"/>
    <n v="18"/>
    <n v="3"/>
    <n v="1"/>
    <n v="1"/>
    <n v="9"/>
    <n v="3"/>
    <n v="1"/>
    <n v="7"/>
    <n v="7"/>
    <n v="1"/>
    <n v="7"/>
    <x v="0"/>
    <s v="Mid"/>
    <n v="6281.2528616024974"/>
    <s v="Below salary"/>
    <s v="Low Risk"/>
  </r>
  <r>
    <n v="27"/>
    <x v="1"/>
    <s v="Travel_Frequently"/>
    <n v="472"/>
    <x v="1"/>
    <n v="1"/>
    <n v="1"/>
    <s v="Technical Degree"/>
    <n v="274"/>
    <n v="3"/>
    <x v="1"/>
    <n v="60"/>
    <n v="2"/>
    <n v="2"/>
    <x v="3"/>
    <n v="1"/>
    <s v="Married"/>
    <x v="196"/>
    <n v="9679"/>
    <n v="5"/>
    <x v="1"/>
    <n v="19"/>
    <n v="3"/>
    <n v="3"/>
    <n v="1"/>
    <n v="6"/>
    <n v="1"/>
    <n v="3"/>
    <n v="2"/>
    <n v="2"/>
    <n v="2"/>
    <n v="0"/>
    <x v="2"/>
    <s v="Mid"/>
    <n v="6281.2528616024974"/>
    <s v="Below salary"/>
    <s v="Medium Risk"/>
  </r>
  <r>
    <n v="49"/>
    <x v="1"/>
    <s v="Non-Travel"/>
    <n v="1002"/>
    <x v="1"/>
    <n v="18"/>
    <n v="4"/>
    <s v="Life Sciences"/>
    <n v="275"/>
    <n v="4"/>
    <x v="1"/>
    <n v="92"/>
    <n v="3"/>
    <n v="2"/>
    <x v="3"/>
    <n v="4"/>
    <s v="Divorced"/>
    <x v="197"/>
    <n v="23793"/>
    <n v="1"/>
    <x v="0"/>
    <n v="15"/>
    <n v="3"/>
    <n v="1"/>
    <n v="2"/>
    <n v="7"/>
    <n v="0"/>
    <n v="3"/>
    <n v="7"/>
    <n v="7"/>
    <n v="1"/>
    <n v="7"/>
    <x v="1"/>
    <s v="Mid"/>
    <n v="6281.2528616024974"/>
    <s v="Above salary"/>
    <s v="Medium Risk"/>
  </r>
  <r>
    <n v="34"/>
    <x v="1"/>
    <s v="Travel_Frequently"/>
    <n v="878"/>
    <x v="1"/>
    <n v="10"/>
    <n v="4"/>
    <s v="Medical"/>
    <n v="277"/>
    <n v="4"/>
    <x v="1"/>
    <n v="43"/>
    <n v="3"/>
    <n v="1"/>
    <x v="1"/>
    <n v="3"/>
    <s v="Divorced"/>
    <x v="198"/>
    <n v="5972"/>
    <n v="1"/>
    <x v="0"/>
    <n v="17"/>
    <n v="3"/>
    <n v="4"/>
    <n v="1"/>
    <n v="5"/>
    <n v="4"/>
    <n v="4"/>
    <n v="5"/>
    <n v="3"/>
    <n v="2"/>
    <n v="0"/>
    <x v="2"/>
    <s v="Mid"/>
    <n v="6281.2528616024974"/>
    <s v="Below salary"/>
    <s v="Medium Risk"/>
  </r>
  <r>
    <n v="40"/>
    <x v="1"/>
    <s v="Travel_Rarely"/>
    <n v="905"/>
    <x v="1"/>
    <n v="19"/>
    <n v="2"/>
    <s v="Medical"/>
    <n v="281"/>
    <n v="3"/>
    <x v="1"/>
    <n v="99"/>
    <n v="3"/>
    <n v="2"/>
    <x v="2"/>
    <n v="4"/>
    <s v="Married"/>
    <x v="199"/>
    <n v="16523"/>
    <n v="8"/>
    <x v="0"/>
    <n v="15"/>
    <n v="3"/>
    <n v="3"/>
    <n v="1"/>
    <n v="15"/>
    <n v="2"/>
    <n v="4"/>
    <n v="7"/>
    <n v="2"/>
    <n v="3"/>
    <n v="7"/>
    <x v="0"/>
    <s v="Low"/>
    <n v="6281.2528616024974"/>
    <s v="Below salary"/>
    <s v="Medium Risk"/>
  </r>
  <r>
    <n v="38"/>
    <x v="0"/>
    <s v="Travel_Rarely"/>
    <n v="1180"/>
    <x v="1"/>
    <n v="29"/>
    <n v="1"/>
    <s v="Medical"/>
    <n v="282"/>
    <n v="2"/>
    <x v="1"/>
    <n v="70"/>
    <n v="3"/>
    <n v="2"/>
    <x v="4"/>
    <n v="1"/>
    <s v="Married"/>
    <x v="200"/>
    <n v="11354"/>
    <n v="7"/>
    <x v="0"/>
    <n v="19"/>
    <n v="3"/>
    <n v="2"/>
    <n v="0"/>
    <n v="17"/>
    <n v="2"/>
    <n v="3"/>
    <n v="1"/>
    <n v="0"/>
    <n v="0"/>
    <n v="0"/>
    <x v="0"/>
    <s v="Mid"/>
    <n v="6281.2528616024974"/>
    <s v="Above salary"/>
    <s v="High Risk"/>
  </r>
  <r>
    <n v="29"/>
    <x v="0"/>
    <s v="Travel_Rarely"/>
    <n v="121"/>
    <x v="0"/>
    <n v="27"/>
    <n v="3"/>
    <s v="Marketing"/>
    <n v="283"/>
    <n v="2"/>
    <x v="0"/>
    <n v="35"/>
    <n v="3"/>
    <n v="3"/>
    <x v="0"/>
    <n v="4"/>
    <s v="Married"/>
    <x v="201"/>
    <n v="24525"/>
    <n v="1"/>
    <x v="1"/>
    <n v="22"/>
    <n v="4"/>
    <n v="4"/>
    <n v="3"/>
    <n v="10"/>
    <n v="3"/>
    <n v="2"/>
    <n v="10"/>
    <n v="4"/>
    <n v="1"/>
    <n v="9"/>
    <x v="2"/>
    <s v="High"/>
    <n v="6959.17264573991"/>
    <s v="Above salary"/>
    <s v="Low Risk"/>
  </r>
  <r>
    <n v="22"/>
    <x v="1"/>
    <s v="Travel_Rarely"/>
    <n v="1136"/>
    <x v="1"/>
    <n v="5"/>
    <n v="3"/>
    <s v="Life Sciences"/>
    <n v="284"/>
    <n v="4"/>
    <x v="1"/>
    <n v="60"/>
    <n v="4"/>
    <n v="1"/>
    <x v="1"/>
    <n v="2"/>
    <s v="Divorced"/>
    <x v="202"/>
    <n v="12392"/>
    <n v="1"/>
    <x v="0"/>
    <n v="16"/>
    <n v="3"/>
    <n v="1"/>
    <n v="1"/>
    <n v="4"/>
    <n v="2"/>
    <n v="2"/>
    <n v="4"/>
    <n v="2"/>
    <n v="2"/>
    <n v="2"/>
    <x v="3"/>
    <s v="Low"/>
    <n v="6281.2528616024974"/>
    <s v="Below salary"/>
    <s v="High Risk"/>
  </r>
  <r>
    <n v="36"/>
    <x v="1"/>
    <s v="Travel_Frequently"/>
    <n v="635"/>
    <x v="1"/>
    <n v="18"/>
    <n v="1"/>
    <s v="Medical"/>
    <n v="286"/>
    <n v="2"/>
    <x v="0"/>
    <n v="73"/>
    <n v="3"/>
    <n v="1"/>
    <x v="2"/>
    <n v="4"/>
    <s v="Single"/>
    <x v="203"/>
    <n v="7703"/>
    <n v="1"/>
    <x v="1"/>
    <n v="13"/>
    <n v="3"/>
    <n v="1"/>
    <n v="0"/>
    <n v="8"/>
    <n v="2"/>
    <n v="3"/>
    <n v="8"/>
    <n v="1"/>
    <n v="1"/>
    <n v="7"/>
    <x v="0"/>
    <s v="Low"/>
    <n v="6281.2528616024974"/>
    <s v="Below salary"/>
    <s v="Low Risk"/>
  </r>
  <r>
    <n v="40"/>
    <x v="1"/>
    <s v="Non-Travel"/>
    <n v="1151"/>
    <x v="1"/>
    <n v="9"/>
    <n v="5"/>
    <s v="Life Sciences"/>
    <n v="287"/>
    <n v="4"/>
    <x v="1"/>
    <n v="63"/>
    <n v="2"/>
    <n v="2"/>
    <x v="4"/>
    <n v="4"/>
    <s v="Married"/>
    <x v="204"/>
    <n v="14242"/>
    <n v="9"/>
    <x v="1"/>
    <n v="14"/>
    <n v="3"/>
    <n v="4"/>
    <n v="1"/>
    <n v="5"/>
    <n v="5"/>
    <n v="1"/>
    <n v="3"/>
    <n v="2"/>
    <n v="0"/>
    <n v="2"/>
    <x v="0"/>
    <s v="Mid"/>
    <n v="6281.2528616024974"/>
    <s v="Below salary"/>
    <s v="Low Risk"/>
  </r>
  <r>
    <n v="46"/>
    <x v="1"/>
    <s v="Travel_Rarely"/>
    <n v="644"/>
    <x v="1"/>
    <n v="1"/>
    <n v="4"/>
    <s v="Medical"/>
    <n v="288"/>
    <n v="4"/>
    <x v="1"/>
    <n v="97"/>
    <n v="3"/>
    <n v="3"/>
    <x v="4"/>
    <n v="1"/>
    <s v="Divorced"/>
    <x v="205"/>
    <n v="12368"/>
    <n v="7"/>
    <x v="1"/>
    <n v="16"/>
    <n v="3"/>
    <n v="3"/>
    <n v="1"/>
    <n v="17"/>
    <n v="3"/>
    <n v="3"/>
    <n v="4"/>
    <n v="2"/>
    <n v="0"/>
    <n v="3"/>
    <x v="1"/>
    <s v="High"/>
    <n v="6281.2528616024974"/>
    <s v="Above salary"/>
    <s v="Medium Risk"/>
  </r>
  <r>
    <n v="32"/>
    <x v="0"/>
    <s v="Travel_Rarely"/>
    <n v="1045"/>
    <x v="0"/>
    <n v="4"/>
    <n v="4"/>
    <s v="Medical"/>
    <n v="291"/>
    <n v="4"/>
    <x v="1"/>
    <n v="32"/>
    <n v="1"/>
    <n v="3"/>
    <x v="0"/>
    <n v="4"/>
    <s v="Married"/>
    <x v="206"/>
    <n v="25812"/>
    <n v="1"/>
    <x v="1"/>
    <n v="11"/>
    <n v="3"/>
    <n v="3"/>
    <n v="0"/>
    <n v="14"/>
    <n v="2"/>
    <n v="2"/>
    <n v="14"/>
    <n v="8"/>
    <n v="9"/>
    <n v="8"/>
    <x v="2"/>
    <s v="High"/>
    <n v="6959.17264573991"/>
    <s v="Above salary"/>
    <s v="Low Risk"/>
  </r>
  <r>
    <n v="30"/>
    <x v="1"/>
    <s v="Non-Travel"/>
    <n v="829"/>
    <x v="1"/>
    <n v="1"/>
    <n v="1"/>
    <s v="Life Sciences"/>
    <n v="292"/>
    <n v="3"/>
    <x v="1"/>
    <n v="88"/>
    <n v="2"/>
    <n v="3"/>
    <x v="3"/>
    <n v="3"/>
    <s v="Single"/>
    <x v="207"/>
    <n v="20925"/>
    <n v="1"/>
    <x v="1"/>
    <n v="22"/>
    <n v="4"/>
    <n v="3"/>
    <n v="0"/>
    <n v="12"/>
    <n v="2"/>
    <n v="3"/>
    <n v="11"/>
    <n v="8"/>
    <n v="5"/>
    <n v="8"/>
    <x v="2"/>
    <s v="High"/>
    <n v="6281.2528616024974"/>
    <s v="Above salary"/>
    <s v="Low Risk"/>
  </r>
  <r>
    <n v="27"/>
    <x v="1"/>
    <s v="Travel_Frequently"/>
    <n v="1242"/>
    <x v="0"/>
    <n v="20"/>
    <n v="3"/>
    <s v="Life Sciences"/>
    <n v="293"/>
    <n v="4"/>
    <x v="0"/>
    <n v="90"/>
    <n v="3"/>
    <n v="2"/>
    <x v="0"/>
    <n v="3"/>
    <s v="Single"/>
    <x v="208"/>
    <n v="12916"/>
    <n v="1"/>
    <x v="1"/>
    <n v="14"/>
    <n v="3"/>
    <n v="4"/>
    <n v="0"/>
    <n v="7"/>
    <n v="2"/>
    <n v="3"/>
    <n v="7"/>
    <n v="7"/>
    <n v="0"/>
    <n v="7"/>
    <x v="2"/>
    <s v="High"/>
    <n v="6959.17264573991"/>
    <s v="Above salary"/>
    <s v="Low Risk"/>
  </r>
  <r>
    <n v="51"/>
    <x v="1"/>
    <s v="Travel_Rarely"/>
    <n v="1469"/>
    <x v="1"/>
    <n v="8"/>
    <n v="4"/>
    <s v="Life Sciences"/>
    <n v="296"/>
    <n v="2"/>
    <x v="1"/>
    <n v="81"/>
    <n v="2"/>
    <n v="3"/>
    <x v="7"/>
    <n v="2"/>
    <s v="Married"/>
    <x v="209"/>
    <n v="15736"/>
    <n v="5"/>
    <x v="1"/>
    <n v="16"/>
    <n v="3"/>
    <n v="4"/>
    <n v="2"/>
    <n v="16"/>
    <n v="5"/>
    <n v="1"/>
    <n v="10"/>
    <n v="9"/>
    <n v="4"/>
    <n v="7"/>
    <x v="1"/>
    <s v="Very High"/>
    <n v="6281.2528616024974"/>
    <s v="Above salary"/>
    <s v="Medium Risk"/>
  </r>
  <r>
    <n v="30"/>
    <x v="0"/>
    <s v="Travel_Rarely"/>
    <n v="1005"/>
    <x v="1"/>
    <n v="3"/>
    <n v="3"/>
    <s v="Technical Degree"/>
    <n v="297"/>
    <n v="4"/>
    <x v="0"/>
    <n v="88"/>
    <n v="3"/>
    <n v="1"/>
    <x v="1"/>
    <n v="1"/>
    <s v="Single"/>
    <x v="210"/>
    <n v="8556"/>
    <n v="5"/>
    <x v="0"/>
    <n v="11"/>
    <n v="3"/>
    <n v="3"/>
    <n v="0"/>
    <n v="8"/>
    <n v="5"/>
    <n v="3"/>
    <n v="5"/>
    <n v="2"/>
    <n v="0"/>
    <n v="4"/>
    <x v="2"/>
    <s v="Low"/>
    <n v="6281.2528616024974"/>
    <s v="Below salary"/>
    <s v="High Risk"/>
  </r>
  <r>
    <n v="41"/>
    <x v="1"/>
    <s v="Travel_Rarely"/>
    <n v="896"/>
    <x v="0"/>
    <n v="6"/>
    <n v="3"/>
    <s v="Life Sciences"/>
    <n v="298"/>
    <n v="4"/>
    <x v="0"/>
    <n v="75"/>
    <n v="3"/>
    <n v="3"/>
    <x v="5"/>
    <n v="4"/>
    <s v="Single"/>
    <x v="211"/>
    <n v="14674"/>
    <n v="3"/>
    <x v="0"/>
    <n v="18"/>
    <n v="3"/>
    <n v="3"/>
    <n v="0"/>
    <n v="16"/>
    <n v="3"/>
    <n v="3"/>
    <n v="1"/>
    <n v="0"/>
    <n v="0"/>
    <n v="0"/>
    <x v="0"/>
    <s v="Very High"/>
    <n v="6959.17264573991"/>
    <s v="Above salary"/>
    <s v="Medium Risk"/>
  </r>
  <r>
    <n v="30"/>
    <x v="0"/>
    <s v="Travel_Frequently"/>
    <n v="334"/>
    <x v="0"/>
    <n v="26"/>
    <n v="4"/>
    <s v="Marketing"/>
    <n v="299"/>
    <n v="3"/>
    <x v="0"/>
    <n v="52"/>
    <n v="2"/>
    <n v="2"/>
    <x v="0"/>
    <n v="1"/>
    <s v="Single"/>
    <x v="212"/>
    <n v="22967"/>
    <n v="5"/>
    <x v="1"/>
    <n v="15"/>
    <n v="3"/>
    <n v="3"/>
    <n v="0"/>
    <n v="9"/>
    <n v="5"/>
    <n v="2"/>
    <n v="6"/>
    <n v="3"/>
    <n v="0"/>
    <n v="1"/>
    <x v="2"/>
    <s v="Mid"/>
    <n v="6959.17264573991"/>
    <s v="Below salary"/>
    <s v="Medium Risk"/>
  </r>
  <r>
    <n v="29"/>
    <x v="0"/>
    <s v="Travel_Rarely"/>
    <n v="992"/>
    <x v="1"/>
    <n v="1"/>
    <n v="3"/>
    <s v="Technical Degree"/>
    <n v="300"/>
    <n v="3"/>
    <x v="1"/>
    <n v="85"/>
    <n v="3"/>
    <n v="1"/>
    <x v="1"/>
    <n v="3"/>
    <s v="Single"/>
    <x v="213"/>
    <n v="19757"/>
    <n v="0"/>
    <x v="1"/>
    <n v="14"/>
    <n v="3"/>
    <n v="4"/>
    <n v="0"/>
    <n v="7"/>
    <n v="1"/>
    <n v="2"/>
    <n v="6"/>
    <n v="2"/>
    <n v="1"/>
    <n v="5"/>
    <x v="2"/>
    <s v="Low"/>
    <n v="6281.2528616024974"/>
    <s v="Below salary"/>
    <s v="Low Risk"/>
  </r>
  <r>
    <n v="45"/>
    <x v="1"/>
    <s v="Non-Travel"/>
    <n v="1052"/>
    <x v="0"/>
    <n v="6"/>
    <n v="3"/>
    <s v="Medical"/>
    <n v="302"/>
    <n v="4"/>
    <x v="0"/>
    <n v="57"/>
    <n v="2"/>
    <n v="3"/>
    <x v="0"/>
    <n v="4"/>
    <s v="Single"/>
    <x v="214"/>
    <n v="16840"/>
    <n v="6"/>
    <x v="1"/>
    <n v="12"/>
    <n v="3"/>
    <n v="4"/>
    <n v="0"/>
    <n v="23"/>
    <n v="2"/>
    <n v="3"/>
    <n v="19"/>
    <n v="7"/>
    <n v="12"/>
    <n v="8"/>
    <x v="0"/>
    <s v="High"/>
    <n v="6959.17264573991"/>
    <s v="Above salary"/>
    <s v="Low Risk"/>
  </r>
  <r>
    <n v="54"/>
    <x v="1"/>
    <s v="Travel_Rarely"/>
    <n v="1147"/>
    <x v="0"/>
    <n v="3"/>
    <n v="3"/>
    <s v="Marketing"/>
    <n v="303"/>
    <n v="4"/>
    <x v="0"/>
    <n v="52"/>
    <n v="3"/>
    <n v="2"/>
    <x v="0"/>
    <n v="1"/>
    <s v="Married"/>
    <x v="215"/>
    <n v="17011"/>
    <n v="2"/>
    <x v="1"/>
    <n v="14"/>
    <n v="3"/>
    <n v="4"/>
    <n v="1"/>
    <n v="16"/>
    <n v="4"/>
    <n v="3"/>
    <n v="6"/>
    <n v="2"/>
    <n v="0"/>
    <n v="5"/>
    <x v="1"/>
    <s v="Mid"/>
    <n v="6959.17264573991"/>
    <s v="Below salary"/>
    <s v="Medium Risk"/>
  </r>
  <r>
    <n v="36"/>
    <x v="1"/>
    <s v="Travel_Rarely"/>
    <n v="1396"/>
    <x v="1"/>
    <n v="5"/>
    <n v="2"/>
    <s v="Life Sciences"/>
    <n v="304"/>
    <n v="4"/>
    <x v="1"/>
    <n v="62"/>
    <n v="3"/>
    <n v="2"/>
    <x v="2"/>
    <n v="2"/>
    <s v="Single"/>
    <x v="216"/>
    <n v="9945"/>
    <n v="8"/>
    <x v="1"/>
    <n v="16"/>
    <n v="3"/>
    <n v="4"/>
    <n v="0"/>
    <n v="16"/>
    <n v="3"/>
    <n v="4"/>
    <n v="13"/>
    <n v="11"/>
    <n v="3"/>
    <n v="7"/>
    <x v="0"/>
    <s v="Mid"/>
    <n v="6281.2528616024974"/>
    <s v="Below salary"/>
    <s v="Medium Risk"/>
  </r>
  <r>
    <n v="33"/>
    <x v="1"/>
    <s v="Travel_Rarely"/>
    <n v="147"/>
    <x v="1"/>
    <n v="4"/>
    <n v="4"/>
    <s v="Medical"/>
    <n v="305"/>
    <n v="3"/>
    <x v="0"/>
    <n v="47"/>
    <n v="2"/>
    <n v="1"/>
    <x v="1"/>
    <n v="2"/>
    <s v="Married"/>
    <x v="217"/>
    <n v="13248"/>
    <n v="6"/>
    <x v="1"/>
    <n v="21"/>
    <n v="4"/>
    <n v="4"/>
    <n v="0"/>
    <n v="7"/>
    <n v="3"/>
    <n v="3"/>
    <n v="3"/>
    <n v="2"/>
    <n v="1"/>
    <n v="1"/>
    <x v="2"/>
    <s v="Low"/>
    <n v="6281.2528616024974"/>
    <s v="Below salary"/>
    <s v="Medium Risk"/>
  </r>
  <r>
    <n v="37"/>
    <x v="1"/>
    <s v="Travel_Frequently"/>
    <n v="663"/>
    <x v="1"/>
    <n v="11"/>
    <n v="3"/>
    <s v="Other"/>
    <n v="306"/>
    <n v="2"/>
    <x v="1"/>
    <n v="47"/>
    <n v="3"/>
    <n v="3"/>
    <x v="7"/>
    <n v="4"/>
    <s v="Divorced"/>
    <x v="218"/>
    <n v="10056"/>
    <n v="1"/>
    <x v="0"/>
    <n v="14"/>
    <n v="3"/>
    <n v="3"/>
    <n v="3"/>
    <n v="10"/>
    <n v="1"/>
    <n v="3"/>
    <n v="10"/>
    <n v="8"/>
    <n v="0"/>
    <n v="7"/>
    <x v="0"/>
    <s v="Very High"/>
    <n v="6281.2528616024974"/>
    <s v="Above salary"/>
    <s v="Medium Risk"/>
  </r>
  <r>
    <n v="38"/>
    <x v="1"/>
    <s v="Travel_Rarely"/>
    <n v="119"/>
    <x v="0"/>
    <n v="3"/>
    <n v="3"/>
    <s v="Life Sciences"/>
    <n v="307"/>
    <n v="1"/>
    <x v="1"/>
    <n v="76"/>
    <n v="3"/>
    <n v="3"/>
    <x v="0"/>
    <n v="3"/>
    <s v="Divorced"/>
    <x v="219"/>
    <n v="9647"/>
    <n v="0"/>
    <x v="1"/>
    <n v="12"/>
    <n v="3"/>
    <n v="3"/>
    <n v="2"/>
    <n v="17"/>
    <n v="6"/>
    <n v="2"/>
    <n v="16"/>
    <n v="10"/>
    <n v="5"/>
    <n v="13"/>
    <x v="0"/>
    <s v="High"/>
    <n v="6959.17264573991"/>
    <s v="Above salary"/>
    <s v="Low Risk"/>
  </r>
  <r>
    <n v="31"/>
    <x v="1"/>
    <s v="Non-Travel"/>
    <n v="979"/>
    <x v="1"/>
    <n v="1"/>
    <n v="4"/>
    <s v="Medical"/>
    <n v="308"/>
    <n v="3"/>
    <x v="1"/>
    <n v="90"/>
    <n v="1"/>
    <n v="2"/>
    <x v="3"/>
    <n v="3"/>
    <s v="Married"/>
    <x v="220"/>
    <n v="4381"/>
    <n v="0"/>
    <x v="1"/>
    <n v="12"/>
    <n v="3"/>
    <n v="4"/>
    <n v="1"/>
    <n v="6"/>
    <n v="2"/>
    <n v="3"/>
    <n v="5"/>
    <n v="4"/>
    <n v="1"/>
    <n v="4"/>
    <x v="2"/>
    <s v="Mid"/>
    <n v="6281.2528616024974"/>
    <s v="Below salary"/>
    <s v="Low Risk"/>
  </r>
  <r>
    <n v="59"/>
    <x v="1"/>
    <s v="Travel_Rarely"/>
    <n v="142"/>
    <x v="1"/>
    <n v="3"/>
    <n v="3"/>
    <s v="Life Sciences"/>
    <n v="309"/>
    <n v="3"/>
    <x v="1"/>
    <n v="70"/>
    <n v="2"/>
    <n v="1"/>
    <x v="1"/>
    <n v="4"/>
    <s v="Married"/>
    <x v="221"/>
    <n v="8456"/>
    <n v="3"/>
    <x v="1"/>
    <n v="17"/>
    <n v="3"/>
    <n v="1"/>
    <n v="1"/>
    <n v="7"/>
    <n v="6"/>
    <n v="3"/>
    <n v="1"/>
    <n v="0"/>
    <n v="0"/>
    <n v="0"/>
    <x v="1"/>
    <s v="Low"/>
    <n v="6281.2528616024974"/>
    <s v="Below salary"/>
    <s v="Low Risk"/>
  </r>
  <r>
    <n v="37"/>
    <x v="1"/>
    <s v="Travel_Frequently"/>
    <n v="319"/>
    <x v="0"/>
    <n v="4"/>
    <n v="4"/>
    <s v="Marketing"/>
    <n v="311"/>
    <n v="1"/>
    <x v="1"/>
    <n v="41"/>
    <n v="3"/>
    <n v="1"/>
    <x v="6"/>
    <n v="4"/>
    <s v="Divorced"/>
    <x v="222"/>
    <n v="2539"/>
    <n v="4"/>
    <x v="1"/>
    <n v="17"/>
    <n v="3"/>
    <n v="3"/>
    <n v="1"/>
    <n v="13"/>
    <n v="2"/>
    <n v="3"/>
    <n v="9"/>
    <n v="8"/>
    <n v="5"/>
    <n v="8"/>
    <x v="0"/>
    <s v="Low"/>
    <n v="6959.17264573991"/>
    <s v="Below salary"/>
    <s v="Low Risk"/>
  </r>
  <r>
    <n v="29"/>
    <x v="1"/>
    <s v="Travel_Frequently"/>
    <n v="1413"/>
    <x v="0"/>
    <n v="1"/>
    <n v="1"/>
    <s v="Medical"/>
    <n v="312"/>
    <n v="2"/>
    <x v="0"/>
    <n v="42"/>
    <n v="3"/>
    <n v="3"/>
    <x v="0"/>
    <n v="4"/>
    <s v="Married"/>
    <x v="223"/>
    <n v="6599"/>
    <n v="1"/>
    <x v="1"/>
    <n v="14"/>
    <n v="3"/>
    <n v="4"/>
    <n v="1"/>
    <n v="11"/>
    <n v="5"/>
    <n v="3"/>
    <n v="11"/>
    <n v="10"/>
    <n v="4"/>
    <n v="1"/>
    <x v="2"/>
    <s v="High"/>
    <n v="6959.17264573991"/>
    <s v="Above salary"/>
    <s v="Low Risk"/>
  </r>
  <r>
    <n v="35"/>
    <x v="1"/>
    <s v="Travel_Frequently"/>
    <n v="944"/>
    <x v="0"/>
    <n v="1"/>
    <n v="3"/>
    <s v="Marketing"/>
    <n v="314"/>
    <n v="3"/>
    <x v="0"/>
    <n v="92"/>
    <n v="3"/>
    <n v="3"/>
    <x v="0"/>
    <n v="3"/>
    <s v="Single"/>
    <x v="224"/>
    <n v="9096"/>
    <n v="1"/>
    <x v="1"/>
    <n v="14"/>
    <n v="3"/>
    <n v="1"/>
    <n v="0"/>
    <n v="10"/>
    <n v="3"/>
    <n v="4"/>
    <n v="10"/>
    <n v="7"/>
    <n v="0"/>
    <n v="8"/>
    <x v="2"/>
    <s v="High"/>
    <n v="6959.17264573991"/>
    <s v="Above salary"/>
    <s v="Low Risk"/>
  </r>
  <r>
    <n v="29"/>
    <x v="0"/>
    <s v="Travel_Rarely"/>
    <n v="896"/>
    <x v="1"/>
    <n v="18"/>
    <n v="1"/>
    <s v="Medical"/>
    <n v="315"/>
    <n v="3"/>
    <x v="1"/>
    <n v="86"/>
    <n v="2"/>
    <n v="1"/>
    <x v="1"/>
    <n v="4"/>
    <s v="Single"/>
    <x v="225"/>
    <n v="14961"/>
    <n v="1"/>
    <x v="0"/>
    <n v="13"/>
    <n v="3"/>
    <n v="3"/>
    <n v="0"/>
    <n v="4"/>
    <n v="3"/>
    <n v="2"/>
    <n v="4"/>
    <n v="3"/>
    <n v="0"/>
    <n v="1"/>
    <x v="2"/>
    <s v="Low"/>
    <n v="6281.2528616024974"/>
    <s v="Below salary"/>
    <s v="Medium Risk"/>
  </r>
  <r>
    <n v="52"/>
    <x v="1"/>
    <s v="Travel_Rarely"/>
    <n v="1323"/>
    <x v="1"/>
    <n v="2"/>
    <n v="3"/>
    <s v="Life Sciences"/>
    <n v="316"/>
    <n v="3"/>
    <x v="0"/>
    <n v="89"/>
    <n v="2"/>
    <n v="1"/>
    <x v="2"/>
    <n v="4"/>
    <s v="Single"/>
    <x v="226"/>
    <n v="3300"/>
    <n v="7"/>
    <x v="1"/>
    <n v="15"/>
    <n v="3"/>
    <n v="2"/>
    <n v="0"/>
    <n v="6"/>
    <n v="3"/>
    <n v="2"/>
    <n v="2"/>
    <n v="2"/>
    <n v="2"/>
    <n v="2"/>
    <x v="1"/>
    <s v="Mid"/>
    <n v="6281.2528616024974"/>
    <s v="Below salary"/>
    <s v="Low Risk"/>
  </r>
  <r>
    <n v="42"/>
    <x v="1"/>
    <s v="Travel_Rarely"/>
    <n v="532"/>
    <x v="1"/>
    <n v="4"/>
    <n v="2"/>
    <s v="Technical Degree"/>
    <n v="319"/>
    <n v="3"/>
    <x v="1"/>
    <n v="58"/>
    <n v="3"/>
    <n v="5"/>
    <x v="5"/>
    <n v="4"/>
    <s v="Married"/>
    <x v="227"/>
    <n v="4933"/>
    <n v="1"/>
    <x v="1"/>
    <n v="11"/>
    <n v="3"/>
    <n v="4"/>
    <n v="0"/>
    <n v="22"/>
    <n v="3"/>
    <n v="3"/>
    <n v="22"/>
    <n v="17"/>
    <n v="11"/>
    <n v="15"/>
    <x v="0"/>
    <s v="Very High"/>
    <n v="6281.2528616024974"/>
    <s v="Above salary"/>
    <s v="Low Risk"/>
  </r>
  <r>
    <n v="59"/>
    <x v="1"/>
    <s v="Travel_Rarely"/>
    <n v="818"/>
    <x v="2"/>
    <n v="6"/>
    <n v="2"/>
    <s v="Medical"/>
    <n v="321"/>
    <n v="2"/>
    <x v="1"/>
    <n v="52"/>
    <n v="3"/>
    <n v="1"/>
    <x v="8"/>
    <n v="3"/>
    <s v="Married"/>
    <x v="228"/>
    <n v="25657"/>
    <n v="8"/>
    <x v="1"/>
    <n v="17"/>
    <n v="3"/>
    <n v="4"/>
    <n v="0"/>
    <n v="7"/>
    <n v="2"/>
    <n v="2"/>
    <n v="2"/>
    <n v="2"/>
    <n v="2"/>
    <n v="2"/>
    <x v="1"/>
    <s v="Low"/>
    <n v="6654.5079365079364"/>
    <s v="Below salary"/>
    <s v="Low Risk"/>
  </r>
  <r>
    <n v="50"/>
    <x v="1"/>
    <s v="Travel_Rarely"/>
    <n v="854"/>
    <x v="0"/>
    <n v="1"/>
    <n v="4"/>
    <s v="Medical"/>
    <n v="323"/>
    <n v="4"/>
    <x v="0"/>
    <n v="68"/>
    <n v="3"/>
    <n v="5"/>
    <x v="5"/>
    <n v="4"/>
    <s v="Divorced"/>
    <x v="229"/>
    <n v="24118"/>
    <n v="3"/>
    <x v="1"/>
    <n v="11"/>
    <n v="3"/>
    <n v="3"/>
    <n v="1"/>
    <n v="32"/>
    <n v="3"/>
    <n v="2"/>
    <n v="7"/>
    <n v="0"/>
    <n v="0"/>
    <n v="6"/>
    <x v="1"/>
    <s v="Very High"/>
    <n v="6959.17264573991"/>
    <s v="Above salary"/>
    <s v="Low Risk"/>
  </r>
  <r>
    <n v="33"/>
    <x v="0"/>
    <s v="Travel_Rarely"/>
    <n v="813"/>
    <x v="1"/>
    <n v="14"/>
    <n v="3"/>
    <s v="Medical"/>
    <n v="325"/>
    <n v="3"/>
    <x v="1"/>
    <n v="58"/>
    <n v="3"/>
    <n v="1"/>
    <x v="2"/>
    <n v="4"/>
    <s v="Married"/>
    <x v="230"/>
    <n v="22149"/>
    <n v="5"/>
    <x v="0"/>
    <n v="13"/>
    <n v="3"/>
    <n v="3"/>
    <n v="1"/>
    <n v="8"/>
    <n v="2"/>
    <n v="1"/>
    <n v="5"/>
    <n v="4"/>
    <n v="0"/>
    <n v="4"/>
    <x v="2"/>
    <s v="Low"/>
    <n v="6281.2528616024974"/>
    <s v="Below salary"/>
    <s v="Medium Risk"/>
  </r>
  <r>
    <n v="43"/>
    <x v="1"/>
    <s v="Travel_Rarely"/>
    <n v="1034"/>
    <x v="0"/>
    <n v="16"/>
    <n v="3"/>
    <s v="Marketing"/>
    <n v="327"/>
    <n v="4"/>
    <x v="0"/>
    <n v="80"/>
    <n v="3"/>
    <n v="4"/>
    <x v="5"/>
    <n v="4"/>
    <s v="Married"/>
    <x v="231"/>
    <n v="7744"/>
    <n v="5"/>
    <x v="0"/>
    <n v="22"/>
    <n v="4"/>
    <n v="3"/>
    <n v="1"/>
    <n v="22"/>
    <n v="3"/>
    <n v="3"/>
    <n v="17"/>
    <n v="13"/>
    <n v="1"/>
    <n v="9"/>
    <x v="0"/>
    <s v="Very High"/>
    <n v="6959.17264573991"/>
    <s v="Above salary"/>
    <s v="Medium Risk"/>
  </r>
  <r>
    <n v="33"/>
    <x v="0"/>
    <s v="Travel_Rarely"/>
    <n v="465"/>
    <x v="1"/>
    <n v="2"/>
    <n v="2"/>
    <s v="Life Sciences"/>
    <n v="328"/>
    <n v="1"/>
    <x v="0"/>
    <n v="39"/>
    <n v="3"/>
    <n v="1"/>
    <x v="2"/>
    <n v="1"/>
    <s v="Married"/>
    <x v="232"/>
    <n v="21509"/>
    <n v="7"/>
    <x v="1"/>
    <n v="20"/>
    <n v="4"/>
    <n v="1"/>
    <n v="0"/>
    <n v="13"/>
    <n v="3"/>
    <n v="4"/>
    <n v="9"/>
    <n v="7"/>
    <n v="1"/>
    <n v="7"/>
    <x v="2"/>
    <s v="Low"/>
    <n v="6281.2528616024974"/>
    <s v="Below salary"/>
    <s v="Medium Risk"/>
  </r>
  <r>
    <n v="52"/>
    <x v="1"/>
    <s v="Non-Travel"/>
    <n v="771"/>
    <x v="0"/>
    <n v="2"/>
    <n v="4"/>
    <s v="Life Sciences"/>
    <n v="329"/>
    <n v="1"/>
    <x v="1"/>
    <n v="79"/>
    <n v="2"/>
    <n v="5"/>
    <x v="5"/>
    <n v="3"/>
    <s v="Single"/>
    <x v="233"/>
    <n v="21030"/>
    <n v="1"/>
    <x v="0"/>
    <n v="18"/>
    <n v="3"/>
    <n v="4"/>
    <n v="0"/>
    <n v="33"/>
    <n v="2"/>
    <n v="4"/>
    <n v="33"/>
    <n v="7"/>
    <n v="15"/>
    <n v="12"/>
    <x v="1"/>
    <s v="Very High"/>
    <n v="6959.17264573991"/>
    <s v="Above salary"/>
    <s v="Medium Risk"/>
  </r>
  <r>
    <n v="32"/>
    <x v="1"/>
    <s v="Travel_Rarely"/>
    <n v="1401"/>
    <x v="0"/>
    <n v="4"/>
    <n v="2"/>
    <s v="Life Sciences"/>
    <n v="330"/>
    <n v="3"/>
    <x v="0"/>
    <n v="56"/>
    <n v="3"/>
    <n v="1"/>
    <x v="6"/>
    <n v="2"/>
    <s v="Married"/>
    <x v="234"/>
    <n v="20990"/>
    <n v="2"/>
    <x v="1"/>
    <n v="11"/>
    <n v="3"/>
    <n v="1"/>
    <n v="1"/>
    <n v="6"/>
    <n v="5"/>
    <n v="3"/>
    <n v="4"/>
    <n v="3"/>
    <n v="1"/>
    <n v="2"/>
    <x v="2"/>
    <s v="Mid"/>
    <n v="6959.17264573991"/>
    <s v="Below salary"/>
    <s v="Medium Risk"/>
  </r>
  <r>
    <n v="32"/>
    <x v="0"/>
    <s v="Travel_Rarely"/>
    <n v="515"/>
    <x v="1"/>
    <n v="1"/>
    <n v="3"/>
    <s v="Life Sciences"/>
    <n v="331"/>
    <n v="4"/>
    <x v="1"/>
    <n v="62"/>
    <n v="2"/>
    <n v="1"/>
    <x v="2"/>
    <n v="3"/>
    <s v="Single"/>
    <x v="235"/>
    <n v="9571"/>
    <n v="0"/>
    <x v="0"/>
    <n v="14"/>
    <n v="3"/>
    <n v="4"/>
    <n v="0"/>
    <n v="4"/>
    <n v="2"/>
    <n v="1"/>
    <n v="3"/>
    <n v="2"/>
    <n v="1"/>
    <n v="2"/>
    <x v="2"/>
    <s v="Mid"/>
    <n v="6281.2528616024974"/>
    <s v="Below salary"/>
    <s v="Medium Risk"/>
  </r>
  <r>
    <n v="39"/>
    <x v="1"/>
    <s v="Travel_Rarely"/>
    <n v="1431"/>
    <x v="1"/>
    <n v="1"/>
    <n v="4"/>
    <s v="Medical"/>
    <n v="332"/>
    <n v="3"/>
    <x v="0"/>
    <n v="96"/>
    <n v="3"/>
    <n v="1"/>
    <x v="2"/>
    <n v="3"/>
    <s v="Divorced"/>
    <x v="236"/>
    <n v="15417"/>
    <n v="7"/>
    <x v="1"/>
    <n v="14"/>
    <n v="3"/>
    <n v="3"/>
    <n v="3"/>
    <n v="7"/>
    <n v="1"/>
    <n v="3"/>
    <n v="3"/>
    <n v="2"/>
    <n v="1"/>
    <n v="2"/>
    <x v="0"/>
    <s v="Low"/>
    <n v="6281.2528616024974"/>
    <s v="Below salary"/>
    <s v="Low Risk"/>
  </r>
  <r>
    <n v="32"/>
    <x v="1"/>
    <s v="Non-Travel"/>
    <n v="976"/>
    <x v="0"/>
    <n v="26"/>
    <n v="4"/>
    <s v="Marketing"/>
    <n v="333"/>
    <n v="3"/>
    <x v="1"/>
    <n v="100"/>
    <n v="3"/>
    <n v="2"/>
    <x v="0"/>
    <n v="4"/>
    <s v="Married"/>
    <x v="237"/>
    <n v="12069"/>
    <n v="0"/>
    <x v="1"/>
    <n v="18"/>
    <n v="3"/>
    <n v="1"/>
    <n v="0"/>
    <n v="4"/>
    <n v="2"/>
    <n v="3"/>
    <n v="3"/>
    <n v="2"/>
    <n v="2"/>
    <n v="2"/>
    <x v="2"/>
    <s v="Mid"/>
    <n v="6959.17264573991"/>
    <s v="Below salary"/>
    <s v="Low Risk"/>
  </r>
  <r>
    <n v="41"/>
    <x v="1"/>
    <s v="Travel_Rarely"/>
    <n v="1411"/>
    <x v="1"/>
    <n v="19"/>
    <n v="2"/>
    <s v="Life Sciences"/>
    <n v="334"/>
    <n v="3"/>
    <x v="1"/>
    <n v="36"/>
    <n v="3"/>
    <n v="2"/>
    <x v="1"/>
    <n v="1"/>
    <s v="Divorced"/>
    <x v="169"/>
    <n v="19877"/>
    <n v="2"/>
    <x v="1"/>
    <n v="16"/>
    <n v="3"/>
    <n v="1"/>
    <n v="2"/>
    <n v="17"/>
    <n v="2"/>
    <n v="2"/>
    <n v="1"/>
    <n v="0"/>
    <n v="0"/>
    <n v="0"/>
    <x v="0"/>
    <s v="Mid"/>
    <n v="6281.2528616024974"/>
    <s v="Below salary"/>
    <s v="Medium Risk"/>
  </r>
  <r>
    <n v="40"/>
    <x v="1"/>
    <s v="Travel_Rarely"/>
    <n v="1300"/>
    <x v="1"/>
    <n v="24"/>
    <n v="2"/>
    <s v="Technical Degree"/>
    <n v="335"/>
    <n v="1"/>
    <x v="1"/>
    <n v="62"/>
    <n v="3"/>
    <n v="2"/>
    <x v="1"/>
    <n v="4"/>
    <s v="Divorced"/>
    <x v="238"/>
    <n v="24447"/>
    <n v="1"/>
    <x v="1"/>
    <n v="17"/>
    <n v="3"/>
    <n v="1"/>
    <n v="2"/>
    <n v="9"/>
    <n v="3"/>
    <n v="3"/>
    <n v="9"/>
    <n v="8"/>
    <n v="4"/>
    <n v="7"/>
    <x v="0"/>
    <s v="Mid"/>
    <n v="6281.2528616024974"/>
    <s v="Below salary"/>
    <s v="Low Risk"/>
  </r>
  <r>
    <n v="45"/>
    <x v="1"/>
    <s v="Travel_Rarely"/>
    <n v="252"/>
    <x v="1"/>
    <n v="1"/>
    <n v="3"/>
    <s v="Other"/>
    <n v="336"/>
    <n v="3"/>
    <x v="1"/>
    <n v="70"/>
    <n v="4"/>
    <n v="5"/>
    <x v="5"/>
    <n v="4"/>
    <s v="Married"/>
    <x v="239"/>
    <n v="15970"/>
    <n v="0"/>
    <x v="1"/>
    <n v="11"/>
    <n v="3"/>
    <n v="3"/>
    <n v="1"/>
    <n v="25"/>
    <n v="2"/>
    <n v="3"/>
    <n v="24"/>
    <n v="0"/>
    <n v="1"/>
    <n v="7"/>
    <x v="0"/>
    <s v="Very High"/>
    <n v="6281.2528616024974"/>
    <s v="Above salary"/>
    <s v="Low Risk"/>
  </r>
  <r>
    <n v="31"/>
    <x v="1"/>
    <s v="Travel_Frequently"/>
    <n v="1327"/>
    <x v="1"/>
    <n v="3"/>
    <n v="4"/>
    <s v="Medical"/>
    <n v="337"/>
    <n v="2"/>
    <x v="1"/>
    <n v="73"/>
    <n v="3"/>
    <n v="3"/>
    <x v="7"/>
    <n v="3"/>
    <s v="Divorced"/>
    <x v="240"/>
    <n v="13523"/>
    <n v="9"/>
    <x v="1"/>
    <n v="12"/>
    <n v="3"/>
    <n v="1"/>
    <n v="1"/>
    <n v="9"/>
    <n v="3"/>
    <n v="3"/>
    <n v="2"/>
    <n v="2"/>
    <n v="2"/>
    <n v="2"/>
    <x v="2"/>
    <s v="Very High"/>
    <n v="6281.2528616024974"/>
    <s v="Above salary"/>
    <s v="Low Risk"/>
  </r>
  <r>
    <n v="33"/>
    <x v="1"/>
    <s v="Travel_Rarely"/>
    <n v="832"/>
    <x v="1"/>
    <n v="5"/>
    <n v="4"/>
    <s v="Life Sciences"/>
    <n v="338"/>
    <n v="3"/>
    <x v="0"/>
    <n v="63"/>
    <n v="2"/>
    <n v="1"/>
    <x v="1"/>
    <n v="4"/>
    <s v="Married"/>
    <x v="12"/>
    <n v="14776"/>
    <n v="1"/>
    <x v="1"/>
    <n v="13"/>
    <n v="3"/>
    <n v="3"/>
    <n v="1"/>
    <n v="2"/>
    <n v="2"/>
    <n v="2"/>
    <n v="2"/>
    <n v="2"/>
    <n v="0"/>
    <n v="2"/>
    <x v="2"/>
    <s v="Low"/>
    <n v="6281.2528616024974"/>
    <s v="Below salary"/>
    <s v="Low Risk"/>
  </r>
  <r>
    <n v="34"/>
    <x v="1"/>
    <s v="Travel_Rarely"/>
    <n v="470"/>
    <x v="1"/>
    <n v="2"/>
    <n v="4"/>
    <s v="Life Sciences"/>
    <n v="339"/>
    <n v="4"/>
    <x v="1"/>
    <n v="84"/>
    <n v="2"/>
    <n v="2"/>
    <x v="3"/>
    <n v="1"/>
    <s v="Married"/>
    <x v="241"/>
    <n v="23687"/>
    <n v="6"/>
    <x v="1"/>
    <n v="13"/>
    <n v="3"/>
    <n v="2"/>
    <n v="1"/>
    <n v="13"/>
    <n v="3"/>
    <n v="3"/>
    <n v="11"/>
    <n v="9"/>
    <n v="5"/>
    <n v="9"/>
    <x v="2"/>
    <s v="Mid"/>
    <n v="6281.2528616024974"/>
    <s v="Below salary"/>
    <s v="Medium Risk"/>
  </r>
  <r>
    <n v="37"/>
    <x v="1"/>
    <s v="Travel_Rarely"/>
    <n v="1017"/>
    <x v="1"/>
    <n v="1"/>
    <n v="2"/>
    <s v="Medical"/>
    <n v="340"/>
    <n v="3"/>
    <x v="0"/>
    <n v="83"/>
    <n v="2"/>
    <n v="1"/>
    <x v="1"/>
    <n v="1"/>
    <s v="Married"/>
    <x v="242"/>
    <n v="18697"/>
    <n v="2"/>
    <x v="1"/>
    <n v="14"/>
    <n v="3"/>
    <n v="1"/>
    <n v="1"/>
    <n v="17"/>
    <n v="2"/>
    <n v="2"/>
    <n v="3"/>
    <n v="1"/>
    <n v="0"/>
    <n v="2"/>
    <x v="0"/>
    <s v="Mid"/>
    <n v="6281.2528616024974"/>
    <s v="Below salary"/>
    <s v="Medium Risk"/>
  </r>
  <r>
    <n v="45"/>
    <x v="1"/>
    <s v="Travel_Frequently"/>
    <n v="1199"/>
    <x v="1"/>
    <n v="7"/>
    <n v="4"/>
    <s v="Life Sciences"/>
    <n v="341"/>
    <n v="1"/>
    <x v="1"/>
    <n v="77"/>
    <n v="4"/>
    <n v="2"/>
    <x v="3"/>
    <n v="3"/>
    <s v="Married"/>
    <x v="243"/>
    <n v="5118"/>
    <n v="4"/>
    <x v="1"/>
    <n v="17"/>
    <n v="3"/>
    <n v="4"/>
    <n v="1"/>
    <n v="9"/>
    <n v="1"/>
    <n v="3"/>
    <n v="3"/>
    <n v="2"/>
    <n v="0"/>
    <n v="2"/>
    <x v="0"/>
    <s v="Mid"/>
    <n v="6281.2528616024974"/>
    <s v="Above salary"/>
    <s v="Low Risk"/>
  </r>
  <r>
    <n v="37"/>
    <x v="0"/>
    <s v="Travel_Frequently"/>
    <n v="504"/>
    <x v="1"/>
    <n v="10"/>
    <n v="3"/>
    <s v="Medical"/>
    <n v="342"/>
    <n v="1"/>
    <x v="1"/>
    <n v="61"/>
    <n v="3"/>
    <n v="3"/>
    <x v="3"/>
    <n v="3"/>
    <s v="Divorced"/>
    <x v="244"/>
    <n v="22573"/>
    <n v="6"/>
    <x v="1"/>
    <n v="11"/>
    <n v="3"/>
    <n v="2"/>
    <n v="2"/>
    <n v="17"/>
    <n v="5"/>
    <n v="3"/>
    <n v="1"/>
    <n v="0"/>
    <n v="0"/>
    <n v="0"/>
    <x v="0"/>
    <s v="High"/>
    <n v="6281.2528616024974"/>
    <s v="Above salary"/>
    <s v="Low Risk"/>
  </r>
  <r>
    <n v="39"/>
    <x v="1"/>
    <s v="Travel_Frequently"/>
    <n v="505"/>
    <x v="1"/>
    <n v="2"/>
    <n v="4"/>
    <s v="Technical Degree"/>
    <n v="343"/>
    <n v="3"/>
    <x v="0"/>
    <n v="64"/>
    <n v="3"/>
    <n v="3"/>
    <x v="4"/>
    <n v="3"/>
    <s v="Single"/>
    <x v="245"/>
    <n v="6420"/>
    <n v="0"/>
    <x v="1"/>
    <n v="25"/>
    <n v="4"/>
    <n v="4"/>
    <n v="0"/>
    <n v="20"/>
    <n v="1"/>
    <n v="3"/>
    <n v="19"/>
    <n v="6"/>
    <n v="11"/>
    <n v="8"/>
    <x v="0"/>
    <s v="High"/>
    <n v="6281.2528616024974"/>
    <s v="Above salary"/>
    <s v="Low Risk"/>
  </r>
  <r>
    <n v="29"/>
    <x v="1"/>
    <s v="Travel_Rarely"/>
    <n v="665"/>
    <x v="1"/>
    <n v="15"/>
    <n v="3"/>
    <s v="Life Sciences"/>
    <n v="346"/>
    <n v="3"/>
    <x v="1"/>
    <n v="60"/>
    <n v="3"/>
    <n v="1"/>
    <x v="1"/>
    <n v="4"/>
    <s v="Single"/>
    <x v="246"/>
    <n v="22673"/>
    <n v="1"/>
    <x v="1"/>
    <n v="19"/>
    <n v="3"/>
    <n v="1"/>
    <n v="0"/>
    <n v="6"/>
    <n v="1"/>
    <n v="3"/>
    <n v="6"/>
    <n v="5"/>
    <n v="1"/>
    <n v="5"/>
    <x v="2"/>
    <s v="Low"/>
    <n v="6281.2528616024974"/>
    <s v="Below salary"/>
    <s v="Low Risk"/>
  </r>
  <r>
    <n v="42"/>
    <x v="1"/>
    <s v="Travel_Rarely"/>
    <n v="916"/>
    <x v="1"/>
    <n v="17"/>
    <n v="2"/>
    <s v="Life Sciences"/>
    <n v="347"/>
    <n v="4"/>
    <x v="0"/>
    <n v="82"/>
    <n v="4"/>
    <n v="2"/>
    <x v="1"/>
    <n v="1"/>
    <s v="Single"/>
    <x v="247"/>
    <n v="23016"/>
    <n v="3"/>
    <x v="0"/>
    <n v="13"/>
    <n v="3"/>
    <n v="3"/>
    <n v="0"/>
    <n v="10"/>
    <n v="1"/>
    <n v="3"/>
    <n v="3"/>
    <n v="2"/>
    <n v="0"/>
    <n v="2"/>
    <x v="0"/>
    <s v="Mid"/>
    <n v="6281.2528616024974"/>
    <s v="Above salary"/>
    <s v="High Risk"/>
  </r>
  <r>
    <n v="29"/>
    <x v="1"/>
    <s v="Travel_Rarely"/>
    <n v="1247"/>
    <x v="0"/>
    <n v="20"/>
    <n v="2"/>
    <s v="Marketing"/>
    <n v="349"/>
    <n v="4"/>
    <x v="1"/>
    <n v="45"/>
    <n v="3"/>
    <n v="2"/>
    <x v="0"/>
    <n v="4"/>
    <s v="Divorced"/>
    <x v="248"/>
    <n v="10732"/>
    <n v="2"/>
    <x v="1"/>
    <n v="14"/>
    <n v="3"/>
    <n v="4"/>
    <n v="1"/>
    <n v="10"/>
    <n v="2"/>
    <n v="3"/>
    <n v="3"/>
    <n v="2"/>
    <n v="0"/>
    <n v="2"/>
    <x v="2"/>
    <s v="Mid"/>
    <n v="6959.17264573991"/>
    <s v="Below salary"/>
    <s v="Low Risk"/>
  </r>
  <r>
    <n v="25"/>
    <x v="1"/>
    <s v="Travel_Rarely"/>
    <n v="685"/>
    <x v="1"/>
    <n v="1"/>
    <n v="3"/>
    <s v="Life Sciences"/>
    <n v="350"/>
    <n v="1"/>
    <x v="0"/>
    <n v="62"/>
    <n v="3"/>
    <n v="2"/>
    <x v="3"/>
    <n v="3"/>
    <s v="Married"/>
    <x v="249"/>
    <n v="7505"/>
    <n v="0"/>
    <x v="1"/>
    <n v="12"/>
    <n v="3"/>
    <n v="4"/>
    <n v="2"/>
    <n v="5"/>
    <n v="3"/>
    <n v="3"/>
    <n v="4"/>
    <n v="2"/>
    <n v="1"/>
    <n v="2"/>
    <x v="3"/>
    <s v="Mid"/>
    <n v="6281.2528616024974"/>
    <s v="Below salary"/>
    <s v="Low Risk"/>
  </r>
  <r>
    <n v="42"/>
    <x v="1"/>
    <s v="Travel_Rarely"/>
    <n v="269"/>
    <x v="1"/>
    <n v="2"/>
    <n v="3"/>
    <s v="Medical"/>
    <n v="351"/>
    <n v="4"/>
    <x v="0"/>
    <n v="56"/>
    <n v="2"/>
    <n v="1"/>
    <x v="2"/>
    <n v="1"/>
    <s v="Divorced"/>
    <x v="250"/>
    <n v="8007"/>
    <n v="0"/>
    <x v="0"/>
    <n v="11"/>
    <n v="3"/>
    <n v="3"/>
    <n v="1"/>
    <n v="10"/>
    <n v="4"/>
    <n v="3"/>
    <n v="9"/>
    <n v="6"/>
    <n v="7"/>
    <n v="8"/>
    <x v="0"/>
    <s v="Low"/>
    <n v="6281.2528616024974"/>
    <s v="Below salary"/>
    <s v="High Risk"/>
  </r>
  <r>
    <n v="40"/>
    <x v="1"/>
    <s v="Travel_Rarely"/>
    <n v="1416"/>
    <x v="1"/>
    <n v="2"/>
    <n v="2"/>
    <s v="Medical"/>
    <n v="352"/>
    <n v="1"/>
    <x v="1"/>
    <n v="49"/>
    <n v="3"/>
    <n v="5"/>
    <x v="7"/>
    <n v="3"/>
    <s v="Divorced"/>
    <x v="251"/>
    <n v="5949"/>
    <n v="0"/>
    <x v="1"/>
    <n v="19"/>
    <n v="3"/>
    <n v="4"/>
    <n v="1"/>
    <n v="22"/>
    <n v="5"/>
    <n v="3"/>
    <n v="21"/>
    <n v="7"/>
    <n v="3"/>
    <n v="9"/>
    <x v="0"/>
    <s v="Very High"/>
    <n v="6281.2528616024974"/>
    <s v="Above salary"/>
    <s v="Low Risk"/>
  </r>
  <r>
    <n v="51"/>
    <x v="1"/>
    <s v="Travel_Rarely"/>
    <n v="833"/>
    <x v="1"/>
    <n v="1"/>
    <n v="3"/>
    <s v="Life Sciences"/>
    <n v="353"/>
    <n v="3"/>
    <x v="1"/>
    <n v="96"/>
    <n v="3"/>
    <n v="1"/>
    <x v="1"/>
    <n v="4"/>
    <s v="Married"/>
    <x v="252"/>
    <n v="23231"/>
    <n v="1"/>
    <x v="1"/>
    <n v="11"/>
    <n v="3"/>
    <n v="2"/>
    <n v="0"/>
    <n v="1"/>
    <n v="0"/>
    <n v="2"/>
    <n v="1"/>
    <n v="0"/>
    <n v="0"/>
    <n v="0"/>
    <x v="1"/>
    <s v="Low"/>
    <n v="6281.2528616024974"/>
    <s v="Below salary"/>
    <s v="Low Risk"/>
  </r>
  <r>
    <n v="31"/>
    <x v="0"/>
    <s v="Travel_Frequently"/>
    <n v="307"/>
    <x v="1"/>
    <n v="29"/>
    <n v="2"/>
    <s v="Medical"/>
    <n v="355"/>
    <n v="3"/>
    <x v="1"/>
    <n v="71"/>
    <n v="2"/>
    <n v="1"/>
    <x v="2"/>
    <n v="2"/>
    <s v="Single"/>
    <x v="253"/>
    <n v="11652"/>
    <n v="0"/>
    <x v="1"/>
    <n v="11"/>
    <n v="3"/>
    <n v="2"/>
    <n v="0"/>
    <n v="6"/>
    <n v="2"/>
    <n v="4"/>
    <n v="5"/>
    <n v="4"/>
    <n v="1"/>
    <n v="4"/>
    <x v="2"/>
    <s v="Mid"/>
    <n v="6281.2528616024974"/>
    <s v="Below salary"/>
    <s v="Medium Risk"/>
  </r>
  <r>
    <n v="32"/>
    <x v="1"/>
    <s v="Travel_Frequently"/>
    <n v="1311"/>
    <x v="1"/>
    <n v="7"/>
    <n v="3"/>
    <s v="Life Sciences"/>
    <n v="359"/>
    <n v="2"/>
    <x v="1"/>
    <n v="100"/>
    <n v="4"/>
    <n v="1"/>
    <x v="2"/>
    <n v="2"/>
    <s v="Married"/>
    <x v="254"/>
    <n v="26062"/>
    <n v="1"/>
    <x v="1"/>
    <n v="20"/>
    <n v="4"/>
    <n v="3"/>
    <n v="0"/>
    <n v="5"/>
    <n v="3"/>
    <n v="1"/>
    <n v="5"/>
    <n v="1"/>
    <n v="0"/>
    <n v="3"/>
    <x v="2"/>
    <s v="Low"/>
    <n v="6281.2528616024974"/>
    <s v="Below salary"/>
    <s v="Medium Risk"/>
  </r>
  <r>
    <n v="38"/>
    <x v="1"/>
    <s v="Non-Travel"/>
    <n v="1327"/>
    <x v="0"/>
    <n v="2"/>
    <n v="2"/>
    <s v="Life Sciences"/>
    <n v="361"/>
    <n v="4"/>
    <x v="1"/>
    <n v="39"/>
    <n v="2"/>
    <n v="2"/>
    <x v="0"/>
    <n v="4"/>
    <s v="Married"/>
    <x v="255"/>
    <n v="19682"/>
    <n v="3"/>
    <x v="1"/>
    <n v="18"/>
    <n v="3"/>
    <n v="4"/>
    <n v="1"/>
    <n v="13"/>
    <n v="0"/>
    <n v="3"/>
    <n v="8"/>
    <n v="7"/>
    <n v="7"/>
    <n v="5"/>
    <x v="0"/>
    <s v="Mid"/>
    <n v="6959.17264573991"/>
    <s v="Below salary"/>
    <s v="Low Risk"/>
  </r>
  <r>
    <n v="32"/>
    <x v="1"/>
    <s v="Travel_Rarely"/>
    <n v="128"/>
    <x v="1"/>
    <n v="2"/>
    <n v="1"/>
    <s v="Technical Degree"/>
    <n v="362"/>
    <n v="4"/>
    <x v="1"/>
    <n v="84"/>
    <n v="2"/>
    <n v="2"/>
    <x v="2"/>
    <n v="1"/>
    <s v="Single"/>
    <x v="256"/>
    <n v="19737"/>
    <n v="4"/>
    <x v="1"/>
    <n v="13"/>
    <n v="3"/>
    <n v="4"/>
    <n v="0"/>
    <n v="9"/>
    <n v="5"/>
    <n v="3"/>
    <n v="6"/>
    <n v="2"/>
    <n v="0"/>
    <n v="4"/>
    <x v="2"/>
    <s v="Low"/>
    <n v="6281.2528616024974"/>
    <s v="Below salary"/>
    <s v="Medium Risk"/>
  </r>
  <r>
    <n v="46"/>
    <x v="1"/>
    <s v="Travel_Rarely"/>
    <n v="488"/>
    <x v="0"/>
    <n v="2"/>
    <n v="3"/>
    <s v="Technical Degree"/>
    <n v="363"/>
    <n v="3"/>
    <x v="0"/>
    <n v="75"/>
    <n v="1"/>
    <n v="4"/>
    <x v="5"/>
    <n v="2"/>
    <s v="Married"/>
    <x v="257"/>
    <n v="14977"/>
    <n v="3"/>
    <x v="0"/>
    <n v="12"/>
    <n v="3"/>
    <n v="2"/>
    <n v="1"/>
    <n v="28"/>
    <n v="2"/>
    <n v="2"/>
    <n v="7"/>
    <n v="7"/>
    <n v="7"/>
    <n v="7"/>
    <x v="1"/>
    <s v="Very High"/>
    <n v="6959.17264573991"/>
    <s v="Above salary"/>
    <s v="High Risk"/>
  </r>
  <r>
    <n v="28"/>
    <x v="0"/>
    <s v="Travel_Rarely"/>
    <n v="529"/>
    <x v="1"/>
    <n v="2"/>
    <n v="4"/>
    <s v="Life Sciences"/>
    <n v="364"/>
    <n v="1"/>
    <x v="1"/>
    <n v="79"/>
    <n v="3"/>
    <n v="1"/>
    <x v="2"/>
    <n v="3"/>
    <s v="Single"/>
    <x v="258"/>
    <n v="14935"/>
    <n v="2"/>
    <x v="1"/>
    <n v="11"/>
    <n v="3"/>
    <n v="3"/>
    <n v="0"/>
    <n v="5"/>
    <n v="5"/>
    <n v="1"/>
    <n v="0"/>
    <n v="0"/>
    <n v="0"/>
    <n v="0"/>
    <x v="2"/>
    <s v="Mid"/>
    <n v="6281.2528616024974"/>
    <s v="Below salary"/>
    <s v="Low Risk"/>
  </r>
  <r>
    <n v="29"/>
    <x v="1"/>
    <s v="Travel_Rarely"/>
    <n v="1210"/>
    <x v="0"/>
    <n v="2"/>
    <n v="3"/>
    <s v="Medical"/>
    <n v="366"/>
    <n v="1"/>
    <x v="1"/>
    <n v="78"/>
    <n v="2"/>
    <n v="2"/>
    <x v="0"/>
    <n v="2"/>
    <s v="Married"/>
    <x v="259"/>
    <n v="3687"/>
    <n v="2"/>
    <x v="1"/>
    <n v="19"/>
    <n v="3"/>
    <n v="2"/>
    <n v="2"/>
    <n v="10"/>
    <n v="2"/>
    <n v="3"/>
    <n v="0"/>
    <n v="0"/>
    <n v="0"/>
    <n v="0"/>
    <x v="2"/>
    <s v="Mid"/>
    <n v="6959.17264573991"/>
    <s v="Below salary"/>
    <s v="Medium Risk"/>
  </r>
  <r>
    <n v="31"/>
    <x v="1"/>
    <s v="Travel_Rarely"/>
    <n v="1463"/>
    <x v="1"/>
    <n v="23"/>
    <n v="3"/>
    <s v="Medical"/>
    <n v="367"/>
    <n v="2"/>
    <x v="1"/>
    <n v="64"/>
    <n v="2"/>
    <n v="2"/>
    <x v="4"/>
    <n v="4"/>
    <s v="Married"/>
    <x v="260"/>
    <n v="14408"/>
    <n v="0"/>
    <x v="1"/>
    <n v="21"/>
    <n v="4"/>
    <n v="2"/>
    <n v="1"/>
    <n v="10"/>
    <n v="2"/>
    <n v="3"/>
    <n v="9"/>
    <n v="0"/>
    <n v="7"/>
    <n v="8"/>
    <x v="2"/>
    <s v="Mid"/>
    <n v="6281.2528616024974"/>
    <s v="Below salary"/>
    <s v="Low Risk"/>
  </r>
  <r>
    <n v="25"/>
    <x v="1"/>
    <s v="Non-Travel"/>
    <n v="675"/>
    <x v="1"/>
    <n v="5"/>
    <n v="2"/>
    <s v="Life Sciences"/>
    <n v="369"/>
    <n v="2"/>
    <x v="1"/>
    <n v="85"/>
    <n v="4"/>
    <n v="2"/>
    <x v="4"/>
    <n v="1"/>
    <s v="Divorced"/>
    <x v="261"/>
    <n v="18384"/>
    <n v="1"/>
    <x v="1"/>
    <n v="12"/>
    <n v="3"/>
    <n v="4"/>
    <n v="2"/>
    <n v="6"/>
    <n v="2"/>
    <n v="3"/>
    <n v="6"/>
    <n v="3"/>
    <n v="1"/>
    <n v="5"/>
    <x v="3"/>
    <s v="Mid"/>
    <n v="6281.2528616024974"/>
    <s v="Below salary"/>
    <s v="Medium Risk"/>
  </r>
  <r>
    <n v="45"/>
    <x v="1"/>
    <s v="Travel_Rarely"/>
    <n v="1385"/>
    <x v="1"/>
    <n v="20"/>
    <n v="2"/>
    <s v="Medical"/>
    <n v="372"/>
    <n v="3"/>
    <x v="1"/>
    <n v="79"/>
    <n v="3"/>
    <n v="4"/>
    <x v="4"/>
    <n v="4"/>
    <s v="Married"/>
    <x v="262"/>
    <n v="7501"/>
    <n v="0"/>
    <x v="0"/>
    <n v="14"/>
    <n v="3"/>
    <n v="2"/>
    <n v="0"/>
    <n v="21"/>
    <n v="2"/>
    <n v="3"/>
    <n v="20"/>
    <n v="7"/>
    <n v="4"/>
    <n v="10"/>
    <x v="0"/>
    <s v="Very High"/>
    <n v="6281.2528616024974"/>
    <s v="Above salary"/>
    <s v="Medium Risk"/>
  </r>
  <r>
    <n v="36"/>
    <x v="1"/>
    <s v="Travel_Rarely"/>
    <n v="1403"/>
    <x v="1"/>
    <n v="6"/>
    <n v="3"/>
    <s v="Life Sciences"/>
    <n v="373"/>
    <n v="4"/>
    <x v="1"/>
    <n v="47"/>
    <n v="3"/>
    <n v="1"/>
    <x v="2"/>
    <n v="4"/>
    <s v="Married"/>
    <x v="263"/>
    <n v="20251"/>
    <n v="0"/>
    <x v="1"/>
    <n v="11"/>
    <n v="3"/>
    <n v="3"/>
    <n v="1"/>
    <n v="16"/>
    <n v="4"/>
    <n v="3"/>
    <n v="15"/>
    <n v="13"/>
    <n v="10"/>
    <n v="11"/>
    <x v="0"/>
    <s v="Mid"/>
    <n v="6281.2528616024974"/>
    <s v="Below salary"/>
    <s v="Low Risk"/>
  </r>
  <r>
    <n v="55"/>
    <x v="1"/>
    <s v="Travel_Rarely"/>
    <n v="452"/>
    <x v="1"/>
    <n v="1"/>
    <n v="3"/>
    <s v="Medical"/>
    <n v="374"/>
    <n v="4"/>
    <x v="1"/>
    <n v="81"/>
    <n v="3"/>
    <n v="5"/>
    <x v="5"/>
    <n v="1"/>
    <s v="Single"/>
    <x v="264"/>
    <n v="18938"/>
    <n v="0"/>
    <x v="0"/>
    <n v="14"/>
    <n v="3"/>
    <n v="3"/>
    <n v="0"/>
    <n v="37"/>
    <n v="2"/>
    <n v="3"/>
    <n v="36"/>
    <n v="10"/>
    <n v="4"/>
    <n v="13"/>
    <x v="1"/>
    <s v="Very High"/>
    <n v="6281.2528616024974"/>
    <s v="Above salary"/>
    <s v="High Risk"/>
  </r>
  <r>
    <n v="47"/>
    <x v="0"/>
    <s v="Non-Travel"/>
    <n v="666"/>
    <x v="1"/>
    <n v="29"/>
    <n v="4"/>
    <s v="Life Sciences"/>
    <n v="376"/>
    <n v="1"/>
    <x v="1"/>
    <n v="88"/>
    <n v="3"/>
    <n v="3"/>
    <x v="5"/>
    <n v="2"/>
    <s v="Married"/>
    <x v="265"/>
    <n v="10268"/>
    <n v="1"/>
    <x v="0"/>
    <n v="12"/>
    <n v="3"/>
    <n v="4"/>
    <n v="1"/>
    <n v="10"/>
    <n v="2"/>
    <n v="2"/>
    <n v="10"/>
    <n v="7"/>
    <n v="9"/>
    <n v="9"/>
    <x v="1"/>
    <s v="High"/>
    <n v="6281.2528616024974"/>
    <s v="Above salary"/>
    <s v="High Risk"/>
  </r>
  <r>
    <n v="28"/>
    <x v="1"/>
    <s v="Travel_Rarely"/>
    <n v="1158"/>
    <x v="1"/>
    <n v="9"/>
    <n v="3"/>
    <s v="Medical"/>
    <n v="377"/>
    <n v="4"/>
    <x v="1"/>
    <n v="94"/>
    <n v="3"/>
    <n v="1"/>
    <x v="1"/>
    <n v="4"/>
    <s v="Married"/>
    <x v="266"/>
    <n v="2613"/>
    <n v="1"/>
    <x v="1"/>
    <n v="23"/>
    <n v="4"/>
    <n v="4"/>
    <n v="1"/>
    <n v="5"/>
    <n v="3"/>
    <n v="2"/>
    <n v="5"/>
    <n v="2"/>
    <n v="0"/>
    <n v="4"/>
    <x v="2"/>
    <s v="Low"/>
    <n v="6281.2528616024974"/>
    <s v="Below salary"/>
    <s v="Low Risk"/>
  </r>
  <r>
    <n v="37"/>
    <x v="1"/>
    <s v="Travel_Rarely"/>
    <n v="228"/>
    <x v="0"/>
    <n v="6"/>
    <n v="4"/>
    <s v="Medical"/>
    <n v="378"/>
    <n v="3"/>
    <x v="1"/>
    <n v="98"/>
    <n v="3"/>
    <n v="2"/>
    <x v="0"/>
    <n v="4"/>
    <s v="Married"/>
    <x v="267"/>
    <n v="22825"/>
    <n v="4"/>
    <x v="1"/>
    <n v="14"/>
    <n v="3"/>
    <n v="2"/>
    <n v="1"/>
    <n v="7"/>
    <n v="5"/>
    <n v="4"/>
    <n v="5"/>
    <n v="4"/>
    <n v="0"/>
    <n v="1"/>
    <x v="0"/>
    <s v="Mid"/>
    <n v="6959.17264573991"/>
    <s v="Below salary"/>
    <s v="Low Risk"/>
  </r>
  <r>
    <n v="21"/>
    <x v="1"/>
    <s v="Travel_Rarely"/>
    <n v="996"/>
    <x v="1"/>
    <n v="3"/>
    <n v="2"/>
    <s v="Medical"/>
    <n v="379"/>
    <n v="4"/>
    <x v="1"/>
    <n v="100"/>
    <n v="2"/>
    <n v="1"/>
    <x v="1"/>
    <n v="3"/>
    <s v="Single"/>
    <x v="268"/>
    <n v="10531"/>
    <n v="1"/>
    <x v="1"/>
    <n v="17"/>
    <n v="3"/>
    <n v="1"/>
    <n v="0"/>
    <n v="3"/>
    <n v="4"/>
    <n v="4"/>
    <n v="3"/>
    <n v="2"/>
    <n v="1"/>
    <n v="0"/>
    <x v="3"/>
    <s v="Mid"/>
    <n v="6281.2528616024974"/>
    <s v="Below salary"/>
    <s v="Low Risk"/>
  </r>
  <r>
    <n v="37"/>
    <x v="1"/>
    <s v="Non-Travel"/>
    <n v="728"/>
    <x v="1"/>
    <n v="1"/>
    <n v="4"/>
    <s v="Medical"/>
    <n v="380"/>
    <n v="1"/>
    <x v="0"/>
    <n v="80"/>
    <n v="3"/>
    <n v="3"/>
    <x v="7"/>
    <n v="4"/>
    <s v="Divorced"/>
    <x v="269"/>
    <n v="11677"/>
    <n v="2"/>
    <x v="0"/>
    <n v="18"/>
    <n v="3"/>
    <n v="1"/>
    <n v="2"/>
    <n v="15"/>
    <n v="2"/>
    <n v="3"/>
    <n v="5"/>
    <n v="2"/>
    <n v="0"/>
    <n v="2"/>
    <x v="0"/>
    <s v="Very High"/>
    <n v="6281.2528616024974"/>
    <s v="Above salary"/>
    <s v="Medium Risk"/>
  </r>
  <r>
    <n v="35"/>
    <x v="1"/>
    <s v="Travel_Rarely"/>
    <n v="1315"/>
    <x v="1"/>
    <n v="22"/>
    <n v="3"/>
    <s v="Life Sciences"/>
    <n v="381"/>
    <n v="2"/>
    <x v="0"/>
    <n v="71"/>
    <n v="4"/>
    <n v="3"/>
    <x v="5"/>
    <n v="2"/>
    <s v="Divorced"/>
    <x v="270"/>
    <n v="19100"/>
    <n v="7"/>
    <x v="1"/>
    <n v="18"/>
    <n v="3"/>
    <n v="2"/>
    <n v="1"/>
    <n v="10"/>
    <n v="6"/>
    <n v="2"/>
    <n v="7"/>
    <n v="7"/>
    <n v="6"/>
    <n v="2"/>
    <x v="2"/>
    <s v="High"/>
    <n v="6281.2528616024974"/>
    <s v="Above salary"/>
    <s v="Medium Risk"/>
  </r>
  <r>
    <n v="38"/>
    <x v="1"/>
    <s v="Travel_Rarely"/>
    <n v="322"/>
    <x v="0"/>
    <n v="7"/>
    <n v="2"/>
    <s v="Medical"/>
    <n v="382"/>
    <n v="1"/>
    <x v="0"/>
    <n v="44"/>
    <n v="4"/>
    <n v="2"/>
    <x v="0"/>
    <n v="1"/>
    <s v="Divorced"/>
    <x v="147"/>
    <n v="19191"/>
    <n v="1"/>
    <x v="0"/>
    <n v="24"/>
    <n v="4"/>
    <n v="3"/>
    <n v="1"/>
    <n v="8"/>
    <n v="3"/>
    <n v="3"/>
    <n v="8"/>
    <n v="0"/>
    <n v="7"/>
    <n v="7"/>
    <x v="0"/>
    <s v="Mid"/>
    <n v="6959.17264573991"/>
    <s v="Below salary"/>
    <s v="High Risk"/>
  </r>
  <r>
    <n v="26"/>
    <x v="1"/>
    <s v="Travel_Frequently"/>
    <n v="1479"/>
    <x v="1"/>
    <n v="1"/>
    <n v="3"/>
    <s v="Life Sciences"/>
    <n v="384"/>
    <n v="3"/>
    <x v="0"/>
    <n v="84"/>
    <n v="3"/>
    <n v="2"/>
    <x v="3"/>
    <n v="2"/>
    <s v="Divorced"/>
    <x v="271"/>
    <n v="26767"/>
    <n v="1"/>
    <x v="1"/>
    <n v="20"/>
    <n v="4"/>
    <n v="1"/>
    <n v="1"/>
    <n v="6"/>
    <n v="6"/>
    <n v="1"/>
    <n v="6"/>
    <n v="5"/>
    <n v="1"/>
    <n v="4"/>
    <x v="2"/>
    <s v="Mid"/>
    <n v="6281.2528616024974"/>
    <s v="Above salary"/>
    <s v="Medium Risk"/>
  </r>
  <r>
    <n v="50"/>
    <x v="1"/>
    <s v="Travel_Rarely"/>
    <n v="797"/>
    <x v="1"/>
    <n v="4"/>
    <n v="1"/>
    <s v="Life Sciences"/>
    <n v="385"/>
    <n v="1"/>
    <x v="1"/>
    <n v="96"/>
    <n v="3"/>
    <n v="5"/>
    <x v="7"/>
    <n v="2"/>
    <s v="Divorced"/>
    <x v="272"/>
    <n v="15815"/>
    <n v="3"/>
    <x v="1"/>
    <n v="14"/>
    <n v="3"/>
    <n v="1"/>
    <n v="2"/>
    <n v="28"/>
    <n v="4"/>
    <n v="2"/>
    <n v="10"/>
    <n v="4"/>
    <n v="1"/>
    <n v="6"/>
    <x v="1"/>
    <s v="Very High"/>
    <n v="6281.2528616024974"/>
    <s v="Above salary"/>
    <s v="Medium Risk"/>
  </r>
  <r>
    <n v="53"/>
    <x v="1"/>
    <s v="Travel_Rarely"/>
    <n v="1070"/>
    <x v="1"/>
    <n v="3"/>
    <n v="4"/>
    <s v="Medical"/>
    <n v="386"/>
    <n v="3"/>
    <x v="1"/>
    <n v="45"/>
    <n v="3"/>
    <n v="4"/>
    <x v="7"/>
    <n v="3"/>
    <s v="Married"/>
    <x v="273"/>
    <n v="21016"/>
    <n v="3"/>
    <x v="0"/>
    <n v="16"/>
    <n v="3"/>
    <n v="4"/>
    <n v="3"/>
    <n v="21"/>
    <n v="5"/>
    <n v="2"/>
    <n v="5"/>
    <n v="3"/>
    <n v="1"/>
    <n v="3"/>
    <x v="1"/>
    <s v="Very High"/>
    <n v="6281.2528616024974"/>
    <s v="Above salary"/>
    <s v="Medium Risk"/>
  </r>
  <r>
    <n v="42"/>
    <x v="1"/>
    <s v="Travel_Rarely"/>
    <n v="635"/>
    <x v="0"/>
    <n v="1"/>
    <n v="1"/>
    <s v="Life Sciences"/>
    <n v="387"/>
    <n v="2"/>
    <x v="1"/>
    <n v="99"/>
    <n v="3"/>
    <n v="2"/>
    <x v="0"/>
    <n v="3"/>
    <s v="Married"/>
    <x v="274"/>
    <n v="24532"/>
    <n v="1"/>
    <x v="1"/>
    <n v="25"/>
    <n v="4"/>
    <n v="3"/>
    <n v="0"/>
    <n v="20"/>
    <n v="3"/>
    <n v="3"/>
    <n v="20"/>
    <n v="16"/>
    <n v="11"/>
    <n v="6"/>
    <x v="0"/>
    <s v="Mid"/>
    <n v="6959.17264573991"/>
    <s v="Below salary"/>
    <s v="Low Risk"/>
  </r>
  <r>
    <n v="29"/>
    <x v="1"/>
    <s v="Travel_Frequently"/>
    <n v="442"/>
    <x v="0"/>
    <n v="2"/>
    <n v="2"/>
    <s v="Life Sciences"/>
    <n v="388"/>
    <n v="2"/>
    <x v="1"/>
    <n v="44"/>
    <n v="3"/>
    <n v="2"/>
    <x v="0"/>
    <n v="4"/>
    <s v="Single"/>
    <x v="275"/>
    <n v="20260"/>
    <n v="1"/>
    <x v="1"/>
    <n v="18"/>
    <n v="3"/>
    <n v="1"/>
    <n v="0"/>
    <n v="10"/>
    <n v="3"/>
    <n v="2"/>
    <n v="10"/>
    <n v="7"/>
    <n v="0"/>
    <n v="9"/>
    <x v="2"/>
    <s v="Mid"/>
    <n v="6959.17264573991"/>
    <s v="Below salary"/>
    <s v="Low Risk"/>
  </r>
  <r>
    <n v="55"/>
    <x v="1"/>
    <s v="Travel_Rarely"/>
    <n v="147"/>
    <x v="1"/>
    <n v="20"/>
    <n v="2"/>
    <s v="Technical Degree"/>
    <n v="389"/>
    <n v="2"/>
    <x v="1"/>
    <n v="37"/>
    <n v="3"/>
    <n v="2"/>
    <x v="2"/>
    <n v="4"/>
    <s v="Married"/>
    <x v="276"/>
    <n v="15972"/>
    <n v="3"/>
    <x v="0"/>
    <n v="19"/>
    <n v="3"/>
    <n v="4"/>
    <n v="1"/>
    <n v="12"/>
    <n v="4"/>
    <n v="3"/>
    <n v="10"/>
    <n v="7"/>
    <n v="0"/>
    <n v="8"/>
    <x v="1"/>
    <s v="Mid"/>
    <n v="6281.2528616024974"/>
    <s v="Below salary"/>
    <s v="Medium Risk"/>
  </r>
  <r>
    <n v="26"/>
    <x v="1"/>
    <s v="Travel_Frequently"/>
    <n v="496"/>
    <x v="1"/>
    <n v="11"/>
    <n v="2"/>
    <s v="Medical"/>
    <n v="390"/>
    <n v="1"/>
    <x v="1"/>
    <n v="60"/>
    <n v="3"/>
    <n v="2"/>
    <x v="4"/>
    <n v="1"/>
    <s v="Married"/>
    <x v="277"/>
    <n v="22722"/>
    <n v="1"/>
    <x v="0"/>
    <n v="13"/>
    <n v="3"/>
    <n v="3"/>
    <n v="1"/>
    <n v="5"/>
    <n v="3"/>
    <n v="3"/>
    <n v="5"/>
    <n v="3"/>
    <n v="3"/>
    <n v="3"/>
    <x v="2"/>
    <s v="Mid"/>
    <n v="6281.2528616024974"/>
    <s v="Below salary"/>
    <s v="High Risk"/>
  </r>
  <r>
    <n v="37"/>
    <x v="1"/>
    <s v="Travel_Rarely"/>
    <n v="1372"/>
    <x v="1"/>
    <n v="1"/>
    <n v="3"/>
    <s v="Life Sciences"/>
    <n v="391"/>
    <n v="4"/>
    <x v="0"/>
    <n v="42"/>
    <n v="3"/>
    <n v="1"/>
    <x v="1"/>
    <n v="4"/>
    <s v="Single"/>
    <x v="278"/>
    <n v="15881"/>
    <n v="1"/>
    <x v="1"/>
    <n v="12"/>
    <n v="3"/>
    <n v="2"/>
    <n v="0"/>
    <n v="17"/>
    <n v="3"/>
    <n v="3"/>
    <n v="17"/>
    <n v="12"/>
    <n v="5"/>
    <n v="7"/>
    <x v="0"/>
    <s v="Low"/>
    <n v="6281.2528616024974"/>
    <s v="Below salary"/>
    <s v="Low Risk"/>
  </r>
  <r>
    <n v="44"/>
    <x v="0"/>
    <s v="Travel_Frequently"/>
    <n v="920"/>
    <x v="1"/>
    <n v="24"/>
    <n v="3"/>
    <s v="Life Sciences"/>
    <n v="392"/>
    <n v="4"/>
    <x v="1"/>
    <n v="43"/>
    <n v="3"/>
    <n v="1"/>
    <x v="2"/>
    <n v="3"/>
    <s v="Divorced"/>
    <x v="279"/>
    <n v="19920"/>
    <n v="3"/>
    <x v="0"/>
    <n v="22"/>
    <n v="4"/>
    <n v="4"/>
    <n v="1"/>
    <n v="19"/>
    <n v="0"/>
    <n v="1"/>
    <n v="1"/>
    <n v="0"/>
    <n v="0"/>
    <n v="0"/>
    <x v="0"/>
    <s v="Mid"/>
    <n v="6281.2528616024974"/>
    <s v="Below salary"/>
    <s v="Medium Risk"/>
  </r>
  <r>
    <n v="38"/>
    <x v="1"/>
    <s v="Travel_Rarely"/>
    <n v="688"/>
    <x v="1"/>
    <n v="23"/>
    <n v="4"/>
    <s v="Life Sciences"/>
    <n v="393"/>
    <n v="4"/>
    <x v="1"/>
    <n v="82"/>
    <n v="3"/>
    <n v="2"/>
    <x v="4"/>
    <n v="4"/>
    <s v="Divorced"/>
    <x v="280"/>
    <n v="18899"/>
    <n v="9"/>
    <x v="1"/>
    <n v="14"/>
    <n v="3"/>
    <n v="2"/>
    <n v="1"/>
    <n v="10"/>
    <n v="2"/>
    <n v="3"/>
    <n v="2"/>
    <n v="2"/>
    <n v="1"/>
    <n v="2"/>
    <x v="0"/>
    <s v="Mid"/>
    <n v="6281.2528616024974"/>
    <s v="Below salary"/>
    <s v="Low Risk"/>
  </r>
  <r>
    <n v="26"/>
    <x v="0"/>
    <s v="Travel_Rarely"/>
    <n v="1449"/>
    <x v="1"/>
    <n v="16"/>
    <n v="4"/>
    <s v="Medical"/>
    <n v="394"/>
    <n v="1"/>
    <x v="1"/>
    <n v="45"/>
    <n v="3"/>
    <n v="1"/>
    <x v="2"/>
    <n v="2"/>
    <s v="Divorced"/>
    <x v="281"/>
    <n v="14180"/>
    <n v="2"/>
    <x v="0"/>
    <n v="13"/>
    <n v="3"/>
    <n v="4"/>
    <n v="1"/>
    <n v="5"/>
    <n v="2"/>
    <n v="3"/>
    <n v="3"/>
    <n v="2"/>
    <n v="0"/>
    <n v="2"/>
    <x v="2"/>
    <s v="Low"/>
    <n v="6281.2528616024974"/>
    <s v="Below salary"/>
    <s v="High Risk"/>
  </r>
  <r>
    <n v="28"/>
    <x v="1"/>
    <s v="Travel_Rarely"/>
    <n v="1117"/>
    <x v="1"/>
    <n v="8"/>
    <n v="2"/>
    <s v="Life Sciences"/>
    <n v="395"/>
    <n v="4"/>
    <x v="0"/>
    <n v="66"/>
    <n v="3"/>
    <n v="1"/>
    <x v="1"/>
    <n v="4"/>
    <s v="Single"/>
    <x v="282"/>
    <n v="4488"/>
    <n v="1"/>
    <x v="1"/>
    <n v="21"/>
    <n v="4"/>
    <n v="4"/>
    <n v="0"/>
    <n v="5"/>
    <n v="3"/>
    <n v="3"/>
    <n v="5"/>
    <n v="3"/>
    <n v="0"/>
    <n v="2"/>
    <x v="2"/>
    <s v="Mid"/>
    <n v="6281.2528616024974"/>
    <s v="Below salary"/>
    <s v="Low Risk"/>
  </r>
  <r>
    <n v="49"/>
    <x v="1"/>
    <s v="Travel_Frequently"/>
    <n v="636"/>
    <x v="1"/>
    <n v="10"/>
    <n v="4"/>
    <s v="Life Sciences"/>
    <n v="396"/>
    <n v="3"/>
    <x v="0"/>
    <n v="35"/>
    <n v="3"/>
    <n v="5"/>
    <x v="7"/>
    <n v="1"/>
    <s v="Single"/>
    <x v="283"/>
    <n v="25594"/>
    <n v="9"/>
    <x v="0"/>
    <n v="11"/>
    <n v="3"/>
    <n v="4"/>
    <n v="0"/>
    <n v="22"/>
    <n v="4"/>
    <n v="3"/>
    <n v="3"/>
    <n v="2"/>
    <n v="1"/>
    <n v="2"/>
    <x v="1"/>
    <s v="Very High"/>
    <n v="6281.2528616024974"/>
    <s v="Above salary"/>
    <s v="High Risk"/>
  </r>
  <r>
    <n v="36"/>
    <x v="1"/>
    <s v="Travel_Rarely"/>
    <n v="506"/>
    <x v="1"/>
    <n v="3"/>
    <n v="3"/>
    <s v="Technical Degree"/>
    <n v="397"/>
    <n v="3"/>
    <x v="1"/>
    <n v="30"/>
    <n v="3"/>
    <n v="2"/>
    <x v="1"/>
    <n v="2"/>
    <s v="Single"/>
    <x v="284"/>
    <n v="26285"/>
    <n v="4"/>
    <x v="1"/>
    <n v="12"/>
    <n v="3"/>
    <n v="4"/>
    <n v="0"/>
    <n v="10"/>
    <n v="2"/>
    <n v="3"/>
    <n v="8"/>
    <n v="0"/>
    <n v="7"/>
    <n v="7"/>
    <x v="0"/>
    <s v="Mid"/>
    <n v="6281.2528616024974"/>
    <s v="Below salary"/>
    <s v="Medium Risk"/>
  </r>
  <r>
    <n v="31"/>
    <x v="1"/>
    <s v="Travel_Frequently"/>
    <n v="444"/>
    <x v="0"/>
    <n v="5"/>
    <n v="3"/>
    <s v="Marketing"/>
    <n v="399"/>
    <n v="4"/>
    <x v="0"/>
    <n v="84"/>
    <n v="3"/>
    <n v="1"/>
    <x v="6"/>
    <n v="2"/>
    <s v="Divorced"/>
    <x v="285"/>
    <n v="3909"/>
    <n v="1"/>
    <x v="1"/>
    <n v="11"/>
    <n v="3"/>
    <n v="3"/>
    <n v="1"/>
    <n v="2"/>
    <n v="5"/>
    <n v="2"/>
    <n v="2"/>
    <n v="2"/>
    <n v="2"/>
    <n v="2"/>
    <x v="2"/>
    <s v="Low"/>
    <n v="6959.17264573991"/>
    <s v="Below salary"/>
    <s v="Medium Risk"/>
  </r>
  <r>
    <n v="26"/>
    <x v="0"/>
    <s v="Travel_Rarely"/>
    <n v="950"/>
    <x v="0"/>
    <n v="4"/>
    <n v="4"/>
    <s v="Marketing"/>
    <n v="401"/>
    <n v="4"/>
    <x v="1"/>
    <n v="48"/>
    <n v="2"/>
    <n v="2"/>
    <x v="0"/>
    <n v="4"/>
    <s v="Single"/>
    <x v="286"/>
    <n v="8450"/>
    <n v="1"/>
    <x v="0"/>
    <n v="12"/>
    <n v="3"/>
    <n v="2"/>
    <n v="0"/>
    <n v="8"/>
    <n v="0"/>
    <n v="3"/>
    <n v="8"/>
    <n v="7"/>
    <n v="7"/>
    <n v="4"/>
    <x v="2"/>
    <s v="Mid"/>
    <n v="6959.17264573991"/>
    <s v="Below salary"/>
    <s v="Medium Risk"/>
  </r>
  <r>
    <n v="37"/>
    <x v="1"/>
    <s v="Travel_Frequently"/>
    <n v="889"/>
    <x v="1"/>
    <n v="9"/>
    <n v="3"/>
    <s v="Medical"/>
    <n v="403"/>
    <n v="2"/>
    <x v="1"/>
    <n v="53"/>
    <n v="3"/>
    <n v="1"/>
    <x v="1"/>
    <n v="4"/>
    <s v="Married"/>
    <x v="287"/>
    <n v="11411"/>
    <n v="1"/>
    <x v="0"/>
    <n v="12"/>
    <n v="3"/>
    <n v="3"/>
    <n v="3"/>
    <n v="4"/>
    <n v="3"/>
    <n v="2"/>
    <n v="4"/>
    <n v="2"/>
    <n v="1"/>
    <n v="2"/>
    <x v="0"/>
    <s v="Low"/>
    <n v="6281.2528616024974"/>
    <s v="Below salary"/>
    <s v="Medium Risk"/>
  </r>
  <r>
    <n v="42"/>
    <x v="1"/>
    <s v="Travel_Frequently"/>
    <n v="555"/>
    <x v="0"/>
    <n v="26"/>
    <n v="3"/>
    <s v="Marketing"/>
    <n v="404"/>
    <n v="3"/>
    <x v="0"/>
    <n v="77"/>
    <n v="3"/>
    <n v="4"/>
    <x v="0"/>
    <n v="2"/>
    <s v="Married"/>
    <x v="288"/>
    <n v="14864"/>
    <n v="5"/>
    <x v="1"/>
    <n v="14"/>
    <n v="3"/>
    <n v="4"/>
    <n v="1"/>
    <n v="23"/>
    <n v="2"/>
    <n v="4"/>
    <n v="20"/>
    <n v="4"/>
    <n v="4"/>
    <n v="8"/>
    <x v="0"/>
    <s v="Very High"/>
    <n v="6959.17264573991"/>
    <s v="Above salary"/>
    <s v="Medium Risk"/>
  </r>
  <r>
    <n v="18"/>
    <x v="0"/>
    <s v="Travel_Rarely"/>
    <n v="230"/>
    <x v="1"/>
    <n v="3"/>
    <n v="3"/>
    <s v="Life Sciences"/>
    <n v="405"/>
    <n v="3"/>
    <x v="1"/>
    <n v="54"/>
    <n v="3"/>
    <n v="1"/>
    <x v="2"/>
    <n v="3"/>
    <s v="Single"/>
    <x v="289"/>
    <n v="25233"/>
    <n v="1"/>
    <x v="1"/>
    <n v="13"/>
    <n v="3"/>
    <n v="3"/>
    <n v="0"/>
    <n v="0"/>
    <n v="2"/>
    <n v="3"/>
    <n v="0"/>
    <n v="0"/>
    <n v="0"/>
    <n v="0"/>
    <x v="3"/>
    <s v="Low"/>
    <n v="6281.2528616024974"/>
    <s v="Below salary"/>
    <s v="Low Risk"/>
  </r>
  <r>
    <n v="35"/>
    <x v="1"/>
    <s v="Travel_Rarely"/>
    <n v="1232"/>
    <x v="0"/>
    <n v="16"/>
    <n v="3"/>
    <s v="Marketing"/>
    <n v="406"/>
    <n v="3"/>
    <x v="1"/>
    <n v="96"/>
    <n v="3"/>
    <n v="3"/>
    <x v="0"/>
    <n v="2"/>
    <s v="Married"/>
    <x v="290"/>
    <n v="5100"/>
    <n v="0"/>
    <x v="1"/>
    <n v="15"/>
    <n v="3"/>
    <n v="3"/>
    <n v="2"/>
    <n v="12"/>
    <n v="3"/>
    <n v="2"/>
    <n v="11"/>
    <n v="9"/>
    <n v="6"/>
    <n v="9"/>
    <x v="2"/>
    <s v="High"/>
    <n v="6959.17264573991"/>
    <s v="Above salary"/>
    <s v="Medium Risk"/>
  </r>
  <r>
    <n v="36"/>
    <x v="1"/>
    <s v="Travel_Frequently"/>
    <n v="566"/>
    <x v="1"/>
    <n v="18"/>
    <n v="4"/>
    <s v="Life Sciences"/>
    <n v="407"/>
    <n v="3"/>
    <x v="1"/>
    <n v="81"/>
    <n v="4"/>
    <n v="1"/>
    <x v="2"/>
    <n v="4"/>
    <s v="Married"/>
    <x v="291"/>
    <n v="7122"/>
    <n v="4"/>
    <x v="1"/>
    <n v="18"/>
    <n v="3"/>
    <n v="4"/>
    <n v="2"/>
    <n v="4"/>
    <n v="2"/>
    <n v="3"/>
    <n v="1"/>
    <n v="0"/>
    <n v="0"/>
    <n v="0"/>
    <x v="0"/>
    <s v="Mid"/>
    <n v="6281.2528616024974"/>
    <s v="Below salary"/>
    <s v="Low Risk"/>
  </r>
  <r>
    <n v="51"/>
    <x v="1"/>
    <s v="Travel_Rarely"/>
    <n v="1302"/>
    <x v="1"/>
    <n v="2"/>
    <n v="3"/>
    <s v="Medical"/>
    <n v="408"/>
    <n v="4"/>
    <x v="1"/>
    <n v="84"/>
    <n v="1"/>
    <n v="2"/>
    <x v="3"/>
    <n v="2"/>
    <s v="Divorced"/>
    <x v="292"/>
    <n v="16321"/>
    <n v="5"/>
    <x v="1"/>
    <n v="18"/>
    <n v="3"/>
    <n v="4"/>
    <n v="1"/>
    <n v="13"/>
    <n v="3"/>
    <n v="3"/>
    <n v="4"/>
    <n v="1"/>
    <n v="1"/>
    <n v="2"/>
    <x v="1"/>
    <s v="Mid"/>
    <n v="6281.2528616024974"/>
    <s v="Below salary"/>
    <s v="Medium Risk"/>
  </r>
  <r>
    <n v="41"/>
    <x v="1"/>
    <s v="Travel_Rarely"/>
    <n v="334"/>
    <x v="0"/>
    <n v="2"/>
    <n v="4"/>
    <s v="Life Sciences"/>
    <n v="410"/>
    <n v="4"/>
    <x v="1"/>
    <n v="88"/>
    <n v="3"/>
    <n v="4"/>
    <x v="5"/>
    <n v="2"/>
    <s v="Single"/>
    <x v="293"/>
    <n v="15896"/>
    <n v="1"/>
    <x v="1"/>
    <n v="19"/>
    <n v="3"/>
    <n v="2"/>
    <n v="0"/>
    <n v="22"/>
    <n v="2"/>
    <n v="3"/>
    <n v="22"/>
    <n v="10"/>
    <n v="0"/>
    <n v="4"/>
    <x v="0"/>
    <s v="Very High"/>
    <n v="6959.17264573991"/>
    <s v="Above salary"/>
    <s v="Medium Risk"/>
  </r>
  <r>
    <n v="18"/>
    <x v="1"/>
    <s v="Travel_Rarely"/>
    <n v="812"/>
    <x v="0"/>
    <n v="10"/>
    <n v="3"/>
    <s v="Medical"/>
    <n v="411"/>
    <n v="4"/>
    <x v="0"/>
    <n v="69"/>
    <n v="2"/>
    <n v="1"/>
    <x v="6"/>
    <n v="3"/>
    <s v="Single"/>
    <x v="294"/>
    <n v="9724"/>
    <n v="1"/>
    <x v="1"/>
    <n v="12"/>
    <n v="3"/>
    <n v="1"/>
    <n v="0"/>
    <n v="0"/>
    <n v="2"/>
    <n v="3"/>
    <n v="0"/>
    <n v="0"/>
    <n v="0"/>
    <n v="0"/>
    <x v="3"/>
    <s v="Low"/>
    <n v="6959.17264573991"/>
    <s v="Below salary"/>
    <s v="Low Risk"/>
  </r>
  <r>
    <n v="28"/>
    <x v="1"/>
    <s v="Travel_Rarely"/>
    <n v="1476"/>
    <x v="1"/>
    <n v="16"/>
    <n v="2"/>
    <s v="Medical"/>
    <n v="412"/>
    <n v="2"/>
    <x v="1"/>
    <n v="68"/>
    <n v="4"/>
    <n v="2"/>
    <x v="4"/>
    <n v="1"/>
    <s v="Single"/>
    <x v="295"/>
    <n v="4824"/>
    <n v="0"/>
    <x v="1"/>
    <n v="19"/>
    <n v="3"/>
    <n v="3"/>
    <n v="0"/>
    <n v="9"/>
    <n v="2"/>
    <n v="3"/>
    <n v="8"/>
    <n v="3"/>
    <n v="0"/>
    <n v="7"/>
    <x v="2"/>
    <s v="Mid"/>
    <n v="6281.2528616024974"/>
    <s v="Below salary"/>
    <s v="Medium Risk"/>
  </r>
  <r>
    <n v="31"/>
    <x v="1"/>
    <s v="Travel_Rarely"/>
    <n v="218"/>
    <x v="0"/>
    <n v="7"/>
    <n v="3"/>
    <s v="Technical Degree"/>
    <n v="416"/>
    <n v="2"/>
    <x v="1"/>
    <n v="100"/>
    <n v="4"/>
    <n v="2"/>
    <x v="0"/>
    <n v="4"/>
    <s v="Married"/>
    <x v="296"/>
    <n v="12241"/>
    <n v="4"/>
    <x v="1"/>
    <n v="11"/>
    <n v="3"/>
    <n v="2"/>
    <n v="1"/>
    <n v="10"/>
    <n v="3"/>
    <n v="2"/>
    <n v="8"/>
    <n v="7"/>
    <n v="7"/>
    <n v="7"/>
    <x v="2"/>
    <s v="Mid"/>
    <n v="6959.17264573991"/>
    <s v="Below salary"/>
    <s v="Low Risk"/>
  </r>
  <r>
    <n v="39"/>
    <x v="1"/>
    <s v="Travel_Rarely"/>
    <n v="1132"/>
    <x v="1"/>
    <n v="1"/>
    <n v="3"/>
    <s v="Medical"/>
    <n v="417"/>
    <n v="3"/>
    <x v="1"/>
    <n v="48"/>
    <n v="4"/>
    <n v="3"/>
    <x v="4"/>
    <n v="4"/>
    <s v="Divorced"/>
    <x v="297"/>
    <n v="10942"/>
    <n v="0"/>
    <x v="1"/>
    <n v="17"/>
    <n v="3"/>
    <n v="1"/>
    <n v="3"/>
    <n v="19"/>
    <n v="5"/>
    <n v="2"/>
    <n v="18"/>
    <n v="10"/>
    <n v="3"/>
    <n v="7"/>
    <x v="0"/>
    <s v="High"/>
    <n v="6281.2528616024974"/>
    <s v="Above salary"/>
    <s v="Low Risk"/>
  </r>
  <r>
    <n v="36"/>
    <x v="1"/>
    <s v="Non-Travel"/>
    <n v="1105"/>
    <x v="1"/>
    <n v="24"/>
    <n v="4"/>
    <s v="Life Sciences"/>
    <n v="419"/>
    <n v="2"/>
    <x v="0"/>
    <n v="47"/>
    <n v="3"/>
    <n v="2"/>
    <x v="2"/>
    <n v="2"/>
    <s v="Married"/>
    <x v="298"/>
    <n v="6927"/>
    <n v="7"/>
    <x v="1"/>
    <n v="15"/>
    <n v="3"/>
    <n v="3"/>
    <n v="1"/>
    <n v="11"/>
    <n v="3"/>
    <n v="3"/>
    <n v="9"/>
    <n v="8"/>
    <n v="0"/>
    <n v="8"/>
    <x v="0"/>
    <s v="Mid"/>
    <n v="6281.2528616024974"/>
    <s v="Below salary"/>
    <s v="Medium Risk"/>
  </r>
  <r>
    <n v="32"/>
    <x v="1"/>
    <s v="Travel_Rarely"/>
    <n v="906"/>
    <x v="0"/>
    <n v="7"/>
    <n v="3"/>
    <s v="Life Sciences"/>
    <n v="420"/>
    <n v="4"/>
    <x v="1"/>
    <n v="91"/>
    <n v="2"/>
    <n v="2"/>
    <x v="0"/>
    <n v="3"/>
    <s v="Married"/>
    <x v="299"/>
    <n v="16985"/>
    <n v="1"/>
    <x v="1"/>
    <n v="14"/>
    <n v="3"/>
    <n v="3"/>
    <n v="1"/>
    <n v="13"/>
    <n v="3"/>
    <n v="2"/>
    <n v="13"/>
    <n v="8"/>
    <n v="4"/>
    <n v="8"/>
    <x v="2"/>
    <s v="Mid"/>
    <n v="6959.17264573991"/>
    <s v="Below salary"/>
    <s v="Low Risk"/>
  </r>
  <r>
    <n v="38"/>
    <x v="1"/>
    <s v="Travel_Rarely"/>
    <n v="849"/>
    <x v="1"/>
    <n v="25"/>
    <n v="2"/>
    <s v="Life Sciences"/>
    <n v="421"/>
    <n v="1"/>
    <x v="0"/>
    <n v="81"/>
    <n v="2"/>
    <n v="3"/>
    <x v="7"/>
    <n v="2"/>
    <s v="Married"/>
    <x v="300"/>
    <n v="26707"/>
    <n v="3"/>
    <x v="1"/>
    <n v="17"/>
    <n v="3"/>
    <n v="3"/>
    <n v="1"/>
    <n v="19"/>
    <n v="2"/>
    <n v="3"/>
    <n v="10"/>
    <n v="8"/>
    <n v="0"/>
    <n v="1"/>
    <x v="0"/>
    <s v="Very High"/>
    <n v="6281.2528616024974"/>
    <s v="Above salary"/>
    <s v="Medium Risk"/>
  </r>
  <r>
    <n v="58"/>
    <x v="1"/>
    <s v="Non-Travel"/>
    <n v="390"/>
    <x v="1"/>
    <n v="1"/>
    <n v="4"/>
    <s v="Life Sciences"/>
    <n v="422"/>
    <n v="4"/>
    <x v="1"/>
    <n v="32"/>
    <n v="1"/>
    <n v="2"/>
    <x v="4"/>
    <n v="3"/>
    <s v="Divorced"/>
    <x v="301"/>
    <n v="17056"/>
    <n v="2"/>
    <x v="0"/>
    <n v="13"/>
    <n v="3"/>
    <n v="4"/>
    <n v="1"/>
    <n v="12"/>
    <n v="2"/>
    <n v="3"/>
    <n v="5"/>
    <n v="3"/>
    <n v="1"/>
    <n v="2"/>
    <x v="1"/>
    <s v="Mid"/>
    <n v="6281.2528616024974"/>
    <s v="Below salary"/>
    <s v="Medium Risk"/>
  </r>
  <r>
    <n v="31"/>
    <x v="1"/>
    <s v="Travel_Rarely"/>
    <n v="691"/>
    <x v="1"/>
    <n v="5"/>
    <n v="4"/>
    <s v="Technical Degree"/>
    <n v="423"/>
    <n v="3"/>
    <x v="1"/>
    <n v="86"/>
    <n v="3"/>
    <n v="1"/>
    <x v="1"/>
    <n v="4"/>
    <s v="Married"/>
    <x v="302"/>
    <n v="10077"/>
    <n v="0"/>
    <x v="0"/>
    <n v="12"/>
    <n v="3"/>
    <n v="3"/>
    <n v="1"/>
    <n v="6"/>
    <n v="4"/>
    <n v="3"/>
    <n v="5"/>
    <n v="2"/>
    <n v="0"/>
    <n v="3"/>
    <x v="2"/>
    <s v="Mid"/>
    <n v="6281.2528616024974"/>
    <s v="Below salary"/>
    <s v="Medium Risk"/>
  </r>
  <r>
    <n v="31"/>
    <x v="1"/>
    <s v="Travel_Rarely"/>
    <n v="106"/>
    <x v="2"/>
    <n v="2"/>
    <n v="3"/>
    <s v="Human Resources"/>
    <n v="424"/>
    <n v="1"/>
    <x v="1"/>
    <n v="62"/>
    <n v="2"/>
    <n v="2"/>
    <x v="8"/>
    <n v="1"/>
    <s v="Married"/>
    <x v="303"/>
    <n v="17822"/>
    <n v="3"/>
    <x v="1"/>
    <n v="12"/>
    <n v="3"/>
    <n v="4"/>
    <n v="0"/>
    <n v="9"/>
    <n v="1"/>
    <n v="3"/>
    <n v="2"/>
    <n v="2"/>
    <n v="1"/>
    <n v="0"/>
    <x v="2"/>
    <s v="Mid"/>
    <n v="6654.5079365079364"/>
    <s v="Below salary"/>
    <s v="Medium Risk"/>
  </r>
  <r>
    <n v="45"/>
    <x v="1"/>
    <s v="Travel_Frequently"/>
    <n v="1249"/>
    <x v="1"/>
    <n v="7"/>
    <n v="3"/>
    <s v="Life Sciences"/>
    <n v="425"/>
    <n v="1"/>
    <x v="1"/>
    <n v="97"/>
    <n v="3"/>
    <n v="3"/>
    <x v="2"/>
    <n v="1"/>
    <s v="Divorced"/>
    <x v="304"/>
    <n v="20308"/>
    <n v="1"/>
    <x v="1"/>
    <n v="18"/>
    <n v="3"/>
    <n v="1"/>
    <n v="1"/>
    <n v="24"/>
    <n v="2"/>
    <n v="3"/>
    <n v="24"/>
    <n v="9"/>
    <n v="9"/>
    <n v="11"/>
    <x v="0"/>
    <s v="Mid"/>
    <n v="6281.2528616024974"/>
    <s v="Below salary"/>
    <s v="Medium Risk"/>
  </r>
  <r>
    <n v="31"/>
    <x v="1"/>
    <s v="Travel_Rarely"/>
    <n v="192"/>
    <x v="1"/>
    <n v="2"/>
    <n v="4"/>
    <s v="Life Sciences"/>
    <n v="426"/>
    <n v="3"/>
    <x v="1"/>
    <n v="32"/>
    <n v="3"/>
    <n v="1"/>
    <x v="1"/>
    <n v="4"/>
    <s v="Divorced"/>
    <x v="305"/>
    <n v="7747"/>
    <n v="0"/>
    <x v="0"/>
    <n v="18"/>
    <n v="3"/>
    <n v="2"/>
    <n v="1"/>
    <n v="3"/>
    <n v="2"/>
    <n v="1"/>
    <n v="2"/>
    <n v="2"/>
    <n v="2"/>
    <n v="2"/>
    <x v="2"/>
    <s v="Low"/>
    <n v="6281.2528616024974"/>
    <s v="Below salary"/>
    <s v="Medium Risk"/>
  </r>
  <r>
    <n v="33"/>
    <x v="1"/>
    <s v="Travel_Frequently"/>
    <n v="553"/>
    <x v="1"/>
    <n v="5"/>
    <n v="4"/>
    <s v="Life Sciences"/>
    <n v="428"/>
    <n v="4"/>
    <x v="0"/>
    <n v="74"/>
    <n v="3"/>
    <n v="3"/>
    <x v="5"/>
    <n v="2"/>
    <s v="Married"/>
    <x v="306"/>
    <n v="23364"/>
    <n v="6"/>
    <x v="1"/>
    <n v="11"/>
    <n v="3"/>
    <n v="2"/>
    <n v="2"/>
    <n v="12"/>
    <n v="2"/>
    <n v="3"/>
    <n v="10"/>
    <n v="6"/>
    <n v="8"/>
    <n v="8"/>
    <x v="2"/>
    <s v="High"/>
    <n v="6281.2528616024974"/>
    <s v="Above salary"/>
    <s v="Medium Risk"/>
  </r>
  <r>
    <n v="39"/>
    <x v="1"/>
    <s v="Travel_Rarely"/>
    <n v="117"/>
    <x v="1"/>
    <n v="10"/>
    <n v="1"/>
    <s v="Medical"/>
    <n v="429"/>
    <n v="3"/>
    <x v="1"/>
    <n v="99"/>
    <n v="3"/>
    <n v="4"/>
    <x v="5"/>
    <n v="1"/>
    <s v="Married"/>
    <x v="307"/>
    <n v="5355"/>
    <n v="1"/>
    <x v="0"/>
    <n v="14"/>
    <n v="3"/>
    <n v="4"/>
    <n v="0"/>
    <n v="21"/>
    <n v="3"/>
    <n v="3"/>
    <n v="21"/>
    <n v="9"/>
    <n v="11"/>
    <n v="10"/>
    <x v="0"/>
    <s v="Very High"/>
    <n v="6281.2528616024974"/>
    <s v="Above salary"/>
    <s v="High Risk"/>
  </r>
  <r>
    <n v="43"/>
    <x v="1"/>
    <s v="Travel_Frequently"/>
    <n v="185"/>
    <x v="1"/>
    <n v="10"/>
    <n v="4"/>
    <s v="Life Sciences"/>
    <n v="430"/>
    <n v="3"/>
    <x v="0"/>
    <n v="33"/>
    <n v="3"/>
    <n v="1"/>
    <x v="2"/>
    <n v="4"/>
    <s v="Single"/>
    <x v="308"/>
    <n v="10675"/>
    <n v="0"/>
    <x v="1"/>
    <n v="19"/>
    <n v="3"/>
    <n v="1"/>
    <n v="0"/>
    <n v="9"/>
    <n v="5"/>
    <n v="3"/>
    <n v="8"/>
    <n v="7"/>
    <n v="1"/>
    <n v="7"/>
    <x v="0"/>
    <s v="Low"/>
    <n v="6281.2528616024974"/>
    <s v="Below salary"/>
    <s v="Low Risk"/>
  </r>
  <r>
    <n v="49"/>
    <x v="1"/>
    <s v="Travel_Rarely"/>
    <n v="1091"/>
    <x v="1"/>
    <n v="1"/>
    <n v="2"/>
    <s v="Technical Degree"/>
    <n v="431"/>
    <n v="3"/>
    <x v="0"/>
    <n v="90"/>
    <n v="2"/>
    <n v="4"/>
    <x v="4"/>
    <n v="3"/>
    <s v="Single"/>
    <x v="309"/>
    <n v="17810"/>
    <n v="7"/>
    <x v="0"/>
    <n v="12"/>
    <n v="3"/>
    <n v="4"/>
    <n v="0"/>
    <n v="25"/>
    <n v="2"/>
    <n v="3"/>
    <n v="7"/>
    <n v="1"/>
    <n v="0"/>
    <n v="7"/>
    <x v="1"/>
    <s v="Very High"/>
    <n v="6281.2528616024974"/>
    <s v="Above salary"/>
    <s v="Medium Risk"/>
  </r>
  <r>
    <n v="52"/>
    <x v="0"/>
    <s v="Travel_Rarely"/>
    <n v="723"/>
    <x v="1"/>
    <n v="8"/>
    <n v="4"/>
    <s v="Medical"/>
    <n v="433"/>
    <n v="3"/>
    <x v="1"/>
    <n v="85"/>
    <n v="2"/>
    <n v="2"/>
    <x v="1"/>
    <n v="2"/>
    <s v="Married"/>
    <x v="132"/>
    <n v="17747"/>
    <n v="2"/>
    <x v="1"/>
    <n v="15"/>
    <n v="3"/>
    <n v="1"/>
    <n v="0"/>
    <n v="11"/>
    <n v="3"/>
    <n v="2"/>
    <n v="8"/>
    <n v="2"/>
    <n v="7"/>
    <n v="7"/>
    <x v="1"/>
    <s v="Mid"/>
    <n v="6281.2528616024974"/>
    <s v="Below salary"/>
    <s v="Medium Risk"/>
  </r>
  <r>
    <n v="27"/>
    <x v="1"/>
    <s v="Travel_Rarely"/>
    <n v="1220"/>
    <x v="1"/>
    <n v="5"/>
    <n v="3"/>
    <s v="Life Sciences"/>
    <n v="434"/>
    <n v="3"/>
    <x v="0"/>
    <n v="85"/>
    <n v="3"/>
    <n v="1"/>
    <x v="1"/>
    <n v="2"/>
    <s v="Single"/>
    <x v="310"/>
    <n v="20938"/>
    <n v="1"/>
    <x v="0"/>
    <n v="12"/>
    <n v="3"/>
    <n v="2"/>
    <n v="0"/>
    <n v="4"/>
    <n v="2"/>
    <n v="2"/>
    <n v="4"/>
    <n v="3"/>
    <n v="1"/>
    <n v="2"/>
    <x v="2"/>
    <s v="Low"/>
    <n v="6281.2528616024974"/>
    <s v="Below salary"/>
    <s v="High Risk"/>
  </r>
  <r>
    <n v="32"/>
    <x v="1"/>
    <s v="Travel_Rarely"/>
    <n v="588"/>
    <x v="0"/>
    <n v="8"/>
    <n v="2"/>
    <s v="Technical Degree"/>
    <n v="436"/>
    <n v="3"/>
    <x v="0"/>
    <n v="65"/>
    <n v="2"/>
    <n v="2"/>
    <x v="0"/>
    <n v="2"/>
    <s v="Married"/>
    <x v="311"/>
    <n v="24624"/>
    <n v="1"/>
    <x v="0"/>
    <n v="11"/>
    <n v="3"/>
    <n v="4"/>
    <n v="0"/>
    <n v="13"/>
    <n v="2"/>
    <n v="3"/>
    <n v="13"/>
    <n v="12"/>
    <n v="11"/>
    <n v="9"/>
    <x v="2"/>
    <s v="Mid"/>
    <n v="6959.17264573991"/>
    <s v="Below salary"/>
    <s v="High Risk"/>
  </r>
  <r>
    <n v="27"/>
    <x v="1"/>
    <s v="Travel_Rarely"/>
    <n v="1377"/>
    <x v="0"/>
    <n v="2"/>
    <n v="3"/>
    <s v="Life Sciences"/>
    <n v="437"/>
    <n v="4"/>
    <x v="1"/>
    <n v="74"/>
    <n v="3"/>
    <n v="2"/>
    <x v="0"/>
    <n v="3"/>
    <s v="Single"/>
    <x v="312"/>
    <n v="5242"/>
    <n v="1"/>
    <x v="0"/>
    <n v="11"/>
    <n v="3"/>
    <n v="1"/>
    <n v="0"/>
    <n v="5"/>
    <n v="3"/>
    <n v="3"/>
    <n v="5"/>
    <n v="4"/>
    <n v="0"/>
    <n v="4"/>
    <x v="2"/>
    <s v="Mid"/>
    <n v="6959.17264573991"/>
    <s v="Below salary"/>
    <s v="Medium Risk"/>
  </r>
  <r>
    <n v="31"/>
    <x v="1"/>
    <s v="Travel_Rarely"/>
    <n v="691"/>
    <x v="0"/>
    <n v="7"/>
    <n v="3"/>
    <s v="Marketing"/>
    <n v="438"/>
    <n v="4"/>
    <x v="1"/>
    <n v="73"/>
    <n v="3"/>
    <n v="2"/>
    <x v="0"/>
    <n v="4"/>
    <s v="Divorced"/>
    <x v="313"/>
    <n v="7143"/>
    <n v="4"/>
    <x v="1"/>
    <n v="12"/>
    <n v="3"/>
    <n v="4"/>
    <n v="3"/>
    <n v="13"/>
    <n v="3"/>
    <n v="3"/>
    <n v="7"/>
    <n v="7"/>
    <n v="1"/>
    <n v="7"/>
    <x v="2"/>
    <s v="High"/>
    <n v="6959.17264573991"/>
    <s v="Above salary"/>
    <s v="Low Risk"/>
  </r>
  <r>
    <n v="32"/>
    <x v="1"/>
    <s v="Travel_Rarely"/>
    <n v="1018"/>
    <x v="1"/>
    <n v="2"/>
    <n v="4"/>
    <s v="Medical"/>
    <n v="439"/>
    <n v="1"/>
    <x v="0"/>
    <n v="74"/>
    <n v="4"/>
    <n v="2"/>
    <x v="1"/>
    <n v="4"/>
    <s v="Single"/>
    <x v="314"/>
    <n v="10557"/>
    <n v="7"/>
    <x v="1"/>
    <n v="16"/>
    <n v="3"/>
    <n v="3"/>
    <n v="0"/>
    <n v="10"/>
    <n v="0"/>
    <n v="2"/>
    <n v="7"/>
    <n v="7"/>
    <n v="0"/>
    <n v="7"/>
    <x v="2"/>
    <s v="Mid"/>
    <n v="6281.2528616024974"/>
    <s v="Below salary"/>
    <s v="Low Risk"/>
  </r>
  <r>
    <n v="28"/>
    <x v="0"/>
    <s v="Travel_Rarely"/>
    <n v="1157"/>
    <x v="1"/>
    <n v="2"/>
    <n v="4"/>
    <s v="Medical"/>
    <n v="440"/>
    <n v="1"/>
    <x v="1"/>
    <n v="84"/>
    <n v="1"/>
    <n v="1"/>
    <x v="1"/>
    <n v="4"/>
    <s v="Married"/>
    <x v="315"/>
    <n v="24737"/>
    <n v="5"/>
    <x v="0"/>
    <n v="13"/>
    <n v="3"/>
    <n v="4"/>
    <n v="0"/>
    <n v="5"/>
    <n v="4"/>
    <n v="2"/>
    <n v="3"/>
    <n v="2"/>
    <n v="2"/>
    <n v="2"/>
    <x v="2"/>
    <s v="Mid"/>
    <n v="6281.2528616024974"/>
    <s v="Below salary"/>
    <s v="Medium Risk"/>
  </r>
  <r>
    <n v="30"/>
    <x v="1"/>
    <s v="Travel_Rarely"/>
    <n v="1275"/>
    <x v="1"/>
    <n v="28"/>
    <n v="2"/>
    <s v="Medical"/>
    <n v="441"/>
    <n v="4"/>
    <x v="0"/>
    <n v="64"/>
    <n v="3"/>
    <n v="2"/>
    <x v="1"/>
    <n v="4"/>
    <s v="Married"/>
    <x v="316"/>
    <n v="11934"/>
    <n v="1"/>
    <x v="1"/>
    <n v="13"/>
    <n v="3"/>
    <n v="4"/>
    <n v="2"/>
    <n v="11"/>
    <n v="2"/>
    <n v="3"/>
    <n v="10"/>
    <n v="8"/>
    <n v="1"/>
    <n v="9"/>
    <x v="2"/>
    <s v="Mid"/>
    <n v="6281.2528616024974"/>
    <s v="Below salary"/>
    <s v="Low Risk"/>
  </r>
  <r>
    <n v="31"/>
    <x v="1"/>
    <s v="Travel_Frequently"/>
    <n v="798"/>
    <x v="1"/>
    <n v="7"/>
    <n v="2"/>
    <s v="Life Sciences"/>
    <n v="442"/>
    <n v="3"/>
    <x v="0"/>
    <n v="48"/>
    <n v="2"/>
    <n v="3"/>
    <x v="3"/>
    <n v="3"/>
    <s v="Married"/>
    <x v="317"/>
    <n v="14034"/>
    <n v="1"/>
    <x v="1"/>
    <n v="24"/>
    <n v="4"/>
    <n v="1"/>
    <n v="1"/>
    <n v="10"/>
    <n v="2"/>
    <n v="3"/>
    <n v="10"/>
    <n v="9"/>
    <n v="8"/>
    <n v="9"/>
    <x v="2"/>
    <s v="High"/>
    <n v="6281.2528616024974"/>
    <s v="Above salary"/>
    <s v="Low Risk"/>
  </r>
  <r>
    <n v="39"/>
    <x v="1"/>
    <s v="Travel_Frequently"/>
    <n v="672"/>
    <x v="1"/>
    <n v="7"/>
    <n v="2"/>
    <s v="Medical"/>
    <n v="444"/>
    <n v="3"/>
    <x v="1"/>
    <n v="54"/>
    <n v="2"/>
    <n v="5"/>
    <x v="5"/>
    <n v="4"/>
    <s v="Married"/>
    <x v="318"/>
    <n v="21141"/>
    <n v="1"/>
    <x v="1"/>
    <n v="15"/>
    <n v="3"/>
    <n v="1"/>
    <n v="1"/>
    <n v="21"/>
    <n v="2"/>
    <n v="3"/>
    <n v="21"/>
    <n v="9"/>
    <n v="13"/>
    <n v="3"/>
    <x v="0"/>
    <s v="Very High"/>
    <n v="6281.2528616024974"/>
    <s v="Above salary"/>
    <s v="Low Risk"/>
  </r>
  <r>
    <n v="39"/>
    <x v="0"/>
    <s v="Travel_Rarely"/>
    <n v="1162"/>
    <x v="0"/>
    <n v="3"/>
    <n v="2"/>
    <s v="Medical"/>
    <n v="445"/>
    <n v="4"/>
    <x v="0"/>
    <n v="41"/>
    <n v="3"/>
    <n v="2"/>
    <x v="0"/>
    <n v="3"/>
    <s v="Married"/>
    <x v="319"/>
    <n v="17778"/>
    <n v="4"/>
    <x v="0"/>
    <n v="18"/>
    <n v="3"/>
    <n v="1"/>
    <n v="0"/>
    <n v="12"/>
    <n v="3"/>
    <n v="2"/>
    <n v="1"/>
    <n v="0"/>
    <n v="0"/>
    <n v="0"/>
    <x v="0"/>
    <s v="Mid"/>
    <n v="6959.17264573991"/>
    <s v="Below salary"/>
    <s v="Medium Risk"/>
  </r>
  <r>
    <n v="33"/>
    <x v="1"/>
    <s v="Travel_Frequently"/>
    <n v="508"/>
    <x v="0"/>
    <n v="10"/>
    <n v="3"/>
    <s v="Marketing"/>
    <n v="446"/>
    <n v="2"/>
    <x v="1"/>
    <n v="46"/>
    <n v="2"/>
    <n v="2"/>
    <x v="0"/>
    <n v="4"/>
    <s v="Single"/>
    <x v="320"/>
    <n v="4317"/>
    <n v="3"/>
    <x v="1"/>
    <n v="14"/>
    <n v="3"/>
    <n v="3"/>
    <n v="0"/>
    <n v="9"/>
    <n v="6"/>
    <n v="2"/>
    <n v="7"/>
    <n v="7"/>
    <n v="0"/>
    <n v="1"/>
    <x v="2"/>
    <s v="Mid"/>
    <n v="6959.17264573991"/>
    <s v="Below salary"/>
    <s v="Low Risk"/>
  </r>
  <r>
    <n v="47"/>
    <x v="1"/>
    <s v="Travel_Rarely"/>
    <n v="1482"/>
    <x v="1"/>
    <n v="5"/>
    <n v="5"/>
    <s v="Life Sciences"/>
    <n v="447"/>
    <n v="4"/>
    <x v="1"/>
    <n v="42"/>
    <n v="3"/>
    <n v="5"/>
    <x v="7"/>
    <n v="3"/>
    <s v="Married"/>
    <x v="321"/>
    <n v="16375"/>
    <n v="4"/>
    <x v="1"/>
    <n v="11"/>
    <n v="3"/>
    <n v="2"/>
    <n v="1"/>
    <n v="21"/>
    <n v="2"/>
    <n v="3"/>
    <n v="3"/>
    <n v="2"/>
    <n v="1"/>
    <n v="1"/>
    <x v="1"/>
    <s v="Very High"/>
    <n v="6281.2528616024974"/>
    <s v="Above salary"/>
    <s v="Low Risk"/>
  </r>
  <r>
    <n v="43"/>
    <x v="1"/>
    <s v="Travel_Frequently"/>
    <n v="559"/>
    <x v="1"/>
    <n v="10"/>
    <n v="4"/>
    <s v="Life Sciences"/>
    <n v="448"/>
    <n v="3"/>
    <x v="0"/>
    <n v="82"/>
    <n v="2"/>
    <n v="2"/>
    <x v="2"/>
    <n v="3"/>
    <s v="Divorced"/>
    <x v="322"/>
    <n v="6227"/>
    <n v="1"/>
    <x v="1"/>
    <n v="11"/>
    <n v="3"/>
    <n v="2"/>
    <n v="1"/>
    <n v="9"/>
    <n v="3"/>
    <n v="4"/>
    <n v="9"/>
    <n v="7"/>
    <n v="0"/>
    <n v="0"/>
    <x v="0"/>
    <s v="Mid"/>
    <n v="6281.2528616024974"/>
    <s v="Below salary"/>
    <s v="Low Risk"/>
  </r>
  <r>
    <n v="27"/>
    <x v="1"/>
    <s v="Non-Travel"/>
    <n v="210"/>
    <x v="0"/>
    <n v="1"/>
    <n v="1"/>
    <s v="Marketing"/>
    <n v="449"/>
    <n v="3"/>
    <x v="1"/>
    <n v="73"/>
    <n v="3"/>
    <n v="2"/>
    <x v="0"/>
    <n v="2"/>
    <s v="Married"/>
    <x v="323"/>
    <n v="22107"/>
    <n v="0"/>
    <x v="0"/>
    <n v="13"/>
    <n v="3"/>
    <n v="4"/>
    <n v="1"/>
    <n v="6"/>
    <n v="0"/>
    <n v="3"/>
    <n v="5"/>
    <n v="4"/>
    <n v="1"/>
    <n v="4"/>
    <x v="2"/>
    <s v="Mid"/>
    <n v="6959.17264573991"/>
    <s v="Below salary"/>
    <s v="High Risk"/>
  </r>
  <r>
    <n v="54"/>
    <x v="1"/>
    <s v="Travel_Frequently"/>
    <n v="928"/>
    <x v="1"/>
    <n v="20"/>
    <n v="4"/>
    <s v="Life Sciences"/>
    <n v="450"/>
    <n v="4"/>
    <x v="0"/>
    <n v="31"/>
    <n v="3"/>
    <n v="2"/>
    <x v="1"/>
    <n v="3"/>
    <s v="Single"/>
    <x v="324"/>
    <n v="16885"/>
    <n v="3"/>
    <x v="1"/>
    <n v="12"/>
    <n v="3"/>
    <n v="4"/>
    <n v="0"/>
    <n v="20"/>
    <n v="4"/>
    <n v="2"/>
    <n v="4"/>
    <n v="3"/>
    <n v="0"/>
    <n v="3"/>
    <x v="1"/>
    <s v="Mid"/>
    <n v="6281.2528616024974"/>
    <s v="Below salary"/>
    <s v="Low Risk"/>
  </r>
  <r>
    <n v="43"/>
    <x v="1"/>
    <s v="Travel_Rarely"/>
    <n v="1001"/>
    <x v="1"/>
    <n v="7"/>
    <n v="3"/>
    <s v="Life Sciences"/>
    <n v="451"/>
    <n v="3"/>
    <x v="0"/>
    <n v="43"/>
    <n v="3"/>
    <n v="3"/>
    <x v="4"/>
    <n v="1"/>
    <s v="Married"/>
    <x v="325"/>
    <n v="9262"/>
    <n v="8"/>
    <x v="1"/>
    <n v="16"/>
    <n v="3"/>
    <n v="1"/>
    <n v="1"/>
    <n v="10"/>
    <n v="1"/>
    <n v="2"/>
    <n v="1"/>
    <n v="0"/>
    <n v="0"/>
    <n v="0"/>
    <x v="0"/>
    <s v="High"/>
    <n v="6281.2528616024974"/>
    <s v="Above salary"/>
    <s v="Medium Risk"/>
  </r>
  <r>
    <n v="45"/>
    <x v="1"/>
    <s v="Travel_Rarely"/>
    <n v="549"/>
    <x v="1"/>
    <n v="8"/>
    <n v="4"/>
    <s v="Other"/>
    <n v="452"/>
    <n v="4"/>
    <x v="1"/>
    <n v="75"/>
    <n v="3"/>
    <n v="2"/>
    <x v="1"/>
    <n v="4"/>
    <s v="Married"/>
    <x v="326"/>
    <n v="9278"/>
    <n v="9"/>
    <x v="1"/>
    <n v="14"/>
    <n v="3"/>
    <n v="1"/>
    <n v="2"/>
    <n v="12"/>
    <n v="3"/>
    <n v="3"/>
    <n v="10"/>
    <n v="9"/>
    <n v="9"/>
    <n v="8"/>
    <x v="0"/>
    <s v="Mid"/>
    <n v="6281.2528616024974"/>
    <s v="Below salary"/>
    <s v="Low Risk"/>
  </r>
  <r>
    <n v="40"/>
    <x v="1"/>
    <s v="Travel_Rarely"/>
    <n v="1124"/>
    <x v="0"/>
    <n v="1"/>
    <n v="2"/>
    <s v="Medical"/>
    <n v="453"/>
    <n v="2"/>
    <x v="1"/>
    <n v="57"/>
    <n v="1"/>
    <n v="2"/>
    <x v="0"/>
    <n v="4"/>
    <s v="Married"/>
    <x v="327"/>
    <n v="13273"/>
    <n v="2"/>
    <x v="0"/>
    <n v="22"/>
    <n v="4"/>
    <n v="3"/>
    <n v="3"/>
    <n v="6"/>
    <n v="2"/>
    <n v="2"/>
    <n v="4"/>
    <n v="3"/>
    <n v="0"/>
    <n v="2"/>
    <x v="0"/>
    <s v="High"/>
    <n v="6959.17264573991"/>
    <s v="Above salary"/>
    <s v="Medium Risk"/>
  </r>
  <r>
    <n v="29"/>
    <x v="0"/>
    <s v="Travel_Rarely"/>
    <n v="318"/>
    <x v="1"/>
    <n v="8"/>
    <n v="4"/>
    <s v="Other"/>
    <n v="454"/>
    <n v="2"/>
    <x v="1"/>
    <n v="77"/>
    <n v="1"/>
    <n v="1"/>
    <x v="2"/>
    <n v="1"/>
    <s v="Married"/>
    <x v="328"/>
    <n v="4759"/>
    <n v="1"/>
    <x v="0"/>
    <n v="11"/>
    <n v="3"/>
    <n v="4"/>
    <n v="0"/>
    <n v="7"/>
    <n v="4"/>
    <n v="2"/>
    <n v="7"/>
    <n v="7"/>
    <n v="0"/>
    <n v="7"/>
    <x v="2"/>
    <s v="Low"/>
    <n v="6281.2528616024974"/>
    <s v="Below salary"/>
    <s v="High Risk"/>
  </r>
  <r>
    <n v="29"/>
    <x v="1"/>
    <s v="Travel_Rarely"/>
    <n v="738"/>
    <x v="1"/>
    <n v="9"/>
    <n v="5"/>
    <s v="Other"/>
    <n v="455"/>
    <n v="2"/>
    <x v="1"/>
    <n v="30"/>
    <n v="2"/>
    <n v="1"/>
    <x v="2"/>
    <n v="4"/>
    <s v="Single"/>
    <x v="329"/>
    <n v="7621"/>
    <n v="0"/>
    <x v="1"/>
    <n v="17"/>
    <n v="3"/>
    <n v="3"/>
    <n v="0"/>
    <n v="4"/>
    <n v="2"/>
    <n v="3"/>
    <n v="3"/>
    <n v="2"/>
    <n v="2"/>
    <n v="2"/>
    <x v="2"/>
    <s v="Mid"/>
    <n v="6281.2528616024974"/>
    <s v="Below salary"/>
    <s v="Low Risk"/>
  </r>
  <r>
    <n v="30"/>
    <x v="1"/>
    <s v="Travel_Rarely"/>
    <n v="570"/>
    <x v="0"/>
    <n v="5"/>
    <n v="3"/>
    <s v="Marketing"/>
    <n v="456"/>
    <n v="4"/>
    <x v="0"/>
    <n v="30"/>
    <n v="2"/>
    <n v="2"/>
    <x v="0"/>
    <n v="3"/>
    <s v="Divorced"/>
    <x v="330"/>
    <n v="5431"/>
    <n v="1"/>
    <x v="1"/>
    <n v="13"/>
    <n v="3"/>
    <n v="3"/>
    <n v="3"/>
    <n v="10"/>
    <n v="2"/>
    <n v="3"/>
    <n v="10"/>
    <n v="9"/>
    <n v="1"/>
    <n v="2"/>
    <x v="2"/>
    <s v="Mid"/>
    <n v="6959.17264573991"/>
    <s v="Below salary"/>
    <s v="Low Risk"/>
  </r>
  <r>
    <n v="27"/>
    <x v="1"/>
    <s v="Travel_Rarely"/>
    <n v="1130"/>
    <x v="0"/>
    <n v="8"/>
    <n v="4"/>
    <s v="Marketing"/>
    <n v="458"/>
    <n v="2"/>
    <x v="0"/>
    <n v="56"/>
    <n v="3"/>
    <n v="2"/>
    <x v="0"/>
    <n v="2"/>
    <s v="Married"/>
    <x v="331"/>
    <n v="3415"/>
    <n v="1"/>
    <x v="1"/>
    <n v="18"/>
    <n v="3"/>
    <n v="1"/>
    <n v="1"/>
    <n v="8"/>
    <n v="3"/>
    <n v="3"/>
    <n v="8"/>
    <n v="7"/>
    <n v="0"/>
    <n v="7"/>
    <x v="2"/>
    <s v="Mid"/>
    <n v="6959.17264573991"/>
    <s v="Below salary"/>
    <s v="Medium Risk"/>
  </r>
  <r>
    <n v="37"/>
    <x v="1"/>
    <s v="Travel_Rarely"/>
    <n v="1192"/>
    <x v="1"/>
    <n v="5"/>
    <n v="2"/>
    <s v="Medical"/>
    <n v="460"/>
    <n v="4"/>
    <x v="1"/>
    <n v="61"/>
    <n v="3"/>
    <n v="2"/>
    <x v="3"/>
    <n v="4"/>
    <s v="Divorced"/>
    <x v="136"/>
    <n v="23177"/>
    <n v="7"/>
    <x v="1"/>
    <n v="16"/>
    <n v="3"/>
    <n v="3"/>
    <n v="2"/>
    <n v="8"/>
    <n v="2"/>
    <n v="2"/>
    <n v="6"/>
    <n v="2"/>
    <n v="0"/>
    <n v="4"/>
    <x v="0"/>
    <s v="Mid"/>
    <n v="6281.2528616024974"/>
    <s v="Above salary"/>
    <s v="Low Risk"/>
  </r>
  <r>
    <n v="38"/>
    <x v="1"/>
    <s v="Travel_Rarely"/>
    <n v="343"/>
    <x v="1"/>
    <n v="15"/>
    <n v="2"/>
    <s v="Life Sciences"/>
    <n v="461"/>
    <n v="3"/>
    <x v="1"/>
    <n v="92"/>
    <n v="2"/>
    <n v="3"/>
    <x v="7"/>
    <n v="4"/>
    <s v="Divorced"/>
    <x v="332"/>
    <n v="15682"/>
    <n v="0"/>
    <x v="0"/>
    <n v="14"/>
    <n v="3"/>
    <n v="2"/>
    <n v="1"/>
    <n v="12"/>
    <n v="3"/>
    <n v="3"/>
    <n v="11"/>
    <n v="10"/>
    <n v="2"/>
    <n v="9"/>
    <x v="0"/>
    <s v="High"/>
    <n v="6281.2528616024974"/>
    <s v="Above salary"/>
    <s v="Medium Risk"/>
  </r>
  <r>
    <n v="31"/>
    <x v="1"/>
    <s v="Travel_Rarely"/>
    <n v="1232"/>
    <x v="1"/>
    <n v="7"/>
    <n v="4"/>
    <s v="Medical"/>
    <n v="462"/>
    <n v="3"/>
    <x v="0"/>
    <n v="39"/>
    <n v="3"/>
    <n v="3"/>
    <x v="3"/>
    <n v="4"/>
    <s v="Single"/>
    <x v="333"/>
    <n v="25713"/>
    <n v="1"/>
    <x v="0"/>
    <n v="14"/>
    <n v="3"/>
    <n v="3"/>
    <n v="0"/>
    <n v="11"/>
    <n v="2"/>
    <n v="2"/>
    <n v="11"/>
    <n v="9"/>
    <n v="4"/>
    <n v="10"/>
    <x v="2"/>
    <s v="High"/>
    <n v="6281.2528616024974"/>
    <s v="Above salary"/>
    <s v="Medium Risk"/>
  </r>
  <r>
    <n v="29"/>
    <x v="1"/>
    <s v="Travel_Rarely"/>
    <n v="144"/>
    <x v="0"/>
    <n v="10"/>
    <n v="1"/>
    <s v="Marketing"/>
    <n v="463"/>
    <n v="4"/>
    <x v="0"/>
    <n v="39"/>
    <n v="2"/>
    <n v="2"/>
    <x v="0"/>
    <n v="2"/>
    <s v="Divorced"/>
    <x v="334"/>
    <n v="11866"/>
    <n v="1"/>
    <x v="0"/>
    <n v="14"/>
    <n v="3"/>
    <n v="1"/>
    <n v="2"/>
    <n v="7"/>
    <n v="2"/>
    <n v="3"/>
    <n v="7"/>
    <n v="7"/>
    <n v="1"/>
    <n v="7"/>
    <x v="2"/>
    <s v="High"/>
    <n v="6959.17264573991"/>
    <s v="Above salary"/>
    <s v="High Risk"/>
  </r>
  <r>
    <n v="35"/>
    <x v="1"/>
    <s v="Travel_Rarely"/>
    <n v="1296"/>
    <x v="1"/>
    <n v="5"/>
    <n v="4"/>
    <s v="Technical Degree"/>
    <n v="464"/>
    <n v="3"/>
    <x v="1"/>
    <n v="62"/>
    <n v="3"/>
    <n v="3"/>
    <x v="3"/>
    <n v="2"/>
    <s v="Single"/>
    <x v="335"/>
    <n v="18264"/>
    <n v="0"/>
    <x v="1"/>
    <n v="13"/>
    <n v="3"/>
    <n v="4"/>
    <n v="0"/>
    <n v="17"/>
    <n v="5"/>
    <n v="3"/>
    <n v="16"/>
    <n v="6"/>
    <n v="0"/>
    <n v="13"/>
    <x v="2"/>
    <s v="High"/>
    <n v="6281.2528616024974"/>
    <s v="Above salary"/>
    <s v="Medium Risk"/>
  </r>
  <r>
    <n v="23"/>
    <x v="1"/>
    <s v="Travel_Rarely"/>
    <n v="1309"/>
    <x v="1"/>
    <n v="26"/>
    <n v="1"/>
    <s v="Life Sciences"/>
    <n v="465"/>
    <n v="3"/>
    <x v="1"/>
    <n v="83"/>
    <n v="3"/>
    <n v="1"/>
    <x v="1"/>
    <n v="4"/>
    <s v="Divorced"/>
    <x v="336"/>
    <n v="16092"/>
    <n v="1"/>
    <x v="1"/>
    <n v="12"/>
    <n v="3"/>
    <n v="3"/>
    <n v="2"/>
    <n v="4"/>
    <n v="2"/>
    <n v="2"/>
    <n v="4"/>
    <n v="2"/>
    <n v="0"/>
    <n v="2"/>
    <x v="3"/>
    <s v="Low"/>
    <n v="6281.2528616024974"/>
    <s v="Below salary"/>
    <s v="Low Risk"/>
  </r>
  <r>
    <n v="41"/>
    <x v="1"/>
    <s v="Travel_Rarely"/>
    <n v="483"/>
    <x v="1"/>
    <n v="6"/>
    <n v="3"/>
    <s v="Medical"/>
    <n v="466"/>
    <n v="4"/>
    <x v="1"/>
    <n v="95"/>
    <n v="2"/>
    <n v="2"/>
    <x v="3"/>
    <n v="2"/>
    <s v="Single"/>
    <x v="337"/>
    <n v="10110"/>
    <n v="6"/>
    <x v="0"/>
    <n v="15"/>
    <n v="3"/>
    <n v="4"/>
    <n v="0"/>
    <n v="8"/>
    <n v="3"/>
    <n v="3"/>
    <n v="5"/>
    <n v="4"/>
    <n v="1"/>
    <n v="2"/>
    <x v="0"/>
    <s v="Mid"/>
    <n v="6281.2528616024974"/>
    <s v="Below salary"/>
    <s v="High Risk"/>
  </r>
  <r>
    <n v="47"/>
    <x v="1"/>
    <s v="Travel_Frequently"/>
    <n v="1309"/>
    <x v="0"/>
    <n v="4"/>
    <n v="1"/>
    <s v="Medical"/>
    <n v="467"/>
    <n v="2"/>
    <x v="1"/>
    <n v="99"/>
    <n v="3"/>
    <n v="2"/>
    <x v="6"/>
    <n v="3"/>
    <s v="Single"/>
    <x v="338"/>
    <n v="25751"/>
    <n v="3"/>
    <x v="1"/>
    <n v="19"/>
    <n v="3"/>
    <n v="1"/>
    <n v="0"/>
    <n v="5"/>
    <n v="3"/>
    <n v="3"/>
    <n v="0"/>
    <n v="0"/>
    <n v="0"/>
    <n v="0"/>
    <x v="1"/>
    <s v="Low"/>
    <n v="6959.17264573991"/>
    <s v="Below salary"/>
    <s v="Low Risk"/>
  </r>
  <r>
    <n v="42"/>
    <x v="1"/>
    <s v="Travel_Rarely"/>
    <n v="810"/>
    <x v="1"/>
    <n v="23"/>
    <n v="5"/>
    <s v="Life Sciences"/>
    <n v="468"/>
    <n v="1"/>
    <x v="0"/>
    <n v="44"/>
    <n v="3"/>
    <n v="4"/>
    <x v="7"/>
    <n v="4"/>
    <s v="Single"/>
    <x v="339"/>
    <n v="15901"/>
    <n v="2"/>
    <x v="1"/>
    <n v="14"/>
    <n v="3"/>
    <n v="2"/>
    <n v="0"/>
    <n v="16"/>
    <n v="2"/>
    <n v="3"/>
    <n v="1"/>
    <n v="0"/>
    <n v="0"/>
    <n v="0"/>
    <x v="0"/>
    <s v="Very High"/>
    <n v="6281.2528616024974"/>
    <s v="Above salary"/>
    <s v="Low Risk"/>
  </r>
  <r>
    <n v="29"/>
    <x v="1"/>
    <s v="Non-Travel"/>
    <n v="746"/>
    <x v="0"/>
    <n v="2"/>
    <n v="3"/>
    <s v="Life Sciences"/>
    <n v="469"/>
    <n v="4"/>
    <x v="1"/>
    <n v="61"/>
    <n v="3"/>
    <n v="2"/>
    <x v="0"/>
    <n v="3"/>
    <s v="Married"/>
    <x v="340"/>
    <n v="16928"/>
    <n v="1"/>
    <x v="1"/>
    <n v="14"/>
    <n v="3"/>
    <n v="1"/>
    <n v="1"/>
    <n v="4"/>
    <n v="3"/>
    <n v="2"/>
    <n v="4"/>
    <n v="3"/>
    <n v="0"/>
    <n v="2"/>
    <x v="2"/>
    <s v="Mid"/>
    <n v="6959.17264573991"/>
    <s v="Below salary"/>
    <s v="Low Risk"/>
  </r>
  <r>
    <n v="42"/>
    <x v="1"/>
    <s v="Travel_Rarely"/>
    <n v="544"/>
    <x v="2"/>
    <n v="2"/>
    <n v="1"/>
    <s v="Technical Degree"/>
    <n v="470"/>
    <n v="3"/>
    <x v="1"/>
    <n v="52"/>
    <n v="3"/>
    <n v="1"/>
    <x v="8"/>
    <n v="3"/>
    <s v="Divorced"/>
    <x v="341"/>
    <n v="24017"/>
    <n v="0"/>
    <x v="0"/>
    <n v="11"/>
    <n v="3"/>
    <n v="3"/>
    <n v="1"/>
    <n v="4"/>
    <n v="5"/>
    <n v="3"/>
    <n v="3"/>
    <n v="2"/>
    <n v="1"/>
    <n v="0"/>
    <x v="0"/>
    <s v="Low"/>
    <n v="6654.5079365079364"/>
    <s v="Below salary"/>
    <s v="Medium Risk"/>
  </r>
  <r>
    <n v="32"/>
    <x v="1"/>
    <s v="Travel_Rarely"/>
    <n v="1062"/>
    <x v="1"/>
    <n v="2"/>
    <n v="3"/>
    <s v="Medical"/>
    <n v="471"/>
    <n v="3"/>
    <x v="0"/>
    <n v="75"/>
    <n v="3"/>
    <n v="1"/>
    <x v="2"/>
    <n v="2"/>
    <s v="Married"/>
    <x v="342"/>
    <n v="3956"/>
    <n v="1"/>
    <x v="1"/>
    <n v="13"/>
    <n v="3"/>
    <n v="3"/>
    <n v="1"/>
    <n v="8"/>
    <n v="4"/>
    <n v="3"/>
    <n v="8"/>
    <n v="0"/>
    <n v="0"/>
    <n v="7"/>
    <x v="2"/>
    <s v="Low"/>
    <n v="6281.2528616024974"/>
    <s v="Below salary"/>
    <s v="Medium Risk"/>
  </r>
  <r>
    <n v="48"/>
    <x v="1"/>
    <s v="Travel_Rarely"/>
    <n v="530"/>
    <x v="0"/>
    <n v="29"/>
    <n v="1"/>
    <s v="Medical"/>
    <n v="473"/>
    <n v="1"/>
    <x v="0"/>
    <n v="91"/>
    <n v="3"/>
    <n v="3"/>
    <x v="5"/>
    <n v="3"/>
    <s v="Married"/>
    <x v="343"/>
    <n v="23978"/>
    <n v="3"/>
    <x v="1"/>
    <n v="21"/>
    <n v="4"/>
    <n v="2"/>
    <n v="1"/>
    <n v="15"/>
    <n v="3"/>
    <n v="1"/>
    <n v="0"/>
    <n v="0"/>
    <n v="0"/>
    <n v="0"/>
    <x v="1"/>
    <s v="Very High"/>
    <n v="6959.17264573991"/>
    <s v="Above salary"/>
    <s v="Low Risk"/>
  </r>
  <r>
    <n v="37"/>
    <x v="1"/>
    <s v="Travel_Rarely"/>
    <n v="1319"/>
    <x v="1"/>
    <n v="6"/>
    <n v="3"/>
    <s v="Medical"/>
    <n v="474"/>
    <n v="3"/>
    <x v="1"/>
    <n v="51"/>
    <n v="4"/>
    <n v="2"/>
    <x v="1"/>
    <n v="1"/>
    <s v="Divorced"/>
    <x v="344"/>
    <n v="17001"/>
    <n v="4"/>
    <x v="0"/>
    <n v="13"/>
    <n v="3"/>
    <n v="1"/>
    <n v="2"/>
    <n v="13"/>
    <n v="2"/>
    <n v="3"/>
    <n v="7"/>
    <n v="7"/>
    <n v="6"/>
    <n v="7"/>
    <x v="0"/>
    <s v="Mid"/>
    <n v="6281.2528616024974"/>
    <s v="Below salary"/>
    <s v="High Risk"/>
  </r>
  <r>
    <n v="30"/>
    <x v="1"/>
    <s v="Non-Travel"/>
    <n v="641"/>
    <x v="0"/>
    <n v="25"/>
    <n v="2"/>
    <s v="Technical Degree"/>
    <n v="475"/>
    <n v="4"/>
    <x v="0"/>
    <n v="85"/>
    <n v="3"/>
    <n v="2"/>
    <x v="0"/>
    <n v="3"/>
    <s v="Married"/>
    <x v="345"/>
    <n v="6069"/>
    <n v="7"/>
    <x v="0"/>
    <n v="12"/>
    <n v="3"/>
    <n v="2"/>
    <n v="1"/>
    <n v="4"/>
    <n v="2"/>
    <n v="4"/>
    <n v="2"/>
    <n v="2"/>
    <n v="2"/>
    <n v="2"/>
    <x v="2"/>
    <s v="Mid"/>
    <n v="6959.17264573991"/>
    <s v="Below salary"/>
    <s v="Medium Risk"/>
  </r>
  <r>
    <n v="26"/>
    <x v="1"/>
    <s v="Travel_Rarely"/>
    <n v="933"/>
    <x v="0"/>
    <n v="1"/>
    <n v="3"/>
    <s v="Life Sciences"/>
    <n v="476"/>
    <n v="3"/>
    <x v="1"/>
    <n v="57"/>
    <n v="3"/>
    <n v="2"/>
    <x v="0"/>
    <n v="3"/>
    <s v="Married"/>
    <x v="346"/>
    <n v="20156"/>
    <n v="1"/>
    <x v="1"/>
    <n v="17"/>
    <n v="3"/>
    <n v="2"/>
    <n v="1"/>
    <n v="8"/>
    <n v="3"/>
    <n v="3"/>
    <n v="8"/>
    <n v="7"/>
    <n v="7"/>
    <n v="7"/>
    <x v="2"/>
    <s v="Mid"/>
    <n v="6959.17264573991"/>
    <s v="Below salary"/>
    <s v="Low Risk"/>
  </r>
  <r>
    <n v="42"/>
    <x v="1"/>
    <s v="Travel_Rarely"/>
    <n v="1332"/>
    <x v="1"/>
    <n v="2"/>
    <n v="4"/>
    <s v="Other"/>
    <n v="477"/>
    <n v="1"/>
    <x v="1"/>
    <n v="98"/>
    <n v="2"/>
    <n v="2"/>
    <x v="4"/>
    <n v="4"/>
    <s v="Single"/>
    <x v="347"/>
    <n v="17078"/>
    <n v="3"/>
    <x v="1"/>
    <n v="23"/>
    <n v="4"/>
    <n v="2"/>
    <n v="0"/>
    <n v="14"/>
    <n v="6"/>
    <n v="3"/>
    <n v="1"/>
    <n v="0"/>
    <n v="0"/>
    <n v="0"/>
    <x v="0"/>
    <s v="Mid"/>
    <n v="6281.2528616024974"/>
    <s v="Above salary"/>
    <s v="Low Risk"/>
  </r>
  <r>
    <n v="21"/>
    <x v="0"/>
    <s v="Travel_Frequently"/>
    <n v="756"/>
    <x v="0"/>
    <n v="1"/>
    <n v="1"/>
    <s v="Technical Degree"/>
    <n v="478"/>
    <n v="1"/>
    <x v="0"/>
    <n v="99"/>
    <n v="2"/>
    <n v="1"/>
    <x v="6"/>
    <n v="2"/>
    <s v="Single"/>
    <x v="348"/>
    <n v="9150"/>
    <n v="1"/>
    <x v="0"/>
    <n v="11"/>
    <n v="3"/>
    <n v="3"/>
    <n v="0"/>
    <n v="3"/>
    <n v="3"/>
    <n v="3"/>
    <n v="3"/>
    <n v="2"/>
    <n v="1"/>
    <n v="2"/>
    <x v="3"/>
    <s v="Low"/>
    <n v="6959.17264573991"/>
    <s v="Below salary"/>
    <s v="High Risk"/>
  </r>
  <r>
    <n v="36"/>
    <x v="1"/>
    <s v="Non-Travel"/>
    <n v="845"/>
    <x v="0"/>
    <n v="1"/>
    <n v="5"/>
    <s v="Medical"/>
    <n v="479"/>
    <n v="4"/>
    <x v="0"/>
    <n v="45"/>
    <n v="3"/>
    <n v="2"/>
    <x v="0"/>
    <n v="4"/>
    <s v="Single"/>
    <x v="349"/>
    <n v="15276"/>
    <n v="4"/>
    <x v="1"/>
    <n v="15"/>
    <n v="3"/>
    <n v="2"/>
    <n v="0"/>
    <n v="7"/>
    <n v="6"/>
    <n v="3"/>
    <n v="1"/>
    <n v="0"/>
    <n v="0"/>
    <n v="0"/>
    <x v="0"/>
    <s v="Mid"/>
    <n v="6959.17264573991"/>
    <s v="Below salary"/>
    <s v="Low Risk"/>
  </r>
  <r>
    <n v="36"/>
    <x v="1"/>
    <s v="Travel_Frequently"/>
    <n v="541"/>
    <x v="0"/>
    <n v="3"/>
    <n v="4"/>
    <s v="Medical"/>
    <n v="481"/>
    <n v="1"/>
    <x v="1"/>
    <n v="48"/>
    <n v="2"/>
    <n v="3"/>
    <x v="0"/>
    <n v="4"/>
    <s v="Married"/>
    <x v="350"/>
    <n v="7246"/>
    <n v="4"/>
    <x v="1"/>
    <n v="11"/>
    <n v="3"/>
    <n v="1"/>
    <n v="1"/>
    <n v="16"/>
    <n v="2"/>
    <n v="3"/>
    <n v="13"/>
    <n v="9"/>
    <n v="1"/>
    <n v="12"/>
    <x v="0"/>
    <s v="High"/>
    <n v="6959.17264573991"/>
    <s v="Above salary"/>
    <s v="Low Risk"/>
  </r>
  <r>
    <n v="57"/>
    <x v="1"/>
    <s v="Travel_Rarely"/>
    <n v="593"/>
    <x v="1"/>
    <n v="1"/>
    <n v="4"/>
    <s v="Medical"/>
    <n v="482"/>
    <n v="4"/>
    <x v="1"/>
    <n v="88"/>
    <n v="3"/>
    <n v="2"/>
    <x v="4"/>
    <n v="3"/>
    <s v="Married"/>
    <x v="351"/>
    <n v="2967"/>
    <n v="2"/>
    <x v="1"/>
    <n v="11"/>
    <n v="3"/>
    <n v="3"/>
    <n v="0"/>
    <n v="15"/>
    <n v="2"/>
    <n v="3"/>
    <n v="3"/>
    <n v="2"/>
    <n v="1"/>
    <n v="2"/>
    <x v="1"/>
    <s v="Mid"/>
    <n v="6281.2528616024974"/>
    <s v="Above salary"/>
    <s v="Low Risk"/>
  </r>
  <r>
    <n v="40"/>
    <x v="1"/>
    <s v="Travel_Rarely"/>
    <n v="1171"/>
    <x v="1"/>
    <n v="10"/>
    <n v="4"/>
    <s v="Life Sciences"/>
    <n v="483"/>
    <n v="4"/>
    <x v="0"/>
    <n v="46"/>
    <n v="4"/>
    <n v="1"/>
    <x v="2"/>
    <n v="3"/>
    <s v="Married"/>
    <x v="352"/>
    <n v="22495"/>
    <n v="3"/>
    <x v="0"/>
    <n v="13"/>
    <n v="3"/>
    <n v="3"/>
    <n v="1"/>
    <n v="10"/>
    <n v="3"/>
    <n v="3"/>
    <n v="7"/>
    <n v="7"/>
    <n v="1"/>
    <n v="7"/>
    <x v="0"/>
    <s v="Low"/>
    <n v="6281.2528616024974"/>
    <s v="Below salary"/>
    <s v="Medium Risk"/>
  </r>
  <r>
    <n v="21"/>
    <x v="1"/>
    <s v="Non-Travel"/>
    <n v="895"/>
    <x v="0"/>
    <n v="9"/>
    <n v="2"/>
    <s v="Medical"/>
    <n v="484"/>
    <n v="1"/>
    <x v="1"/>
    <n v="39"/>
    <n v="3"/>
    <n v="1"/>
    <x v="6"/>
    <n v="4"/>
    <s v="Single"/>
    <x v="353"/>
    <n v="2851"/>
    <n v="1"/>
    <x v="1"/>
    <n v="24"/>
    <n v="4"/>
    <n v="3"/>
    <n v="0"/>
    <n v="3"/>
    <n v="3"/>
    <n v="2"/>
    <n v="3"/>
    <n v="2"/>
    <n v="2"/>
    <n v="2"/>
    <x v="3"/>
    <s v="Low"/>
    <n v="6959.17264573991"/>
    <s v="Below salary"/>
    <s v="Low Risk"/>
  </r>
  <r>
    <n v="33"/>
    <x v="0"/>
    <s v="Travel_Rarely"/>
    <n v="350"/>
    <x v="0"/>
    <n v="5"/>
    <n v="3"/>
    <s v="Marketing"/>
    <n v="485"/>
    <n v="4"/>
    <x v="0"/>
    <n v="34"/>
    <n v="3"/>
    <n v="1"/>
    <x v="6"/>
    <n v="3"/>
    <s v="Single"/>
    <x v="354"/>
    <n v="9150"/>
    <n v="1"/>
    <x v="0"/>
    <n v="13"/>
    <n v="3"/>
    <n v="2"/>
    <n v="0"/>
    <n v="1"/>
    <n v="2"/>
    <n v="3"/>
    <n v="1"/>
    <n v="0"/>
    <n v="0"/>
    <n v="0"/>
    <x v="2"/>
    <s v="Low"/>
    <n v="6959.17264573991"/>
    <s v="Below salary"/>
    <s v="Medium Risk"/>
  </r>
  <r>
    <n v="37"/>
    <x v="1"/>
    <s v="Travel_Rarely"/>
    <n v="921"/>
    <x v="1"/>
    <n v="10"/>
    <n v="3"/>
    <s v="Medical"/>
    <n v="486"/>
    <n v="3"/>
    <x v="0"/>
    <n v="98"/>
    <n v="3"/>
    <n v="1"/>
    <x v="2"/>
    <n v="1"/>
    <s v="Married"/>
    <x v="138"/>
    <n v="17663"/>
    <n v="6"/>
    <x v="1"/>
    <n v="20"/>
    <n v="4"/>
    <n v="2"/>
    <n v="1"/>
    <n v="17"/>
    <n v="3"/>
    <n v="3"/>
    <n v="5"/>
    <n v="4"/>
    <n v="0"/>
    <n v="3"/>
    <x v="0"/>
    <s v="Mid"/>
    <n v="6281.2528616024974"/>
    <s v="Below salary"/>
    <s v="Medium Risk"/>
  </r>
  <r>
    <n v="46"/>
    <x v="1"/>
    <s v="Non-Travel"/>
    <n v="1144"/>
    <x v="1"/>
    <n v="7"/>
    <n v="4"/>
    <s v="Medical"/>
    <n v="487"/>
    <n v="3"/>
    <x v="0"/>
    <n v="30"/>
    <n v="3"/>
    <n v="2"/>
    <x v="3"/>
    <n v="3"/>
    <s v="Married"/>
    <x v="355"/>
    <n v="16044"/>
    <n v="2"/>
    <x v="1"/>
    <n v="14"/>
    <n v="3"/>
    <n v="3"/>
    <n v="0"/>
    <n v="7"/>
    <n v="2"/>
    <n v="4"/>
    <n v="1"/>
    <n v="0"/>
    <n v="0"/>
    <n v="0"/>
    <x v="1"/>
    <s v="Mid"/>
    <n v="6281.2528616024974"/>
    <s v="Below salary"/>
    <s v="Low Risk"/>
  </r>
  <r>
    <n v="41"/>
    <x v="0"/>
    <s v="Travel_Frequently"/>
    <n v="143"/>
    <x v="0"/>
    <n v="4"/>
    <n v="3"/>
    <s v="Marketing"/>
    <n v="488"/>
    <n v="1"/>
    <x v="1"/>
    <n v="56"/>
    <n v="3"/>
    <n v="2"/>
    <x v="0"/>
    <n v="2"/>
    <s v="Single"/>
    <x v="356"/>
    <n v="9558"/>
    <n v="1"/>
    <x v="1"/>
    <n v="18"/>
    <n v="3"/>
    <n v="3"/>
    <n v="0"/>
    <n v="8"/>
    <n v="5"/>
    <n v="3"/>
    <n v="8"/>
    <n v="7"/>
    <n v="7"/>
    <n v="7"/>
    <x v="0"/>
    <s v="High"/>
    <n v="6959.17264573991"/>
    <s v="Above salary"/>
    <s v="Medium Risk"/>
  </r>
  <r>
    <n v="50"/>
    <x v="1"/>
    <s v="Travel_Rarely"/>
    <n v="1046"/>
    <x v="1"/>
    <n v="10"/>
    <n v="3"/>
    <s v="Technical Degree"/>
    <n v="491"/>
    <n v="4"/>
    <x v="1"/>
    <n v="100"/>
    <n v="2"/>
    <n v="3"/>
    <x v="4"/>
    <n v="4"/>
    <s v="Single"/>
    <x v="357"/>
    <n v="2755"/>
    <n v="6"/>
    <x v="1"/>
    <n v="15"/>
    <n v="3"/>
    <n v="4"/>
    <n v="0"/>
    <n v="20"/>
    <n v="2"/>
    <n v="3"/>
    <n v="4"/>
    <n v="3"/>
    <n v="1"/>
    <n v="3"/>
    <x v="1"/>
    <s v="High"/>
    <n v="6281.2528616024974"/>
    <s v="Above salary"/>
    <s v="Low Risk"/>
  </r>
  <r>
    <n v="40"/>
    <x v="0"/>
    <s v="Travel_Rarely"/>
    <n v="575"/>
    <x v="0"/>
    <n v="22"/>
    <n v="2"/>
    <s v="Marketing"/>
    <n v="492"/>
    <n v="3"/>
    <x v="1"/>
    <n v="68"/>
    <n v="2"/>
    <n v="2"/>
    <x v="0"/>
    <n v="3"/>
    <s v="Married"/>
    <x v="358"/>
    <n v="6110"/>
    <n v="2"/>
    <x v="0"/>
    <n v="12"/>
    <n v="3"/>
    <n v="1"/>
    <n v="2"/>
    <n v="8"/>
    <n v="6"/>
    <n v="3"/>
    <n v="6"/>
    <n v="4"/>
    <n v="1"/>
    <n v="0"/>
    <x v="0"/>
    <s v="Mid"/>
    <n v="6959.17264573991"/>
    <s v="Below salary"/>
    <s v="Medium Risk"/>
  </r>
  <r>
    <n v="31"/>
    <x v="1"/>
    <s v="Travel_Rarely"/>
    <n v="408"/>
    <x v="1"/>
    <n v="9"/>
    <n v="4"/>
    <s v="Life Sciences"/>
    <n v="493"/>
    <n v="3"/>
    <x v="1"/>
    <n v="42"/>
    <n v="2"/>
    <n v="1"/>
    <x v="1"/>
    <n v="2"/>
    <s v="Single"/>
    <x v="210"/>
    <n v="7551"/>
    <n v="0"/>
    <x v="0"/>
    <n v="16"/>
    <n v="3"/>
    <n v="4"/>
    <n v="0"/>
    <n v="3"/>
    <n v="5"/>
    <n v="3"/>
    <n v="2"/>
    <n v="2"/>
    <n v="2"/>
    <n v="2"/>
    <x v="2"/>
    <s v="Low"/>
    <n v="6281.2528616024974"/>
    <s v="Below salary"/>
    <s v="High Risk"/>
  </r>
  <r>
    <n v="21"/>
    <x v="0"/>
    <s v="Travel_Rarely"/>
    <n v="156"/>
    <x v="0"/>
    <n v="12"/>
    <n v="3"/>
    <s v="Life Sciences"/>
    <n v="494"/>
    <n v="3"/>
    <x v="0"/>
    <n v="90"/>
    <n v="4"/>
    <n v="1"/>
    <x v="6"/>
    <n v="2"/>
    <s v="Single"/>
    <x v="359"/>
    <n v="25422"/>
    <n v="1"/>
    <x v="1"/>
    <n v="15"/>
    <n v="3"/>
    <n v="4"/>
    <n v="0"/>
    <n v="1"/>
    <n v="0"/>
    <n v="3"/>
    <n v="1"/>
    <n v="0"/>
    <n v="0"/>
    <n v="0"/>
    <x v="3"/>
    <s v="Low"/>
    <n v="6959.17264573991"/>
    <s v="Below salary"/>
    <s v="Medium Risk"/>
  </r>
  <r>
    <n v="29"/>
    <x v="1"/>
    <s v="Travel_Rarely"/>
    <n v="1283"/>
    <x v="1"/>
    <n v="23"/>
    <n v="3"/>
    <s v="Life Sciences"/>
    <n v="495"/>
    <n v="4"/>
    <x v="1"/>
    <n v="54"/>
    <n v="3"/>
    <n v="1"/>
    <x v="1"/>
    <n v="4"/>
    <s v="Single"/>
    <x v="360"/>
    <n v="18168"/>
    <n v="9"/>
    <x v="1"/>
    <n v="16"/>
    <n v="3"/>
    <n v="4"/>
    <n v="0"/>
    <n v="6"/>
    <n v="4"/>
    <n v="3"/>
    <n v="3"/>
    <n v="2"/>
    <n v="1"/>
    <n v="2"/>
    <x v="2"/>
    <s v="Low"/>
    <n v="6281.2528616024974"/>
    <s v="Below salary"/>
    <s v="Low Risk"/>
  </r>
  <r>
    <n v="35"/>
    <x v="1"/>
    <s v="Travel_Rarely"/>
    <n v="755"/>
    <x v="1"/>
    <n v="9"/>
    <n v="4"/>
    <s v="Life Sciences"/>
    <n v="496"/>
    <n v="3"/>
    <x v="1"/>
    <n v="97"/>
    <n v="2"/>
    <n v="2"/>
    <x v="4"/>
    <n v="2"/>
    <s v="Single"/>
    <x v="361"/>
    <n v="19394"/>
    <n v="9"/>
    <x v="1"/>
    <n v="19"/>
    <n v="3"/>
    <n v="3"/>
    <n v="0"/>
    <n v="10"/>
    <n v="5"/>
    <n v="3"/>
    <n v="1"/>
    <n v="1"/>
    <n v="0"/>
    <n v="0"/>
    <x v="2"/>
    <s v="Mid"/>
    <n v="6281.2528616024974"/>
    <s v="Above salary"/>
    <s v="Medium Risk"/>
  </r>
  <r>
    <n v="27"/>
    <x v="1"/>
    <s v="Travel_Rarely"/>
    <n v="1469"/>
    <x v="1"/>
    <n v="1"/>
    <n v="2"/>
    <s v="Medical"/>
    <n v="497"/>
    <n v="4"/>
    <x v="1"/>
    <n v="82"/>
    <n v="3"/>
    <n v="1"/>
    <x v="2"/>
    <n v="2"/>
    <s v="Divorced"/>
    <x v="362"/>
    <n v="17881"/>
    <n v="1"/>
    <x v="1"/>
    <n v="11"/>
    <n v="3"/>
    <n v="2"/>
    <n v="1"/>
    <n v="5"/>
    <n v="2"/>
    <n v="3"/>
    <n v="5"/>
    <n v="2"/>
    <n v="0"/>
    <n v="4"/>
    <x v="2"/>
    <s v="Mid"/>
    <n v="6281.2528616024974"/>
    <s v="Below salary"/>
    <s v="Medium Risk"/>
  </r>
  <r>
    <n v="28"/>
    <x v="1"/>
    <s v="Travel_Rarely"/>
    <n v="304"/>
    <x v="0"/>
    <n v="9"/>
    <n v="4"/>
    <s v="Life Sciences"/>
    <n v="498"/>
    <n v="2"/>
    <x v="1"/>
    <n v="92"/>
    <n v="3"/>
    <n v="2"/>
    <x v="0"/>
    <n v="4"/>
    <s v="Single"/>
    <x v="363"/>
    <n v="20750"/>
    <n v="1"/>
    <x v="1"/>
    <n v="16"/>
    <n v="3"/>
    <n v="4"/>
    <n v="0"/>
    <n v="7"/>
    <n v="1"/>
    <n v="3"/>
    <n v="7"/>
    <n v="5"/>
    <n v="0"/>
    <n v="7"/>
    <x v="2"/>
    <s v="Mid"/>
    <n v="6959.17264573991"/>
    <s v="Below salary"/>
    <s v="Low Risk"/>
  </r>
  <r>
    <n v="49"/>
    <x v="1"/>
    <s v="Travel_Rarely"/>
    <n v="1261"/>
    <x v="1"/>
    <n v="7"/>
    <n v="3"/>
    <s v="Other"/>
    <n v="499"/>
    <n v="2"/>
    <x v="1"/>
    <n v="31"/>
    <n v="2"/>
    <n v="3"/>
    <x v="4"/>
    <n v="3"/>
    <s v="Single"/>
    <x v="364"/>
    <n v="12066"/>
    <n v="8"/>
    <x v="1"/>
    <n v="24"/>
    <n v="4"/>
    <n v="3"/>
    <n v="0"/>
    <n v="26"/>
    <n v="2"/>
    <n v="3"/>
    <n v="5"/>
    <n v="2"/>
    <n v="0"/>
    <n v="0"/>
    <x v="1"/>
    <s v="High"/>
    <n v="6281.2528616024974"/>
    <s v="Above salary"/>
    <s v="Low Risk"/>
  </r>
  <r>
    <n v="51"/>
    <x v="1"/>
    <s v="Travel_Rarely"/>
    <n v="1178"/>
    <x v="0"/>
    <n v="14"/>
    <n v="2"/>
    <s v="Life Sciences"/>
    <n v="500"/>
    <n v="3"/>
    <x v="0"/>
    <n v="87"/>
    <n v="3"/>
    <n v="2"/>
    <x v="0"/>
    <n v="4"/>
    <s v="Married"/>
    <x v="365"/>
    <n v="14862"/>
    <n v="4"/>
    <x v="1"/>
    <n v="11"/>
    <n v="3"/>
    <n v="3"/>
    <n v="1"/>
    <n v="18"/>
    <n v="2"/>
    <n v="2"/>
    <n v="7"/>
    <n v="7"/>
    <n v="0"/>
    <n v="7"/>
    <x v="1"/>
    <s v="Mid"/>
    <n v="6959.17264573991"/>
    <s v="Below salary"/>
    <s v="Low Risk"/>
  </r>
  <r>
    <n v="36"/>
    <x v="1"/>
    <s v="Travel_Rarely"/>
    <n v="329"/>
    <x v="1"/>
    <n v="2"/>
    <n v="3"/>
    <s v="Life Sciences"/>
    <n v="501"/>
    <n v="4"/>
    <x v="0"/>
    <n v="96"/>
    <n v="3"/>
    <n v="1"/>
    <x v="1"/>
    <n v="3"/>
    <s v="Married"/>
    <x v="366"/>
    <n v="11868"/>
    <n v="4"/>
    <x v="1"/>
    <n v="13"/>
    <n v="3"/>
    <n v="2"/>
    <n v="1"/>
    <n v="6"/>
    <n v="3"/>
    <n v="3"/>
    <n v="2"/>
    <n v="2"/>
    <n v="2"/>
    <n v="2"/>
    <x v="0"/>
    <s v="Low"/>
    <n v="6281.2528616024974"/>
    <s v="Below salary"/>
    <s v="Low Risk"/>
  </r>
  <r>
    <n v="34"/>
    <x v="0"/>
    <s v="Non-Travel"/>
    <n v="1362"/>
    <x v="0"/>
    <n v="19"/>
    <n v="3"/>
    <s v="Marketing"/>
    <n v="502"/>
    <n v="1"/>
    <x v="1"/>
    <n v="67"/>
    <n v="4"/>
    <n v="2"/>
    <x v="0"/>
    <n v="4"/>
    <s v="Single"/>
    <x v="367"/>
    <n v="4652"/>
    <n v="8"/>
    <x v="0"/>
    <n v="13"/>
    <n v="3"/>
    <n v="2"/>
    <n v="0"/>
    <n v="9"/>
    <n v="3"/>
    <n v="2"/>
    <n v="5"/>
    <n v="2"/>
    <n v="0"/>
    <n v="4"/>
    <x v="2"/>
    <s v="Mid"/>
    <n v="6959.17264573991"/>
    <s v="Below salary"/>
    <s v="Medium Risk"/>
  </r>
  <r>
    <n v="55"/>
    <x v="1"/>
    <s v="Travel_Rarely"/>
    <n v="1311"/>
    <x v="1"/>
    <n v="2"/>
    <n v="3"/>
    <s v="Life Sciences"/>
    <n v="505"/>
    <n v="3"/>
    <x v="0"/>
    <n v="97"/>
    <n v="3"/>
    <n v="4"/>
    <x v="5"/>
    <n v="4"/>
    <s v="Single"/>
    <x v="368"/>
    <n v="23258"/>
    <n v="2"/>
    <x v="0"/>
    <n v="13"/>
    <n v="3"/>
    <n v="3"/>
    <n v="0"/>
    <n v="30"/>
    <n v="2"/>
    <n v="3"/>
    <n v="5"/>
    <n v="4"/>
    <n v="1"/>
    <n v="2"/>
    <x v="1"/>
    <s v="Very High"/>
    <n v="6281.2528616024974"/>
    <s v="Above salary"/>
    <s v="Medium Risk"/>
  </r>
  <r>
    <n v="24"/>
    <x v="1"/>
    <s v="Travel_Rarely"/>
    <n v="1371"/>
    <x v="0"/>
    <n v="10"/>
    <n v="4"/>
    <s v="Marketing"/>
    <n v="507"/>
    <n v="4"/>
    <x v="0"/>
    <n v="77"/>
    <n v="3"/>
    <n v="2"/>
    <x v="0"/>
    <n v="3"/>
    <s v="Divorced"/>
    <x v="369"/>
    <n v="5915"/>
    <n v="1"/>
    <x v="0"/>
    <n v="12"/>
    <n v="3"/>
    <n v="4"/>
    <n v="1"/>
    <n v="5"/>
    <n v="2"/>
    <n v="4"/>
    <n v="5"/>
    <n v="2"/>
    <n v="0"/>
    <n v="3"/>
    <x v="3"/>
    <s v="Mid"/>
    <n v="6959.17264573991"/>
    <s v="Below salary"/>
    <s v="Medium Risk"/>
  </r>
  <r>
    <n v="30"/>
    <x v="1"/>
    <s v="Travel_Rarely"/>
    <n v="202"/>
    <x v="0"/>
    <n v="2"/>
    <n v="1"/>
    <s v="Technical Degree"/>
    <n v="508"/>
    <n v="3"/>
    <x v="1"/>
    <n v="72"/>
    <n v="3"/>
    <n v="1"/>
    <x v="6"/>
    <n v="2"/>
    <s v="Married"/>
    <x v="370"/>
    <n v="17434"/>
    <n v="1"/>
    <x v="1"/>
    <n v="18"/>
    <n v="3"/>
    <n v="1"/>
    <n v="1"/>
    <n v="1"/>
    <n v="3"/>
    <n v="3"/>
    <n v="1"/>
    <n v="0"/>
    <n v="0"/>
    <n v="0"/>
    <x v="2"/>
    <s v="Low"/>
    <n v="6959.17264573991"/>
    <s v="Below salary"/>
    <s v="Medium Risk"/>
  </r>
  <r>
    <n v="26"/>
    <x v="0"/>
    <s v="Travel_Frequently"/>
    <n v="575"/>
    <x v="1"/>
    <n v="3"/>
    <n v="1"/>
    <s v="Technical Degree"/>
    <n v="510"/>
    <n v="3"/>
    <x v="1"/>
    <n v="73"/>
    <n v="3"/>
    <n v="1"/>
    <x v="1"/>
    <n v="1"/>
    <s v="Single"/>
    <x v="371"/>
    <n v="6582"/>
    <n v="0"/>
    <x v="1"/>
    <n v="22"/>
    <n v="4"/>
    <n v="3"/>
    <n v="0"/>
    <n v="7"/>
    <n v="2"/>
    <n v="3"/>
    <n v="6"/>
    <n v="4"/>
    <n v="0"/>
    <n v="4"/>
    <x v="2"/>
    <s v="Mid"/>
    <n v="6281.2528616024974"/>
    <s v="Below salary"/>
    <s v="Medium Risk"/>
  </r>
  <r>
    <n v="22"/>
    <x v="1"/>
    <s v="Travel_Rarely"/>
    <n v="253"/>
    <x v="1"/>
    <n v="11"/>
    <n v="3"/>
    <s v="Medical"/>
    <n v="511"/>
    <n v="1"/>
    <x v="0"/>
    <n v="43"/>
    <n v="3"/>
    <n v="1"/>
    <x v="1"/>
    <n v="2"/>
    <s v="Married"/>
    <x v="372"/>
    <n v="24440"/>
    <n v="1"/>
    <x v="1"/>
    <n v="13"/>
    <n v="3"/>
    <n v="4"/>
    <n v="1"/>
    <n v="2"/>
    <n v="1"/>
    <n v="3"/>
    <n v="2"/>
    <n v="1"/>
    <n v="1"/>
    <n v="2"/>
    <x v="3"/>
    <s v="Low"/>
    <n v="6281.2528616024974"/>
    <s v="Below salary"/>
    <s v="Medium Risk"/>
  </r>
  <r>
    <n v="36"/>
    <x v="1"/>
    <s v="Travel_Rarely"/>
    <n v="164"/>
    <x v="0"/>
    <n v="2"/>
    <n v="2"/>
    <s v="Medical"/>
    <n v="513"/>
    <n v="2"/>
    <x v="1"/>
    <n v="61"/>
    <n v="2"/>
    <n v="3"/>
    <x v="0"/>
    <n v="3"/>
    <s v="Married"/>
    <x v="373"/>
    <n v="3809"/>
    <n v="1"/>
    <x v="1"/>
    <n v="13"/>
    <n v="3"/>
    <n v="2"/>
    <n v="2"/>
    <n v="10"/>
    <n v="2"/>
    <n v="3"/>
    <n v="10"/>
    <n v="9"/>
    <n v="9"/>
    <n v="0"/>
    <x v="0"/>
    <s v="High"/>
    <n v="6959.17264573991"/>
    <s v="Above salary"/>
    <s v="Low Risk"/>
  </r>
  <r>
    <n v="30"/>
    <x v="0"/>
    <s v="Travel_Frequently"/>
    <n v="464"/>
    <x v="1"/>
    <n v="4"/>
    <n v="3"/>
    <s v="Technical Degree"/>
    <n v="514"/>
    <n v="3"/>
    <x v="1"/>
    <n v="40"/>
    <n v="3"/>
    <n v="1"/>
    <x v="1"/>
    <n v="4"/>
    <s v="Single"/>
    <x v="374"/>
    <n v="3427"/>
    <n v="9"/>
    <x v="0"/>
    <n v="23"/>
    <n v="4"/>
    <n v="3"/>
    <n v="0"/>
    <n v="3"/>
    <n v="4"/>
    <n v="3"/>
    <n v="1"/>
    <n v="0"/>
    <n v="0"/>
    <n v="0"/>
    <x v="2"/>
    <s v="Low"/>
    <n v="6281.2528616024974"/>
    <s v="Below salary"/>
    <s v="Medium Risk"/>
  </r>
  <r>
    <n v="37"/>
    <x v="1"/>
    <s v="Travel_Rarely"/>
    <n v="1107"/>
    <x v="1"/>
    <n v="14"/>
    <n v="3"/>
    <s v="Life Sciences"/>
    <n v="515"/>
    <n v="4"/>
    <x v="0"/>
    <n v="95"/>
    <n v="3"/>
    <n v="1"/>
    <x v="2"/>
    <n v="1"/>
    <s v="Divorced"/>
    <x v="375"/>
    <n v="26914"/>
    <n v="1"/>
    <x v="1"/>
    <n v="12"/>
    <n v="3"/>
    <n v="3"/>
    <n v="1"/>
    <n v="18"/>
    <n v="2"/>
    <n v="2"/>
    <n v="18"/>
    <n v="7"/>
    <n v="12"/>
    <n v="17"/>
    <x v="0"/>
    <s v="Mid"/>
    <n v="6281.2528616024974"/>
    <s v="Below salary"/>
    <s v="Medium Risk"/>
  </r>
  <r>
    <n v="40"/>
    <x v="1"/>
    <s v="Travel_Rarely"/>
    <n v="759"/>
    <x v="0"/>
    <n v="2"/>
    <n v="2"/>
    <s v="Marketing"/>
    <n v="516"/>
    <n v="4"/>
    <x v="0"/>
    <n v="46"/>
    <n v="3"/>
    <n v="2"/>
    <x v="0"/>
    <n v="2"/>
    <s v="Divorced"/>
    <x v="376"/>
    <n v="22553"/>
    <n v="7"/>
    <x v="1"/>
    <n v="12"/>
    <n v="3"/>
    <n v="3"/>
    <n v="2"/>
    <n v="8"/>
    <n v="5"/>
    <n v="3"/>
    <n v="5"/>
    <n v="4"/>
    <n v="1"/>
    <n v="3"/>
    <x v="0"/>
    <s v="Mid"/>
    <n v="6959.17264573991"/>
    <s v="Below salary"/>
    <s v="Medium Risk"/>
  </r>
  <r>
    <n v="42"/>
    <x v="1"/>
    <s v="Travel_Rarely"/>
    <n v="201"/>
    <x v="1"/>
    <n v="1"/>
    <n v="4"/>
    <s v="Life Sciences"/>
    <n v="517"/>
    <n v="2"/>
    <x v="0"/>
    <n v="95"/>
    <n v="3"/>
    <n v="1"/>
    <x v="2"/>
    <n v="1"/>
    <s v="Divorced"/>
    <x v="377"/>
    <n v="20490"/>
    <n v="3"/>
    <x v="1"/>
    <n v="16"/>
    <n v="3"/>
    <n v="2"/>
    <n v="1"/>
    <n v="8"/>
    <n v="5"/>
    <n v="3"/>
    <n v="5"/>
    <n v="2"/>
    <n v="1"/>
    <n v="2"/>
    <x v="0"/>
    <s v="Low"/>
    <n v="6281.2528616024974"/>
    <s v="Below salary"/>
    <s v="Medium Risk"/>
  </r>
  <r>
    <n v="37"/>
    <x v="1"/>
    <s v="Travel_Rarely"/>
    <n v="1305"/>
    <x v="1"/>
    <n v="10"/>
    <n v="4"/>
    <s v="Life Sciences"/>
    <n v="518"/>
    <n v="3"/>
    <x v="1"/>
    <n v="49"/>
    <n v="3"/>
    <n v="2"/>
    <x v="3"/>
    <n v="2"/>
    <s v="Single"/>
    <x v="378"/>
    <n v="21123"/>
    <n v="2"/>
    <x v="0"/>
    <n v="12"/>
    <n v="3"/>
    <n v="4"/>
    <n v="0"/>
    <n v="18"/>
    <n v="2"/>
    <n v="2"/>
    <n v="1"/>
    <n v="0"/>
    <n v="0"/>
    <n v="1"/>
    <x v="0"/>
    <s v="Mid"/>
    <n v="6281.2528616024974"/>
    <s v="Below salary"/>
    <s v="High Risk"/>
  </r>
  <r>
    <n v="43"/>
    <x v="1"/>
    <s v="Travel_Rarely"/>
    <n v="982"/>
    <x v="1"/>
    <n v="12"/>
    <n v="3"/>
    <s v="Life Sciences"/>
    <n v="520"/>
    <n v="1"/>
    <x v="1"/>
    <n v="59"/>
    <n v="2"/>
    <n v="4"/>
    <x v="7"/>
    <n v="2"/>
    <s v="Divorced"/>
    <x v="379"/>
    <n v="4345"/>
    <n v="1"/>
    <x v="1"/>
    <n v="11"/>
    <n v="3"/>
    <n v="3"/>
    <n v="1"/>
    <n v="25"/>
    <n v="3"/>
    <n v="3"/>
    <n v="25"/>
    <n v="10"/>
    <n v="3"/>
    <n v="9"/>
    <x v="0"/>
    <s v="Very High"/>
    <n v="6281.2528616024974"/>
    <s v="Above salary"/>
    <s v="Medium Risk"/>
  </r>
  <r>
    <n v="40"/>
    <x v="1"/>
    <s v="Travel_Rarely"/>
    <n v="555"/>
    <x v="1"/>
    <n v="2"/>
    <n v="3"/>
    <s v="Medical"/>
    <n v="521"/>
    <n v="2"/>
    <x v="0"/>
    <n v="78"/>
    <n v="2"/>
    <n v="2"/>
    <x v="2"/>
    <n v="3"/>
    <s v="Married"/>
    <x v="380"/>
    <n v="13436"/>
    <n v="6"/>
    <x v="1"/>
    <n v="22"/>
    <n v="4"/>
    <n v="2"/>
    <n v="1"/>
    <n v="20"/>
    <n v="3"/>
    <n v="3"/>
    <n v="1"/>
    <n v="0"/>
    <n v="0"/>
    <n v="0"/>
    <x v="0"/>
    <s v="Mid"/>
    <n v="6281.2528616024974"/>
    <s v="Below salary"/>
    <s v="Low Risk"/>
  </r>
  <r>
    <n v="54"/>
    <x v="1"/>
    <s v="Travel_Rarely"/>
    <n v="821"/>
    <x v="1"/>
    <n v="5"/>
    <n v="2"/>
    <s v="Medical"/>
    <n v="522"/>
    <n v="1"/>
    <x v="1"/>
    <n v="86"/>
    <n v="3"/>
    <n v="5"/>
    <x v="7"/>
    <n v="1"/>
    <s v="Married"/>
    <x v="381"/>
    <n v="8509"/>
    <n v="4"/>
    <x v="1"/>
    <n v="11"/>
    <n v="3"/>
    <n v="3"/>
    <n v="1"/>
    <n v="24"/>
    <n v="4"/>
    <n v="2"/>
    <n v="4"/>
    <n v="2"/>
    <n v="1"/>
    <n v="2"/>
    <x v="1"/>
    <s v="Very High"/>
    <n v="6281.2528616024974"/>
    <s v="Above salary"/>
    <s v="Medium Risk"/>
  </r>
  <r>
    <n v="34"/>
    <x v="1"/>
    <s v="Non-Travel"/>
    <n v="1381"/>
    <x v="0"/>
    <n v="4"/>
    <n v="4"/>
    <s v="Marketing"/>
    <n v="523"/>
    <n v="3"/>
    <x v="0"/>
    <n v="72"/>
    <n v="3"/>
    <n v="2"/>
    <x v="0"/>
    <n v="3"/>
    <s v="Married"/>
    <x v="382"/>
    <n v="12740"/>
    <n v="9"/>
    <x v="1"/>
    <n v="15"/>
    <n v="3"/>
    <n v="1"/>
    <n v="1"/>
    <n v="6"/>
    <n v="3"/>
    <n v="3"/>
    <n v="3"/>
    <n v="2"/>
    <n v="1"/>
    <n v="2"/>
    <x v="2"/>
    <s v="Mid"/>
    <n v="6959.17264573991"/>
    <s v="Below salary"/>
    <s v="Low Risk"/>
  </r>
  <r>
    <n v="31"/>
    <x v="1"/>
    <s v="Travel_Rarely"/>
    <n v="480"/>
    <x v="1"/>
    <n v="7"/>
    <n v="2"/>
    <s v="Medical"/>
    <n v="524"/>
    <n v="2"/>
    <x v="0"/>
    <n v="31"/>
    <n v="3"/>
    <n v="2"/>
    <x v="3"/>
    <n v="1"/>
    <s v="Married"/>
    <x v="383"/>
    <n v="4156"/>
    <n v="1"/>
    <x v="1"/>
    <n v="12"/>
    <n v="3"/>
    <n v="2"/>
    <n v="1"/>
    <n v="13"/>
    <n v="5"/>
    <n v="1"/>
    <n v="13"/>
    <n v="10"/>
    <n v="3"/>
    <n v="12"/>
    <x v="2"/>
    <s v="Mid"/>
    <n v="6281.2528616024974"/>
    <s v="Below salary"/>
    <s v="Medium Risk"/>
  </r>
  <r>
    <n v="43"/>
    <x v="1"/>
    <s v="Travel_Frequently"/>
    <n v="313"/>
    <x v="1"/>
    <n v="21"/>
    <n v="3"/>
    <s v="Medical"/>
    <n v="525"/>
    <n v="4"/>
    <x v="1"/>
    <n v="61"/>
    <n v="3"/>
    <n v="1"/>
    <x v="2"/>
    <n v="4"/>
    <s v="Married"/>
    <x v="384"/>
    <n v="15238"/>
    <n v="7"/>
    <x v="1"/>
    <n v="20"/>
    <n v="4"/>
    <n v="1"/>
    <n v="1"/>
    <n v="8"/>
    <n v="1"/>
    <n v="3"/>
    <n v="3"/>
    <n v="2"/>
    <n v="1"/>
    <n v="2"/>
    <x v="0"/>
    <s v="Low"/>
    <n v="6281.2528616024974"/>
    <s v="Below salary"/>
    <s v="Low Risk"/>
  </r>
  <r>
    <n v="43"/>
    <x v="1"/>
    <s v="Travel_Rarely"/>
    <n v="1473"/>
    <x v="1"/>
    <n v="8"/>
    <n v="4"/>
    <s v="Other"/>
    <n v="526"/>
    <n v="3"/>
    <x v="0"/>
    <n v="74"/>
    <n v="3"/>
    <n v="2"/>
    <x v="4"/>
    <n v="3"/>
    <s v="Divorced"/>
    <x v="385"/>
    <n v="2227"/>
    <n v="4"/>
    <x v="0"/>
    <n v="14"/>
    <n v="3"/>
    <n v="4"/>
    <n v="0"/>
    <n v="8"/>
    <n v="3"/>
    <n v="3"/>
    <n v="5"/>
    <n v="2"/>
    <n v="0"/>
    <n v="2"/>
    <x v="0"/>
    <s v="Mid"/>
    <n v="6281.2528616024974"/>
    <s v="Below salary"/>
    <s v="Medium Risk"/>
  </r>
  <r>
    <n v="25"/>
    <x v="1"/>
    <s v="Travel_Rarely"/>
    <n v="891"/>
    <x v="0"/>
    <n v="4"/>
    <n v="2"/>
    <s v="Life Sciences"/>
    <n v="527"/>
    <n v="2"/>
    <x v="0"/>
    <n v="99"/>
    <n v="2"/>
    <n v="2"/>
    <x v="0"/>
    <n v="4"/>
    <s v="Single"/>
    <x v="386"/>
    <n v="12090"/>
    <n v="1"/>
    <x v="0"/>
    <n v="11"/>
    <n v="3"/>
    <n v="2"/>
    <n v="0"/>
    <n v="5"/>
    <n v="3"/>
    <n v="3"/>
    <n v="5"/>
    <n v="4"/>
    <n v="1"/>
    <n v="3"/>
    <x v="3"/>
    <s v="Mid"/>
    <n v="6959.17264573991"/>
    <s v="Below salary"/>
    <s v="Medium Risk"/>
  </r>
  <r>
    <n v="37"/>
    <x v="1"/>
    <s v="Non-Travel"/>
    <n v="1063"/>
    <x v="1"/>
    <n v="25"/>
    <n v="5"/>
    <s v="Medical"/>
    <n v="529"/>
    <n v="2"/>
    <x v="0"/>
    <n v="72"/>
    <n v="3"/>
    <n v="2"/>
    <x v="1"/>
    <n v="3"/>
    <s v="Married"/>
    <x v="387"/>
    <n v="23866"/>
    <n v="3"/>
    <x v="0"/>
    <n v="15"/>
    <n v="3"/>
    <n v="1"/>
    <n v="2"/>
    <n v="15"/>
    <n v="2"/>
    <n v="3"/>
    <n v="13"/>
    <n v="11"/>
    <n v="10"/>
    <n v="7"/>
    <x v="0"/>
    <s v="Mid"/>
    <n v="6281.2528616024974"/>
    <s v="Below salary"/>
    <s v="Medium Risk"/>
  </r>
  <r>
    <n v="31"/>
    <x v="1"/>
    <s v="Travel_Rarely"/>
    <n v="329"/>
    <x v="1"/>
    <n v="1"/>
    <n v="2"/>
    <s v="Life Sciences"/>
    <n v="530"/>
    <n v="4"/>
    <x v="1"/>
    <n v="98"/>
    <n v="2"/>
    <n v="1"/>
    <x v="2"/>
    <n v="1"/>
    <s v="Married"/>
    <x v="388"/>
    <n v="16193"/>
    <n v="1"/>
    <x v="1"/>
    <n v="12"/>
    <n v="3"/>
    <n v="3"/>
    <n v="1"/>
    <n v="4"/>
    <n v="3"/>
    <n v="3"/>
    <n v="4"/>
    <n v="2"/>
    <n v="3"/>
    <n v="2"/>
    <x v="2"/>
    <s v="Low"/>
    <n v="6281.2528616024974"/>
    <s v="Below salary"/>
    <s v="Medium Risk"/>
  </r>
  <r>
    <n v="39"/>
    <x v="1"/>
    <s v="Travel_Frequently"/>
    <n v="1218"/>
    <x v="1"/>
    <n v="1"/>
    <n v="1"/>
    <s v="Life Sciences"/>
    <n v="531"/>
    <n v="2"/>
    <x v="1"/>
    <n v="52"/>
    <n v="3"/>
    <n v="5"/>
    <x v="5"/>
    <n v="3"/>
    <s v="Divorced"/>
    <x v="389"/>
    <n v="8213"/>
    <n v="1"/>
    <x v="0"/>
    <n v="14"/>
    <n v="3"/>
    <n v="3"/>
    <n v="1"/>
    <n v="21"/>
    <n v="3"/>
    <n v="3"/>
    <n v="21"/>
    <n v="8"/>
    <n v="1"/>
    <n v="6"/>
    <x v="0"/>
    <s v="Very High"/>
    <n v="6281.2528616024974"/>
    <s v="Above salary"/>
    <s v="Medium Risk"/>
  </r>
  <r>
    <n v="56"/>
    <x v="1"/>
    <s v="Travel_Frequently"/>
    <n v="906"/>
    <x v="0"/>
    <n v="6"/>
    <n v="3"/>
    <s v="Life Sciences"/>
    <n v="532"/>
    <n v="3"/>
    <x v="0"/>
    <n v="86"/>
    <n v="4"/>
    <n v="4"/>
    <x v="0"/>
    <n v="1"/>
    <s v="Married"/>
    <x v="390"/>
    <n v="18256"/>
    <n v="9"/>
    <x v="1"/>
    <n v="11"/>
    <n v="3"/>
    <n v="4"/>
    <n v="3"/>
    <n v="36"/>
    <n v="0"/>
    <n v="2"/>
    <n v="7"/>
    <n v="7"/>
    <n v="7"/>
    <n v="7"/>
    <x v="1"/>
    <s v="Very High"/>
    <n v="6959.17264573991"/>
    <s v="Above salary"/>
    <s v="Medium Risk"/>
  </r>
  <r>
    <n v="30"/>
    <x v="1"/>
    <s v="Travel_Rarely"/>
    <n v="1082"/>
    <x v="0"/>
    <n v="12"/>
    <n v="3"/>
    <s v="Technical Degree"/>
    <n v="533"/>
    <n v="2"/>
    <x v="0"/>
    <n v="83"/>
    <n v="3"/>
    <n v="2"/>
    <x v="0"/>
    <n v="3"/>
    <s v="Single"/>
    <x v="391"/>
    <n v="19558"/>
    <n v="0"/>
    <x v="1"/>
    <n v="11"/>
    <n v="3"/>
    <n v="2"/>
    <n v="0"/>
    <n v="6"/>
    <n v="6"/>
    <n v="3"/>
    <n v="5"/>
    <n v="4"/>
    <n v="4"/>
    <n v="4"/>
    <x v="2"/>
    <s v="Mid"/>
    <n v="6959.17264573991"/>
    <s v="Below salary"/>
    <s v="Low Risk"/>
  </r>
  <r>
    <n v="41"/>
    <x v="1"/>
    <s v="Travel_Rarely"/>
    <n v="645"/>
    <x v="0"/>
    <n v="1"/>
    <n v="3"/>
    <s v="Marketing"/>
    <n v="534"/>
    <n v="2"/>
    <x v="1"/>
    <n v="49"/>
    <n v="4"/>
    <n v="3"/>
    <x v="0"/>
    <n v="1"/>
    <s v="Married"/>
    <x v="392"/>
    <n v="19566"/>
    <n v="1"/>
    <x v="1"/>
    <n v="16"/>
    <n v="3"/>
    <n v="3"/>
    <n v="1"/>
    <n v="10"/>
    <n v="2"/>
    <n v="3"/>
    <n v="10"/>
    <n v="7"/>
    <n v="0"/>
    <n v="7"/>
    <x v="0"/>
    <s v="High"/>
    <n v="6959.17264573991"/>
    <s v="Above salary"/>
    <s v="Medium Risk"/>
  </r>
  <r>
    <n v="28"/>
    <x v="1"/>
    <s v="Travel_Rarely"/>
    <n v="1300"/>
    <x v="1"/>
    <n v="17"/>
    <n v="2"/>
    <s v="Medical"/>
    <n v="536"/>
    <n v="3"/>
    <x v="1"/>
    <n v="79"/>
    <n v="3"/>
    <n v="2"/>
    <x v="2"/>
    <n v="1"/>
    <s v="Divorced"/>
    <x v="393"/>
    <n v="13535"/>
    <n v="1"/>
    <x v="1"/>
    <n v="12"/>
    <n v="3"/>
    <n v="4"/>
    <n v="1"/>
    <n v="10"/>
    <n v="2"/>
    <n v="3"/>
    <n v="10"/>
    <n v="0"/>
    <n v="1"/>
    <n v="8"/>
    <x v="2"/>
    <s v="Mid"/>
    <n v="6281.2528616024974"/>
    <s v="Below salary"/>
    <s v="Medium Risk"/>
  </r>
  <r>
    <n v="25"/>
    <x v="0"/>
    <s v="Travel_Rarely"/>
    <n v="688"/>
    <x v="1"/>
    <n v="3"/>
    <n v="3"/>
    <s v="Medical"/>
    <n v="538"/>
    <n v="1"/>
    <x v="1"/>
    <n v="91"/>
    <n v="3"/>
    <n v="1"/>
    <x v="2"/>
    <n v="1"/>
    <s v="Married"/>
    <x v="394"/>
    <n v="9396"/>
    <n v="5"/>
    <x v="1"/>
    <n v="13"/>
    <n v="3"/>
    <n v="3"/>
    <n v="1"/>
    <n v="6"/>
    <n v="5"/>
    <n v="3"/>
    <n v="2"/>
    <n v="2"/>
    <n v="0"/>
    <n v="2"/>
    <x v="3"/>
    <s v="Mid"/>
    <n v="6281.2528616024974"/>
    <s v="Below salary"/>
    <s v="Medium Risk"/>
  </r>
  <r>
    <n v="52"/>
    <x v="1"/>
    <s v="Travel_Rarely"/>
    <n v="319"/>
    <x v="1"/>
    <n v="3"/>
    <n v="3"/>
    <s v="Medical"/>
    <n v="543"/>
    <n v="4"/>
    <x v="1"/>
    <n v="39"/>
    <n v="2"/>
    <n v="3"/>
    <x v="3"/>
    <n v="3"/>
    <s v="Married"/>
    <x v="395"/>
    <n v="19609"/>
    <n v="2"/>
    <x v="0"/>
    <n v="14"/>
    <n v="3"/>
    <n v="3"/>
    <n v="0"/>
    <n v="28"/>
    <n v="4"/>
    <n v="3"/>
    <n v="5"/>
    <n v="4"/>
    <n v="0"/>
    <n v="4"/>
    <x v="1"/>
    <s v="High"/>
    <n v="6281.2528616024974"/>
    <s v="Above salary"/>
    <s v="Medium Risk"/>
  </r>
  <r>
    <n v="45"/>
    <x v="1"/>
    <s v="Travel_Rarely"/>
    <n v="192"/>
    <x v="1"/>
    <n v="10"/>
    <n v="2"/>
    <s v="Life Sciences"/>
    <n v="544"/>
    <n v="1"/>
    <x v="1"/>
    <n v="69"/>
    <n v="3"/>
    <n v="1"/>
    <x v="1"/>
    <n v="4"/>
    <s v="Married"/>
    <x v="396"/>
    <n v="9655"/>
    <n v="3"/>
    <x v="1"/>
    <n v="21"/>
    <n v="4"/>
    <n v="4"/>
    <n v="2"/>
    <n v="8"/>
    <n v="3"/>
    <n v="2"/>
    <n v="2"/>
    <n v="2"/>
    <n v="0"/>
    <n v="2"/>
    <x v="0"/>
    <s v="Low"/>
    <n v="6281.2528616024974"/>
    <s v="Below salary"/>
    <s v="Low Risk"/>
  </r>
  <r>
    <n v="52"/>
    <x v="1"/>
    <s v="Travel_Rarely"/>
    <n v="1490"/>
    <x v="1"/>
    <n v="4"/>
    <n v="2"/>
    <s v="Life Sciences"/>
    <n v="546"/>
    <n v="4"/>
    <x v="0"/>
    <n v="30"/>
    <n v="3"/>
    <n v="4"/>
    <x v="5"/>
    <n v="4"/>
    <s v="Married"/>
    <x v="397"/>
    <n v="10310"/>
    <n v="2"/>
    <x v="1"/>
    <n v="13"/>
    <n v="3"/>
    <n v="4"/>
    <n v="0"/>
    <n v="31"/>
    <n v="2"/>
    <n v="1"/>
    <n v="5"/>
    <n v="2"/>
    <n v="1"/>
    <n v="4"/>
    <x v="1"/>
    <s v="Very High"/>
    <n v="6281.2528616024974"/>
    <s v="Above salary"/>
    <s v="Low Risk"/>
  </r>
  <r>
    <n v="42"/>
    <x v="1"/>
    <s v="Travel_Frequently"/>
    <n v="532"/>
    <x v="1"/>
    <n v="29"/>
    <n v="2"/>
    <s v="Life Sciences"/>
    <n v="547"/>
    <n v="1"/>
    <x v="0"/>
    <n v="92"/>
    <n v="3"/>
    <n v="2"/>
    <x v="1"/>
    <n v="3"/>
    <s v="Divorced"/>
    <x v="398"/>
    <n v="12932"/>
    <n v="2"/>
    <x v="1"/>
    <n v="11"/>
    <n v="3"/>
    <n v="2"/>
    <n v="1"/>
    <n v="19"/>
    <n v="3"/>
    <n v="3"/>
    <n v="5"/>
    <n v="4"/>
    <n v="0"/>
    <n v="2"/>
    <x v="0"/>
    <s v="Mid"/>
    <n v="6281.2528616024974"/>
    <s v="Below salary"/>
    <s v="Low Risk"/>
  </r>
  <r>
    <n v="30"/>
    <x v="1"/>
    <s v="Travel_Rarely"/>
    <n v="317"/>
    <x v="1"/>
    <n v="2"/>
    <n v="3"/>
    <s v="Life Sciences"/>
    <n v="548"/>
    <n v="3"/>
    <x v="0"/>
    <n v="43"/>
    <n v="1"/>
    <n v="2"/>
    <x v="3"/>
    <n v="4"/>
    <s v="Single"/>
    <x v="399"/>
    <n v="24793"/>
    <n v="2"/>
    <x v="1"/>
    <n v="20"/>
    <n v="4"/>
    <n v="3"/>
    <n v="0"/>
    <n v="11"/>
    <n v="2"/>
    <n v="3"/>
    <n v="5"/>
    <n v="4"/>
    <n v="0"/>
    <n v="2"/>
    <x v="2"/>
    <s v="Mid"/>
    <n v="6281.2528616024974"/>
    <s v="Below salary"/>
    <s v="Low Risk"/>
  </r>
  <r>
    <n v="60"/>
    <x v="1"/>
    <s v="Travel_Rarely"/>
    <n v="422"/>
    <x v="1"/>
    <n v="7"/>
    <n v="3"/>
    <s v="Life Sciences"/>
    <n v="549"/>
    <n v="1"/>
    <x v="0"/>
    <n v="41"/>
    <n v="3"/>
    <n v="5"/>
    <x v="5"/>
    <n v="1"/>
    <s v="Married"/>
    <x v="400"/>
    <n v="3854"/>
    <n v="5"/>
    <x v="1"/>
    <n v="11"/>
    <n v="3"/>
    <n v="4"/>
    <n v="0"/>
    <n v="33"/>
    <n v="5"/>
    <n v="1"/>
    <n v="29"/>
    <n v="8"/>
    <n v="11"/>
    <n v="10"/>
    <x v="1"/>
    <s v="Very High"/>
    <n v="6281.2528616024974"/>
    <s v="Above salary"/>
    <s v="Medium Risk"/>
  </r>
  <r>
    <n v="46"/>
    <x v="1"/>
    <s v="Travel_Rarely"/>
    <n v="1485"/>
    <x v="1"/>
    <n v="18"/>
    <n v="3"/>
    <s v="Medical"/>
    <n v="550"/>
    <n v="3"/>
    <x v="0"/>
    <n v="87"/>
    <n v="3"/>
    <n v="2"/>
    <x v="3"/>
    <n v="3"/>
    <s v="Divorced"/>
    <x v="401"/>
    <n v="26314"/>
    <n v="2"/>
    <x v="1"/>
    <n v="14"/>
    <n v="3"/>
    <n v="3"/>
    <n v="1"/>
    <n v="19"/>
    <n v="5"/>
    <n v="2"/>
    <n v="10"/>
    <n v="7"/>
    <n v="0"/>
    <n v="8"/>
    <x v="1"/>
    <s v="Mid"/>
    <n v="6281.2528616024974"/>
    <s v="Below salary"/>
    <s v="Low Risk"/>
  </r>
  <r>
    <n v="42"/>
    <x v="1"/>
    <s v="Travel_Frequently"/>
    <n v="1368"/>
    <x v="1"/>
    <n v="28"/>
    <n v="4"/>
    <s v="Technical Degree"/>
    <n v="551"/>
    <n v="4"/>
    <x v="0"/>
    <n v="88"/>
    <n v="2"/>
    <n v="2"/>
    <x v="4"/>
    <n v="4"/>
    <s v="Married"/>
    <x v="402"/>
    <n v="4386"/>
    <n v="0"/>
    <x v="1"/>
    <n v="11"/>
    <n v="3"/>
    <n v="4"/>
    <n v="3"/>
    <n v="7"/>
    <n v="4"/>
    <n v="4"/>
    <n v="6"/>
    <n v="5"/>
    <n v="0"/>
    <n v="4"/>
    <x v="0"/>
    <s v="Mid"/>
    <n v="6281.2528616024974"/>
    <s v="Below salary"/>
    <s v="Low Risk"/>
  </r>
  <r>
    <n v="24"/>
    <x v="0"/>
    <s v="Travel_Rarely"/>
    <n v="1448"/>
    <x v="0"/>
    <n v="1"/>
    <n v="1"/>
    <s v="Technical Degree"/>
    <n v="554"/>
    <n v="1"/>
    <x v="0"/>
    <n v="62"/>
    <n v="3"/>
    <n v="1"/>
    <x v="6"/>
    <n v="2"/>
    <s v="Single"/>
    <x v="403"/>
    <n v="21972"/>
    <n v="1"/>
    <x v="0"/>
    <n v="16"/>
    <n v="3"/>
    <n v="2"/>
    <n v="0"/>
    <n v="6"/>
    <n v="4"/>
    <n v="3"/>
    <n v="5"/>
    <n v="3"/>
    <n v="1"/>
    <n v="4"/>
    <x v="3"/>
    <s v="Mid"/>
    <n v="6959.17264573991"/>
    <s v="Below salary"/>
    <s v="High Risk"/>
  </r>
  <r>
    <n v="34"/>
    <x v="0"/>
    <s v="Travel_Frequently"/>
    <n v="296"/>
    <x v="0"/>
    <n v="6"/>
    <n v="2"/>
    <s v="Marketing"/>
    <n v="555"/>
    <n v="4"/>
    <x v="0"/>
    <n v="33"/>
    <n v="1"/>
    <n v="1"/>
    <x v="6"/>
    <n v="3"/>
    <s v="Divorced"/>
    <x v="404"/>
    <n v="12253"/>
    <n v="0"/>
    <x v="1"/>
    <n v="16"/>
    <n v="3"/>
    <n v="4"/>
    <n v="1"/>
    <n v="3"/>
    <n v="3"/>
    <n v="2"/>
    <n v="2"/>
    <n v="2"/>
    <n v="1"/>
    <n v="0"/>
    <x v="2"/>
    <s v="Low"/>
    <n v="6959.17264573991"/>
    <s v="Below salary"/>
    <s v="Low Risk"/>
  </r>
  <r>
    <n v="38"/>
    <x v="1"/>
    <s v="Travel_Frequently"/>
    <n v="1490"/>
    <x v="1"/>
    <n v="2"/>
    <n v="2"/>
    <s v="Life Sciences"/>
    <n v="556"/>
    <n v="4"/>
    <x v="1"/>
    <n v="42"/>
    <n v="3"/>
    <n v="1"/>
    <x v="2"/>
    <n v="4"/>
    <s v="Married"/>
    <x v="405"/>
    <n v="12106"/>
    <n v="1"/>
    <x v="0"/>
    <n v="23"/>
    <n v="4"/>
    <n v="3"/>
    <n v="1"/>
    <n v="1"/>
    <n v="3"/>
    <n v="3"/>
    <n v="1"/>
    <n v="0"/>
    <n v="0"/>
    <n v="0"/>
    <x v="0"/>
    <s v="Low"/>
    <n v="6281.2528616024974"/>
    <s v="Below salary"/>
    <s v="Medium Risk"/>
  </r>
  <r>
    <n v="40"/>
    <x v="1"/>
    <s v="Travel_Rarely"/>
    <n v="1398"/>
    <x v="0"/>
    <n v="2"/>
    <n v="4"/>
    <s v="Life Sciences"/>
    <n v="558"/>
    <n v="3"/>
    <x v="0"/>
    <n v="79"/>
    <n v="3"/>
    <n v="5"/>
    <x v="5"/>
    <n v="3"/>
    <s v="Married"/>
    <x v="406"/>
    <n v="13022"/>
    <n v="0"/>
    <x v="1"/>
    <n v="14"/>
    <n v="3"/>
    <n v="4"/>
    <n v="0"/>
    <n v="21"/>
    <n v="2"/>
    <n v="3"/>
    <n v="20"/>
    <n v="15"/>
    <n v="1"/>
    <n v="12"/>
    <x v="0"/>
    <s v="Very High"/>
    <n v="6959.17264573991"/>
    <s v="Above salary"/>
    <s v="Low Risk"/>
  </r>
  <r>
    <n v="26"/>
    <x v="1"/>
    <s v="Travel_Rarely"/>
    <n v="1349"/>
    <x v="1"/>
    <n v="23"/>
    <n v="3"/>
    <s v="Life Sciences"/>
    <n v="560"/>
    <n v="1"/>
    <x v="0"/>
    <n v="90"/>
    <n v="3"/>
    <n v="1"/>
    <x v="1"/>
    <n v="4"/>
    <s v="Divorced"/>
    <x v="407"/>
    <n v="3032"/>
    <n v="1"/>
    <x v="1"/>
    <n v="22"/>
    <n v="4"/>
    <n v="2"/>
    <n v="2"/>
    <n v="3"/>
    <n v="3"/>
    <n v="1"/>
    <n v="3"/>
    <n v="2"/>
    <n v="0"/>
    <n v="2"/>
    <x v="2"/>
    <s v="Low"/>
    <n v="6281.2528616024974"/>
    <s v="Below salary"/>
    <s v="Low Risk"/>
  </r>
  <r>
    <n v="30"/>
    <x v="1"/>
    <s v="Non-Travel"/>
    <n v="1400"/>
    <x v="1"/>
    <n v="3"/>
    <n v="3"/>
    <s v="Life Sciences"/>
    <n v="562"/>
    <n v="3"/>
    <x v="1"/>
    <n v="53"/>
    <n v="3"/>
    <n v="1"/>
    <x v="2"/>
    <n v="4"/>
    <s v="Married"/>
    <x v="408"/>
    <n v="16734"/>
    <n v="4"/>
    <x v="1"/>
    <n v="15"/>
    <n v="3"/>
    <n v="3"/>
    <n v="1"/>
    <n v="9"/>
    <n v="3"/>
    <n v="1"/>
    <n v="5"/>
    <n v="3"/>
    <n v="1"/>
    <n v="4"/>
    <x v="2"/>
    <s v="Low"/>
    <n v="6281.2528616024974"/>
    <s v="Below salary"/>
    <s v="Low Risk"/>
  </r>
  <r>
    <n v="29"/>
    <x v="1"/>
    <s v="Travel_Rarely"/>
    <n v="986"/>
    <x v="1"/>
    <n v="3"/>
    <n v="4"/>
    <s v="Medical"/>
    <n v="564"/>
    <n v="2"/>
    <x v="1"/>
    <n v="93"/>
    <n v="2"/>
    <n v="3"/>
    <x v="7"/>
    <n v="3"/>
    <s v="Married"/>
    <x v="409"/>
    <n v="21526"/>
    <n v="1"/>
    <x v="1"/>
    <n v="18"/>
    <n v="3"/>
    <n v="3"/>
    <n v="0"/>
    <n v="10"/>
    <n v="2"/>
    <n v="3"/>
    <n v="10"/>
    <n v="2"/>
    <n v="0"/>
    <n v="7"/>
    <x v="2"/>
    <s v="High"/>
    <n v="6281.2528616024974"/>
    <s v="Above salary"/>
    <s v="Low Risk"/>
  </r>
  <r>
    <n v="29"/>
    <x v="0"/>
    <s v="Travel_Rarely"/>
    <n v="408"/>
    <x v="1"/>
    <n v="25"/>
    <n v="5"/>
    <s v="Technical Degree"/>
    <n v="565"/>
    <n v="3"/>
    <x v="0"/>
    <n v="71"/>
    <n v="2"/>
    <n v="1"/>
    <x v="1"/>
    <n v="2"/>
    <s v="Married"/>
    <x v="410"/>
    <n v="18300"/>
    <n v="5"/>
    <x v="1"/>
    <n v="16"/>
    <n v="3"/>
    <n v="2"/>
    <n v="0"/>
    <n v="6"/>
    <n v="2"/>
    <n v="4"/>
    <n v="2"/>
    <n v="2"/>
    <n v="1"/>
    <n v="1"/>
    <x v="2"/>
    <s v="Low"/>
    <n v="6281.2528616024974"/>
    <s v="Below salary"/>
    <s v="Medium Risk"/>
  </r>
  <r>
    <n v="19"/>
    <x v="0"/>
    <s v="Travel_Rarely"/>
    <n v="489"/>
    <x v="2"/>
    <n v="2"/>
    <n v="2"/>
    <s v="Technical Degree"/>
    <n v="566"/>
    <n v="1"/>
    <x v="1"/>
    <n v="52"/>
    <n v="2"/>
    <n v="1"/>
    <x v="8"/>
    <n v="4"/>
    <s v="Single"/>
    <x v="411"/>
    <n v="18437"/>
    <n v="1"/>
    <x v="1"/>
    <n v="12"/>
    <n v="3"/>
    <n v="3"/>
    <n v="0"/>
    <n v="1"/>
    <n v="3"/>
    <n v="4"/>
    <n v="1"/>
    <n v="0"/>
    <n v="0"/>
    <n v="0"/>
    <x v="3"/>
    <s v="Low"/>
    <n v="6654.5079365079364"/>
    <s v="Below salary"/>
    <s v="Low Risk"/>
  </r>
  <r>
    <n v="30"/>
    <x v="1"/>
    <s v="Non-Travel"/>
    <n v="1398"/>
    <x v="0"/>
    <n v="22"/>
    <n v="4"/>
    <s v="Other"/>
    <n v="567"/>
    <n v="3"/>
    <x v="0"/>
    <n v="69"/>
    <n v="3"/>
    <n v="3"/>
    <x v="0"/>
    <n v="1"/>
    <s v="Married"/>
    <x v="412"/>
    <n v="2890"/>
    <n v="0"/>
    <x v="1"/>
    <n v="11"/>
    <n v="3"/>
    <n v="3"/>
    <n v="0"/>
    <n v="10"/>
    <n v="3"/>
    <n v="3"/>
    <n v="9"/>
    <n v="8"/>
    <n v="7"/>
    <n v="8"/>
    <x v="2"/>
    <s v="High"/>
    <n v="6959.17264573991"/>
    <s v="Above salary"/>
    <s v="Medium Risk"/>
  </r>
  <r>
    <n v="57"/>
    <x v="1"/>
    <s v="Travel_Rarely"/>
    <n v="210"/>
    <x v="0"/>
    <n v="29"/>
    <n v="3"/>
    <s v="Marketing"/>
    <n v="568"/>
    <n v="1"/>
    <x v="1"/>
    <n v="56"/>
    <n v="2"/>
    <n v="4"/>
    <x v="5"/>
    <n v="4"/>
    <s v="Divorced"/>
    <x v="413"/>
    <n v="22102"/>
    <n v="3"/>
    <x v="1"/>
    <n v="12"/>
    <n v="3"/>
    <n v="3"/>
    <n v="1"/>
    <n v="32"/>
    <n v="3"/>
    <n v="2"/>
    <n v="1"/>
    <n v="0"/>
    <n v="0"/>
    <n v="0"/>
    <x v="1"/>
    <s v="Very High"/>
    <n v="6959.17264573991"/>
    <s v="Above salary"/>
    <s v="Low Risk"/>
  </r>
  <r>
    <n v="50"/>
    <x v="1"/>
    <s v="Travel_Rarely"/>
    <n v="1099"/>
    <x v="1"/>
    <n v="29"/>
    <n v="4"/>
    <s v="Life Sciences"/>
    <n v="569"/>
    <n v="2"/>
    <x v="1"/>
    <n v="88"/>
    <n v="2"/>
    <n v="4"/>
    <x v="5"/>
    <n v="3"/>
    <s v="Married"/>
    <x v="414"/>
    <n v="9314"/>
    <n v="0"/>
    <x v="1"/>
    <n v="15"/>
    <n v="3"/>
    <n v="2"/>
    <n v="1"/>
    <n v="28"/>
    <n v="2"/>
    <n v="3"/>
    <n v="27"/>
    <n v="10"/>
    <n v="15"/>
    <n v="7"/>
    <x v="1"/>
    <s v="Very High"/>
    <n v="6281.2528616024974"/>
    <s v="Above salary"/>
    <s v="Low Risk"/>
  </r>
  <r>
    <n v="30"/>
    <x v="1"/>
    <s v="Non-Travel"/>
    <n v="1116"/>
    <x v="1"/>
    <n v="2"/>
    <n v="3"/>
    <s v="Medical"/>
    <n v="571"/>
    <n v="3"/>
    <x v="0"/>
    <n v="49"/>
    <n v="3"/>
    <n v="1"/>
    <x v="2"/>
    <n v="4"/>
    <s v="Single"/>
    <x v="411"/>
    <n v="7181"/>
    <n v="0"/>
    <x v="1"/>
    <n v="14"/>
    <n v="3"/>
    <n v="3"/>
    <n v="0"/>
    <n v="12"/>
    <n v="2"/>
    <n v="2"/>
    <n v="11"/>
    <n v="7"/>
    <n v="6"/>
    <n v="7"/>
    <x v="2"/>
    <s v="Low"/>
    <n v="6281.2528616024974"/>
    <s v="Below salary"/>
    <s v="Low Risk"/>
  </r>
  <r>
    <n v="60"/>
    <x v="1"/>
    <s v="Travel_Frequently"/>
    <n v="1499"/>
    <x v="0"/>
    <n v="28"/>
    <n v="3"/>
    <s v="Marketing"/>
    <n v="573"/>
    <n v="3"/>
    <x v="0"/>
    <n v="80"/>
    <n v="2"/>
    <n v="3"/>
    <x v="0"/>
    <n v="1"/>
    <s v="Married"/>
    <x v="415"/>
    <n v="2845"/>
    <n v="4"/>
    <x v="1"/>
    <n v="19"/>
    <n v="3"/>
    <n v="4"/>
    <n v="0"/>
    <n v="22"/>
    <n v="5"/>
    <n v="4"/>
    <n v="18"/>
    <n v="13"/>
    <n v="13"/>
    <n v="11"/>
    <x v="1"/>
    <s v="High"/>
    <n v="6959.17264573991"/>
    <s v="Above salary"/>
    <s v="Medium Risk"/>
  </r>
  <r>
    <n v="47"/>
    <x v="1"/>
    <s v="Travel_Rarely"/>
    <n v="983"/>
    <x v="1"/>
    <n v="2"/>
    <n v="2"/>
    <s v="Medical"/>
    <n v="574"/>
    <n v="1"/>
    <x v="0"/>
    <n v="65"/>
    <n v="3"/>
    <n v="2"/>
    <x v="3"/>
    <n v="4"/>
    <s v="Divorced"/>
    <x v="416"/>
    <n v="7389"/>
    <n v="5"/>
    <x v="1"/>
    <n v="13"/>
    <n v="3"/>
    <n v="3"/>
    <n v="3"/>
    <n v="20"/>
    <n v="2"/>
    <n v="3"/>
    <n v="5"/>
    <n v="0"/>
    <n v="0"/>
    <n v="4"/>
    <x v="1"/>
    <s v="Mid"/>
    <n v="6281.2528616024974"/>
    <s v="Below salary"/>
    <s v="Low Risk"/>
  </r>
  <r>
    <n v="46"/>
    <x v="1"/>
    <s v="Travel_Rarely"/>
    <n v="1009"/>
    <x v="1"/>
    <n v="2"/>
    <n v="3"/>
    <s v="Life Sciences"/>
    <n v="575"/>
    <n v="1"/>
    <x v="1"/>
    <n v="51"/>
    <n v="3"/>
    <n v="4"/>
    <x v="7"/>
    <n v="3"/>
    <s v="Married"/>
    <x v="417"/>
    <n v="2288"/>
    <n v="6"/>
    <x v="1"/>
    <n v="13"/>
    <n v="3"/>
    <n v="3"/>
    <n v="0"/>
    <n v="26"/>
    <n v="2"/>
    <n v="1"/>
    <n v="3"/>
    <n v="2"/>
    <n v="0"/>
    <n v="1"/>
    <x v="1"/>
    <s v="Very High"/>
    <n v="6281.2528616024974"/>
    <s v="Above salary"/>
    <s v="Low Risk"/>
  </r>
  <r>
    <n v="35"/>
    <x v="1"/>
    <s v="Travel_Rarely"/>
    <n v="144"/>
    <x v="1"/>
    <n v="22"/>
    <n v="3"/>
    <s v="Life Sciences"/>
    <n v="577"/>
    <n v="4"/>
    <x v="1"/>
    <n v="46"/>
    <n v="1"/>
    <n v="1"/>
    <x v="2"/>
    <n v="3"/>
    <s v="Single"/>
    <x v="418"/>
    <n v="19225"/>
    <n v="0"/>
    <x v="1"/>
    <n v="15"/>
    <n v="3"/>
    <n v="3"/>
    <n v="0"/>
    <n v="6"/>
    <n v="2"/>
    <n v="3"/>
    <n v="5"/>
    <n v="4"/>
    <n v="4"/>
    <n v="3"/>
    <x v="2"/>
    <s v="Mid"/>
    <n v="6281.2528616024974"/>
    <s v="Below salary"/>
    <s v="Low Risk"/>
  </r>
  <r>
    <n v="54"/>
    <x v="1"/>
    <s v="Travel_Rarely"/>
    <n v="548"/>
    <x v="1"/>
    <n v="8"/>
    <n v="4"/>
    <s v="Life Sciences"/>
    <n v="578"/>
    <n v="3"/>
    <x v="0"/>
    <n v="42"/>
    <n v="3"/>
    <n v="2"/>
    <x v="2"/>
    <n v="3"/>
    <s v="Single"/>
    <x v="419"/>
    <n v="23428"/>
    <n v="7"/>
    <x v="1"/>
    <n v="11"/>
    <n v="3"/>
    <n v="3"/>
    <n v="0"/>
    <n v="19"/>
    <n v="3"/>
    <n v="3"/>
    <n v="1"/>
    <n v="0"/>
    <n v="0"/>
    <n v="0"/>
    <x v="1"/>
    <s v="Mid"/>
    <n v="6281.2528616024974"/>
    <s v="Below salary"/>
    <s v="Low Risk"/>
  </r>
  <r>
    <n v="34"/>
    <x v="1"/>
    <s v="Travel_Rarely"/>
    <n v="1303"/>
    <x v="1"/>
    <n v="2"/>
    <n v="4"/>
    <s v="Life Sciences"/>
    <n v="579"/>
    <n v="4"/>
    <x v="1"/>
    <n v="62"/>
    <n v="2"/>
    <n v="1"/>
    <x v="1"/>
    <n v="3"/>
    <s v="Divorced"/>
    <x v="420"/>
    <n v="8416"/>
    <n v="3"/>
    <x v="1"/>
    <n v="12"/>
    <n v="3"/>
    <n v="3"/>
    <n v="1"/>
    <n v="14"/>
    <n v="3"/>
    <n v="3"/>
    <n v="7"/>
    <n v="3"/>
    <n v="5"/>
    <n v="7"/>
    <x v="2"/>
    <s v="Low"/>
    <n v="6281.2528616024974"/>
    <s v="Below salary"/>
    <s v="Low Risk"/>
  </r>
  <r>
    <n v="46"/>
    <x v="1"/>
    <s v="Travel_Rarely"/>
    <n v="1125"/>
    <x v="0"/>
    <n v="10"/>
    <n v="3"/>
    <s v="Marketing"/>
    <n v="580"/>
    <n v="3"/>
    <x v="0"/>
    <n v="94"/>
    <n v="2"/>
    <n v="3"/>
    <x v="0"/>
    <n v="4"/>
    <s v="Married"/>
    <x v="421"/>
    <n v="11563"/>
    <n v="2"/>
    <x v="0"/>
    <n v="19"/>
    <n v="3"/>
    <n v="3"/>
    <n v="1"/>
    <n v="15"/>
    <n v="3"/>
    <n v="3"/>
    <n v="3"/>
    <n v="2"/>
    <n v="1"/>
    <n v="2"/>
    <x v="1"/>
    <s v="High"/>
    <n v="6959.17264573991"/>
    <s v="Above salary"/>
    <s v="Medium Risk"/>
  </r>
  <r>
    <n v="31"/>
    <x v="1"/>
    <s v="Travel_Rarely"/>
    <n v="1274"/>
    <x v="1"/>
    <n v="9"/>
    <n v="1"/>
    <s v="Life Sciences"/>
    <n v="581"/>
    <n v="3"/>
    <x v="1"/>
    <n v="33"/>
    <n v="3"/>
    <n v="3"/>
    <x v="3"/>
    <n v="2"/>
    <s v="Divorced"/>
    <x v="422"/>
    <n v="14394"/>
    <n v="1"/>
    <x v="1"/>
    <n v="25"/>
    <n v="4"/>
    <n v="4"/>
    <n v="1"/>
    <n v="13"/>
    <n v="6"/>
    <n v="4"/>
    <n v="13"/>
    <n v="8"/>
    <n v="0"/>
    <n v="8"/>
    <x v="2"/>
    <s v="High"/>
    <n v="6281.2528616024974"/>
    <s v="Above salary"/>
    <s v="Medium Risk"/>
  </r>
  <r>
    <n v="33"/>
    <x v="0"/>
    <s v="Travel_Rarely"/>
    <n v="1277"/>
    <x v="1"/>
    <n v="15"/>
    <n v="1"/>
    <s v="Medical"/>
    <n v="582"/>
    <n v="2"/>
    <x v="1"/>
    <n v="56"/>
    <n v="3"/>
    <n v="3"/>
    <x v="5"/>
    <n v="3"/>
    <s v="Married"/>
    <x v="423"/>
    <n v="24619"/>
    <n v="7"/>
    <x v="0"/>
    <n v="12"/>
    <n v="3"/>
    <n v="4"/>
    <n v="0"/>
    <n v="15"/>
    <n v="2"/>
    <n v="4"/>
    <n v="7"/>
    <n v="6"/>
    <n v="7"/>
    <n v="7"/>
    <x v="2"/>
    <s v="Very High"/>
    <n v="6281.2528616024974"/>
    <s v="Above salary"/>
    <s v="Medium Risk"/>
  </r>
  <r>
    <n v="33"/>
    <x v="0"/>
    <s v="Travel_Rarely"/>
    <n v="587"/>
    <x v="1"/>
    <n v="10"/>
    <n v="1"/>
    <s v="Medical"/>
    <n v="584"/>
    <n v="1"/>
    <x v="1"/>
    <n v="38"/>
    <n v="1"/>
    <n v="1"/>
    <x v="2"/>
    <n v="4"/>
    <s v="Divorced"/>
    <x v="424"/>
    <n v="6705"/>
    <n v="7"/>
    <x v="1"/>
    <n v="13"/>
    <n v="3"/>
    <n v="1"/>
    <n v="3"/>
    <n v="8"/>
    <n v="2"/>
    <n v="3"/>
    <n v="4"/>
    <n v="3"/>
    <n v="1"/>
    <n v="3"/>
    <x v="2"/>
    <s v="Mid"/>
    <n v="6281.2528616024974"/>
    <s v="Below salary"/>
    <s v="Low Risk"/>
  </r>
  <r>
    <n v="30"/>
    <x v="1"/>
    <s v="Travel_Rarely"/>
    <n v="413"/>
    <x v="0"/>
    <n v="7"/>
    <n v="1"/>
    <s v="Marketing"/>
    <n v="585"/>
    <n v="4"/>
    <x v="1"/>
    <n v="57"/>
    <n v="3"/>
    <n v="1"/>
    <x v="6"/>
    <n v="2"/>
    <s v="Single"/>
    <x v="425"/>
    <n v="18398"/>
    <n v="0"/>
    <x v="1"/>
    <n v="14"/>
    <n v="3"/>
    <n v="1"/>
    <n v="0"/>
    <n v="4"/>
    <n v="3"/>
    <n v="3"/>
    <n v="3"/>
    <n v="2"/>
    <n v="1"/>
    <n v="2"/>
    <x v="2"/>
    <s v="Low"/>
    <n v="6959.17264573991"/>
    <s v="Below salary"/>
    <s v="Medium Risk"/>
  </r>
  <r>
    <n v="35"/>
    <x v="1"/>
    <s v="Travel_Rarely"/>
    <n v="1276"/>
    <x v="1"/>
    <n v="16"/>
    <n v="3"/>
    <s v="Life Sciences"/>
    <n v="586"/>
    <n v="4"/>
    <x v="1"/>
    <n v="72"/>
    <n v="3"/>
    <n v="3"/>
    <x v="4"/>
    <n v="3"/>
    <s v="Married"/>
    <x v="426"/>
    <n v="14295"/>
    <n v="4"/>
    <x v="0"/>
    <n v="12"/>
    <n v="3"/>
    <n v="3"/>
    <n v="0"/>
    <n v="10"/>
    <n v="2"/>
    <n v="3"/>
    <n v="8"/>
    <n v="7"/>
    <n v="0"/>
    <n v="0"/>
    <x v="2"/>
    <s v="High"/>
    <n v="6281.2528616024974"/>
    <s v="Above salary"/>
    <s v="Medium Risk"/>
  </r>
  <r>
    <n v="31"/>
    <x v="0"/>
    <s v="Travel_Frequently"/>
    <n v="534"/>
    <x v="1"/>
    <n v="20"/>
    <n v="3"/>
    <s v="Life Sciences"/>
    <n v="587"/>
    <n v="1"/>
    <x v="1"/>
    <n v="66"/>
    <n v="3"/>
    <n v="3"/>
    <x v="4"/>
    <n v="3"/>
    <s v="Married"/>
    <x v="427"/>
    <n v="22908"/>
    <n v="3"/>
    <x v="1"/>
    <n v="12"/>
    <n v="3"/>
    <n v="1"/>
    <n v="0"/>
    <n v="12"/>
    <n v="2"/>
    <n v="3"/>
    <n v="1"/>
    <n v="0"/>
    <n v="0"/>
    <n v="0"/>
    <x v="2"/>
    <s v="High"/>
    <n v="6281.2528616024974"/>
    <s v="Above salary"/>
    <s v="Low Risk"/>
  </r>
  <r>
    <n v="34"/>
    <x v="0"/>
    <s v="Travel_Frequently"/>
    <n v="988"/>
    <x v="2"/>
    <n v="23"/>
    <n v="3"/>
    <s v="Human Resources"/>
    <n v="590"/>
    <n v="2"/>
    <x v="0"/>
    <n v="43"/>
    <n v="3"/>
    <n v="3"/>
    <x v="8"/>
    <n v="1"/>
    <s v="Divorced"/>
    <x v="428"/>
    <n v="11533"/>
    <n v="9"/>
    <x v="0"/>
    <n v="15"/>
    <n v="3"/>
    <n v="3"/>
    <n v="3"/>
    <n v="11"/>
    <n v="2"/>
    <n v="3"/>
    <n v="3"/>
    <n v="2"/>
    <n v="0"/>
    <n v="2"/>
    <x v="2"/>
    <s v="High"/>
    <n v="6654.5079365079364"/>
    <s v="Above salary"/>
    <s v="High Risk"/>
  </r>
  <r>
    <n v="42"/>
    <x v="1"/>
    <s v="Travel_Frequently"/>
    <n v="1474"/>
    <x v="1"/>
    <n v="5"/>
    <n v="2"/>
    <s v="Other"/>
    <n v="591"/>
    <n v="2"/>
    <x v="1"/>
    <n v="97"/>
    <n v="3"/>
    <n v="1"/>
    <x v="2"/>
    <n v="3"/>
    <s v="Married"/>
    <x v="429"/>
    <n v="9260"/>
    <n v="4"/>
    <x v="1"/>
    <n v="17"/>
    <n v="3"/>
    <n v="4"/>
    <n v="1"/>
    <n v="8"/>
    <n v="4"/>
    <n v="3"/>
    <n v="2"/>
    <n v="2"/>
    <n v="2"/>
    <n v="0"/>
    <x v="0"/>
    <s v="Low"/>
    <n v="6281.2528616024974"/>
    <s v="Below salary"/>
    <s v="Low Risk"/>
  </r>
  <r>
    <n v="36"/>
    <x v="1"/>
    <s v="Non-Travel"/>
    <n v="635"/>
    <x v="0"/>
    <n v="10"/>
    <n v="4"/>
    <s v="Medical"/>
    <n v="592"/>
    <n v="2"/>
    <x v="1"/>
    <n v="32"/>
    <n v="3"/>
    <n v="3"/>
    <x v="0"/>
    <n v="4"/>
    <s v="Single"/>
    <x v="15"/>
    <n v="15318"/>
    <n v="1"/>
    <x v="1"/>
    <n v="14"/>
    <n v="3"/>
    <n v="4"/>
    <n v="0"/>
    <n v="10"/>
    <n v="3"/>
    <n v="2"/>
    <n v="10"/>
    <n v="3"/>
    <n v="9"/>
    <n v="7"/>
    <x v="0"/>
    <s v="High"/>
    <n v="6959.17264573991"/>
    <s v="Above salary"/>
    <s v="Low Risk"/>
  </r>
  <r>
    <n v="22"/>
    <x v="0"/>
    <s v="Travel_Frequently"/>
    <n v="1368"/>
    <x v="1"/>
    <n v="4"/>
    <n v="1"/>
    <s v="Technical Degree"/>
    <n v="593"/>
    <n v="3"/>
    <x v="1"/>
    <n v="99"/>
    <n v="2"/>
    <n v="1"/>
    <x v="2"/>
    <n v="3"/>
    <s v="Single"/>
    <x v="430"/>
    <n v="9129"/>
    <n v="5"/>
    <x v="1"/>
    <n v="16"/>
    <n v="3"/>
    <n v="3"/>
    <n v="0"/>
    <n v="4"/>
    <n v="3"/>
    <n v="3"/>
    <n v="2"/>
    <n v="2"/>
    <n v="1"/>
    <n v="2"/>
    <x v="3"/>
    <s v="Mid"/>
    <n v="6281.2528616024974"/>
    <s v="Below salary"/>
    <s v="Low Risk"/>
  </r>
  <r>
    <n v="48"/>
    <x v="1"/>
    <s v="Travel_Rarely"/>
    <n v="163"/>
    <x v="0"/>
    <n v="2"/>
    <n v="5"/>
    <s v="Marketing"/>
    <n v="595"/>
    <n v="2"/>
    <x v="0"/>
    <n v="37"/>
    <n v="3"/>
    <n v="2"/>
    <x v="0"/>
    <n v="4"/>
    <s v="Married"/>
    <x v="431"/>
    <n v="19658"/>
    <n v="2"/>
    <x v="1"/>
    <n v="14"/>
    <n v="3"/>
    <n v="1"/>
    <n v="1"/>
    <n v="14"/>
    <n v="2"/>
    <n v="3"/>
    <n v="9"/>
    <n v="7"/>
    <n v="6"/>
    <n v="7"/>
    <x v="1"/>
    <s v="Mid"/>
    <n v="6959.17264573991"/>
    <s v="Below salary"/>
    <s v="Low Risk"/>
  </r>
  <r>
    <n v="55"/>
    <x v="1"/>
    <s v="Travel_Rarely"/>
    <n v="1117"/>
    <x v="0"/>
    <n v="18"/>
    <n v="5"/>
    <s v="Life Sciences"/>
    <n v="597"/>
    <n v="1"/>
    <x v="0"/>
    <n v="83"/>
    <n v="3"/>
    <n v="4"/>
    <x v="5"/>
    <n v="2"/>
    <s v="Single"/>
    <x v="432"/>
    <n v="9873"/>
    <n v="3"/>
    <x v="1"/>
    <n v="23"/>
    <n v="4"/>
    <n v="4"/>
    <n v="0"/>
    <n v="37"/>
    <n v="2"/>
    <n v="3"/>
    <n v="10"/>
    <n v="9"/>
    <n v="7"/>
    <n v="7"/>
    <x v="1"/>
    <s v="Very High"/>
    <n v="6959.17264573991"/>
    <s v="Above salary"/>
    <s v="Medium Risk"/>
  </r>
  <r>
    <n v="41"/>
    <x v="1"/>
    <s v="Non-Travel"/>
    <n v="267"/>
    <x v="0"/>
    <n v="10"/>
    <n v="2"/>
    <s v="Life Sciences"/>
    <n v="599"/>
    <n v="4"/>
    <x v="1"/>
    <n v="56"/>
    <n v="3"/>
    <n v="2"/>
    <x v="0"/>
    <n v="4"/>
    <s v="Single"/>
    <x v="433"/>
    <n v="13430"/>
    <n v="7"/>
    <x v="1"/>
    <n v="14"/>
    <n v="3"/>
    <n v="4"/>
    <n v="0"/>
    <n v="16"/>
    <n v="3"/>
    <n v="3"/>
    <n v="14"/>
    <n v="3"/>
    <n v="1"/>
    <n v="10"/>
    <x v="0"/>
    <s v="Mid"/>
    <n v="6959.17264573991"/>
    <s v="Below salary"/>
    <s v="Low Risk"/>
  </r>
  <r>
    <n v="35"/>
    <x v="1"/>
    <s v="Travel_Rarely"/>
    <n v="619"/>
    <x v="0"/>
    <n v="1"/>
    <n v="3"/>
    <s v="Marketing"/>
    <n v="600"/>
    <n v="2"/>
    <x v="1"/>
    <n v="85"/>
    <n v="3"/>
    <n v="2"/>
    <x v="0"/>
    <n v="3"/>
    <s v="Married"/>
    <x v="434"/>
    <n v="18659"/>
    <n v="9"/>
    <x v="1"/>
    <n v="11"/>
    <n v="3"/>
    <n v="3"/>
    <n v="0"/>
    <n v="15"/>
    <n v="2"/>
    <n v="3"/>
    <n v="11"/>
    <n v="9"/>
    <n v="6"/>
    <n v="9"/>
    <x v="2"/>
    <s v="Mid"/>
    <n v="6959.17264573991"/>
    <s v="Below salary"/>
    <s v="Low Risk"/>
  </r>
  <r>
    <n v="40"/>
    <x v="1"/>
    <s v="Travel_Rarely"/>
    <n v="302"/>
    <x v="1"/>
    <n v="6"/>
    <n v="3"/>
    <s v="Life Sciences"/>
    <n v="601"/>
    <n v="2"/>
    <x v="0"/>
    <n v="75"/>
    <n v="3"/>
    <n v="4"/>
    <x v="3"/>
    <n v="3"/>
    <s v="Single"/>
    <x v="435"/>
    <n v="20364"/>
    <n v="7"/>
    <x v="1"/>
    <n v="15"/>
    <n v="3"/>
    <n v="3"/>
    <n v="0"/>
    <n v="22"/>
    <n v="3"/>
    <n v="3"/>
    <n v="20"/>
    <n v="6"/>
    <n v="5"/>
    <n v="13"/>
    <x v="0"/>
    <s v="Very High"/>
    <n v="6281.2528616024974"/>
    <s v="Above salary"/>
    <s v="Low Risk"/>
  </r>
  <r>
    <n v="39"/>
    <x v="1"/>
    <s v="Travel_Frequently"/>
    <n v="443"/>
    <x v="1"/>
    <n v="8"/>
    <n v="1"/>
    <s v="Life Sciences"/>
    <n v="602"/>
    <n v="3"/>
    <x v="0"/>
    <n v="48"/>
    <n v="3"/>
    <n v="1"/>
    <x v="2"/>
    <n v="3"/>
    <s v="Married"/>
    <x v="436"/>
    <n v="17872"/>
    <n v="1"/>
    <x v="1"/>
    <n v="11"/>
    <n v="3"/>
    <n v="1"/>
    <n v="1"/>
    <n v="8"/>
    <n v="3"/>
    <n v="3"/>
    <n v="8"/>
    <n v="3"/>
    <n v="0"/>
    <n v="7"/>
    <x v="0"/>
    <s v="Mid"/>
    <n v="6281.2528616024974"/>
    <s v="Below salary"/>
    <s v="Low Risk"/>
  </r>
  <r>
    <n v="31"/>
    <x v="1"/>
    <s v="Travel_Rarely"/>
    <n v="828"/>
    <x v="0"/>
    <n v="2"/>
    <n v="1"/>
    <s v="Life Sciences"/>
    <n v="604"/>
    <n v="2"/>
    <x v="1"/>
    <n v="77"/>
    <n v="3"/>
    <n v="2"/>
    <x v="0"/>
    <n v="4"/>
    <s v="Single"/>
    <x v="437"/>
    <n v="8346"/>
    <n v="4"/>
    <x v="0"/>
    <n v="13"/>
    <n v="3"/>
    <n v="3"/>
    <n v="0"/>
    <n v="10"/>
    <n v="2"/>
    <n v="4"/>
    <n v="6"/>
    <n v="5"/>
    <n v="0"/>
    <n v="5"/>
    <x v="2"/>
    <s v="Mid"/>
    <n v="6959.17264573991"/>
    <s v="Below salary"/>
    <s v="Medium Risk"/>
  </r>
  <r>
    <n v="42"/>
    <x v="1"/>
    <s v="Travel_Rarely"/>
    <n v="319"/>
    <x v="1"/>
    <n v="24"/>
    <n v="3"/>
    <s v="Medical"/>
    <n v="605"/>
    <n v="4"/>
    <x v="1"/>
    <n v="56"/>
    <n v="3"/>
    <n v="3"/>
    <x v="3"/>
    <n v="1"/>
    <s v="Married"/>
    <x v="438"/>
    <n v="6950"/>
    <n v="1"/>
    <x v="0"/>
    <n v="21"/>
    <n v="4"/>
    <n v="4"/>
    <n v="1"/>
    <n v="10"/>
    <n v="5"/>
    <n v="2"/>
    <n v="10"/>
    <n v="9"/>
    <n v="5"/>
    <n v="8"/>
    <x v="0"/>
    <s v="High"/>
    <n v="6281.2528616024974"/>
    <s v="Above salary"/>
    <s v="High Risk"/>
  </r>
  <r>
    <n v="45"/>
    <x v="1"/>
    <s v="Travel_Rarely"/>
    <n v="561"/>
    <x v="0"/>
    <n v="2"/>
    <n v="3"/>
    <s v="Other"/>
    <n v="606"/>
    <n v="4"/>
    <x v="1"/>
    <n v="61"/>
    <n v="3"/>
    <n v="2"/>
    <x v="0"/>
    <n v="2"/>
    <s v="Married"/>
    <x v="439"/>
    <n v="16177"/>
    <n v="0"/>
    <x v="1"/>
    <n v="19"/>
    <n v="3"/>
    <n v="2"/>
    <n v="1"/>
    <n v="9"/>
    <n v="3"/>
    <n v="4"/>
    <n v="8"/>
    <n v="7"/>
    <n v="3"/>
    <n v="7"/>
    <x v="0"/>
    <s v="Mid"/>
    <n v="6959.17264573991"/>
    <s v="Below salary"/>
    <s v="Medium Risk"/>
  </r>
  <r>
    <n v="26"/>
    <x v="0"/>
    <s v="Travel_Frequently"/>
    <n v="426"/>
    <x v="2"/>
    <n v="17"/>
    <n v="4"/>
    <s v="Life Sciences"/>
    <n v="608"/>
    <n v="2"/>
    <x v="0"/>
    <n v="58"/>
    <n v="3"/>
    <n v="1"/>
    <x v="8"/>
    <n v="3"/>
    <s v="Divorced"/>
    <x v="199"/>
    <n v="22808"/>
    <n v="0"/>
    <x v="0"/>
    <n v="11"/>
    <n v="3"/>
    <n v="2"/>
    <n v="1"/>
    <n v="8"/>
    <n v="2"/>
    <n v="2"/>
    <n v="7"/>
    <n v="7"/>
    <n v="1"/>
    <n v="0"/>
    <x v="2"/>
    <s v="Low"/>
    <n v="6654.5079365079364"/>
    <s v="Below salary"/>
    <s v="Medium Risk"/>
  </r>
  <r>
    <n v="29"/>
    <x v="1"/>
    <s v="Travel_Rarely"/>
    <n v="232"/>
    <x v="1"/>
    <n v="19"/>
    <n v="3"/>
    <s v="Technical Degree"/>
    <n v="611"/>
    <n v="4"/>
    <x v="1"/>
    <n v="34"/>
    <n v="3"/>
    <n v="2"/>
    <x v="3"/>
    <n v="4"/>
    <s v="Divorced"/>
    <x v="440"/>
    <n v="22645"/>
    <n v="4"/>
    <x v="1"/>
    <n v="12"/>
    <n v="3"/>
    <n v="2"/>
    <n v="2"/>
    <n v="8"/>
    <n v="2"/>
    <n v="4"/>
    <n v="3"/>
    <n v="2"/>
    <n v="1"/>
    <n v="2"/>
    <x v="2"/>
    <s v="Mid"/>
    <n v="6281.2528616024974"/>
    <s v="Below salary"/>
    <s v="Low Risk"/>
  </r>
  <r>
    <n v="33"/>
    <x v="1"/>
    <s v="Travel_Rarely"/>
    <n v="922"/>
    <x v="1"/>
    <n v="1"/>
    <n v="5"/>
    <s v="Medical"/>
    <n v="612"/>
    <n v="1"/>
    <x v="0"/>
    <n v="95"/>
    <n v="4"/>
    <n v="4"/>
    <x v="7"/>
    <n v="3"/>
    <s v="Divorced"/>
    <x v="441"/>
    <n v="22578"/>
    <n v="4"/>
    <x v="1"/>
    <n v="19"/>
    <n v="3"/>
    <n v="3"/>
    <n v="1"/>
    <n v="10"/>
    <n v="2"/>
    <n v="3"/>
    <n v="6"/>
    <n v="1"/>
    <n v="0"/>
    <n v="5"/>
    <x v="2"/>
    <s v="Very High"/>
    <n v="6281.2528616024974"/>
    <s v="Above salary"/>
    <s v="Low Risk"/>
  </r>
  <r>
    <n v="31"/>
    <x v="1"/>
    <s v="Travel_Rarely"/>
    <n v="688"/>
    <x v="0"/>
    <n v="7"/>
    <n v="3"/>
    <s v="Life Sciences"/>
    <n v="613"/>
    <n v="3"/>
    <x v="1"/>
    <n v="44"/>
    <n v="2"/>
    <n v="3"/>
    <x v="5"/>
    <n v="4"/>
    <s v="Divorced"/>
    <x v="442"/>
    <n v="25291"/>
    <n v="9"/>
    <x v="1"/>
    <n v="21"/>
    <n v="4"/>
    <n v="3"/>
    <n v="1"/>
    <n v="10"/>
    <n v="3"/>
    <n v="2"/>
    <n v="5"/>
    <n v="4"/>
    <n v="0"/>
    <n v="1"/>
    <x v="2"/>
    <s v="High"/>
    <n v="6959.17264573991"/>
    <s v="Above salary"/>
    <s v="Low Risk"/>
  </r>
  <r>
    <n v="18"/>
    <x v="0"/>
    <s v="Travel_Frequently"/>
    <n v="1306"/>
    <x v="0"/>
    <n v="5"/>
    <n v="3"/>
    <s v="Marketing"/>
    <n v="614"/>
    <n v="2"/>
    <x v="1"/>
    <n v="69"/>
    <n v="3"/>
    <n v="1"/>
    <x v="6"/>
    <n v="2"/>
    <s v="Single"/>
    <x v="443"/>
    <n v="8059"/>
    <n v="1"/>
    <x v="0"/>
    <n v="14"/>
    <n v="3"/>
    <n v="4"/>
    <n v="0"/>
    <n v="0"/>
    <n v="3"/>
    <n v="3"/>
    <n v="0"/>
    <n v="0"/>
    <n v="0"/>
    <n v="0"/>
    <x v="3"/>
    <s v="Low"/>
    <n v="6959.17264573991"/>
    <s v="Below salary"/>
    <s v="High Risk"/>
  </r>
  <r>
    <n v="40"/>
    <x v="1"/>
    <s v="Non-Travel"/>
    <n v="1094"/>
    <x v="0"/>
    <n v="28"/>
    <n v="3"/>
    <s v="Other"/>
    <n v="615"/>
    <n v="3"/>
    <x v="1"/>
    <n v="58"/>
    <n v="1"/>
    <n v="3"/>
    <x v="0"/>
    <n v="1"/>
    <s v="Divorced"/>
    <x v="444"/>
    <n v="11373"/>
    <n v="3"/>
    <x v="1"/>
    <n v="15"/>
    <n v="3"/>
    <n v="3"/>
    <n v="1"/>
    <n v="20"/>
    <n v="2"/>
    <n v="3"/>
    <n v="1"/>
    <n v="0"/>
    <n v="0"/>
    <n v="1"/>
    <x v="0"/>
    <s v="High"/>
    <n v="6959.17264573991"/>
    <s v="Above salary"/>
    <s v="Medium Risk"/>
  </r>
  <r>
    <n v="41"/>
    <x v="1"/>
    <s v="Non-Travel"/>
    <n v="509"/>
    <x v="1"/>
    <n v="2"/>
    <n v="4"/>
    <s v="Other"/>
    <n v="616"/>
    <n v="1"/>
    <x v="0"/>
    <n v="62"/>
    <n v="2"/>
    <n v="2"/>
    <x v="4"/>
    <n v="3"/>
    <s v="Single"/>
    <x v="445"/>
    <n v="2112"/>
    <n v="2"/>
    <x v="0"/>
    <n v="17"/>
    <n v="3"/>
    <n v="1"/>
    <n v="0"/>
    <n v="10"/>
    <n v="3"/>
    <n v="3"/>
    <n v="8"/>
    <n v="7"/>
    <n v="0"/>
    <n v="7"/>
    <x v="0"/>
    <s v="Mid"/>
    <n v="6281.2528616024974"/>
    <s v="Above salary"/>
    <s v="Medium Risk"/>
  </r>
  <r>
    <n v="26"/>
    <x v="1"/>
    <s v="Travel_Rarely"/>
    <n v="775"/>
    <x v="0"/>
    <n v="29"/>
    <n v="2"/>
    <s v="Medical"/>
    <n v="618"/>
    <n v="1"/>
    <x v="1"/>
    <n v="45"/>
    <n v="3"/>
    <n v="2"/>
    <x v="0"/>
    <n v="3"/>
    <s v="Divorced"/>
    <x v="383"/>
    <n v="4267"/>
    <n v="5"/>
    <x v="1"/>
    <n v="12"/>
    <n v="3"/>
    <n v="1"/>
    <n v="2"/>
    <n v="8"/>
    <n v="5"/>
    <n v="3"/>
    <n v="0"/>
    <n v="0"/>
    <n v="0"/>
    <n v="0"/>
    <x v="2"/>
    <s v="Mid"/>
    <n v="6959.17264573991"/>
    <s v="Below salary"/>
    <s v="Low Risk"/>
  </r>
  <r>
    <n v="35"/>
    <x v="1"/>
    <s v="Travel_Rarely"/>
    <n v="195"/>
    <x v="0"/>
    <n v="1"/>
    <n v="3"/>
    <s v="Medical"/>
    <n v="620"/>
    <n v="1"/>
    <x v="0"/>
    <n v="80"/>
    <n v="3"/>
    <n v="2"/>
    <x v="0"/>
    <n v="3"/>
    <s v="Single"/>
    <x v="446"/>
    <n v="6698"/>
    <n v="1"/>
    <x v="1"/>
    <n v="16"/>
    <n v="3"/>
    <n v="4"/>
    <n v="0"/>
    <n v="5"/>
    <n v="3"/>
    <n v="3"/>
    <n v="5"/>
    <n v="4"/>
    <n v="0"/>
    <n v="3"/>
    <x v="2"/>
    <s v="Mid"/>
    <n v="6959.17264573991"/>
    <s v="Below salary"/>
    <s v="Low Risk"/>
  </r>
  <r>
    <n v="34"/>
    <x v="1"/>
    <s v="Travel_Rarely"/>
    <n v="258"/>
    <x v="0"/>
    <n v="21"/>
    <n v="4"/>
    <s v="Life Sciences"/>
    <n v="621"/>
    <n v="4"/>
    <x v="1"/>
    <n v="74"/>
    <n v="4"/>
    <n v="2"/>
    <x v="0"/>
    <n v="4"/>
    <s v="Single"/>
    <x v="447"/>
    <n v="19921"/>
    <n v="1"/>
    <x v="1"/>
    <n v="12"/>
    <n v="3"/>
    <n v="4"/>
    <n v="0"/>
    <n v="10"/>
    <n v="3"/>
    <n v="3"/>
    <n v="10"/>
    <n v="7"/>
    <n v="5"/>
    <n v="7"/>
    <x v="2"/>
    <s v="Mid"/>
    <n v="6959.17264573991"/>
    <s v="Below salary"/>
    <s v="Low Risk"/>
  </r>
  <r>
    <n v="26"/>
    <x v="0"/>
    <s v="Travel_Rarely"/>
    <n v="471"/>
    <x v="1"/>
    <n v="24"/>
    <n v="3"/>
    <s v="Technical Degree"/>
    <n v="622"/>
    <n v="3"/>
    <x v="1"/>
    <n v="66"/>
    <n v="1"/>
    <n v="1"/>
    <x v="2"/>
    <n v="4"/>
    <s v="Single"/>
    <x v="246"/>
    <n v="23213"/>
    <n v="1"/>
    <x v="0"/>
    <n v="18"/>
    <n v="3"/>
    <n v="2"/>
    <n v="0"/>
    <n v="1"/>
    <n v="3"/>
    <n v="1"/>
    <n v="1"/>
    <n v="0"/>
    <n v="0"/>
    <n v="0"/>
    <x v="2"/>
    <s v="Low"/>
    <n v="6281.2528616024974"/>
    <s v="Below salary"/>
    <s v="Medium Risk"/>
  </r>
  <r>
    <n v="37"/>
    <x v="1"/>
    <s v="Travel_Rarely"/>
    <n v="799"/>
    <x v="1"/>
    <n v="1"/>
    <n v="3"/>
    <s v="Technical Degree"/>
    <n v="623"/>
    <n v="2"/>
    <x v="0"/>
    <n v="59"/>
    <n v="3"/>
    <n v="3"/>
    <x v="3"/>
    <n v="4"/>
    <s v="Single"/>
    <x v="448"/>
    <n v="23848"/>
    <n v="4"/>
    <x v="1"/>
    <n v="17"/>
    <n v="3"/>
    <n v="4"/>
    <n v="0"/>
    <n v="12"/>
    <n v="3"/>
    <n v="4"/>
    <n v="6"/>
    <n v="5"/>
    <n v="1"/>
    <n v="2"/>
    <x v="0"/>
    <s v="High"/>
    <n v="6281.2528616024974"/>
    <s v="Above salary"/>
    <s v="Low Risk"/>
  </r>
  <r>
    <n v="46"/>
    <x v="1"/>
    <s v="Travel_Frequently"/>
    <n v="1034"/>
    <x v="1"/>
    <n v="18"/>
    <n v="1"/>
    <s v="Medical"/>
    <n v="624"/>
    <n v="1"/>
    <x v="0"/>
    <n v="86"/>
    <n v="3"/>
    <n v="3"/>
    <x v="4"/>
    <n v="3"/>
    <s v="Married"/>
    <x v="449"/>
    <n v="8984"/>
    <n v="5"/>
    <x v="1"/>
    <n v="11"/>
    <n v="3"/>
    <n v="4"/>
    <n v="0"/>
    <n v="28"/>
    <n v="3"/>
    <n v="2"/>
    <n v="2"/>
    <n v="2"/>
    <n v="1"/>
    <n v="2"/>
    <x v="1"/>
    <s v="High"/>
    <n v="6281.2528616024974"/>
    <s v="Above salary"/>
    <s v="Low Risk"/>
  </r>
  <r>
    <n v="41"/>
    <x v="1"/>
    <s v="Travel_Rarely"/>
    <n v="1276"/>
    <x v="0"/>
    <n v="2"/>
    <n v="5"/>
    <s v="Life Sciences"/>
    <n v="625"/>
    <n v="2"/>
    <x v="0"/>
    <n v="91"/>
    <n v="3"/>
    <n v="4"/>
    <x v="5"/>
    <n v="1"/>
    <s v="Married"/>
    <x v="450"/>
    <n v="5626"/>
    <n v="7"/>
    <x v="1"/>
    <n v="16"/>
    <n v="3"/>
    <n v="2"/>
    <n v="1"/>
    <n v="22"/>
    <n v="2"/>
    <n v="3"/>
    <n v="18"/>
    <n v="16"/>
    <n v="11"/>
    <n v="8"/>
    <x v="0"/>
    <s v="Very High"/>
    <n v="6959.17264573991"/>
    <s v="Above salary"/>
    <s v="Medium Risk"/>
  </r>
  <r>
    <n v="37"/>
    <x v="1"/>
    <s v="Non-Travel"/>
    <n v="142"/>
    <x v="0"/>
    <n v="9"/>
    <n v="4"/>
    <s v="Medical"/>
    <n v="626"/>
    <n v="1"/>
    <x v="1"/>
    <n v="69"/>
    <n v="3"/>
    <n v="3"/>
    <x v="0"/>
    <n v="2"/>
    <s v="Divorced"/>
    <x v="451"/>
    <n v="24666"/>
    <n v="1"/>
    <x v="1"/>
    <n v="13"/>
    <n v="3"/>
    <n v="4"/>
    <n v="1"/>
    <n v="9"/>
    <n v="6"/>
    <n v="3"/>
    <n v="9"/>
    <n v="5"/>
    <n v="7"/>
    <n v="7"/>
    <x v="0"/>
    <s v="High"/>
    <n v="6959.17264573991"/>
    <s v="Above salary"/>
    <s v="Medium Risk"/>
  </r>
  <r>
    <n v="52"/>
    <x v="1"/>
    <s v="Travel_Rarely"/>
    <n v="956"/>
    <x v="1"/>
    <n v="6"/>
    <n v="2"/>
    <s v="Technical Degree"/>
    <n v="630"/>
    <n v="4"/>
    <x v="1"/>
    <n v="78"/>
    <n v="3"/>
    <n v="2"/>
    <x v="1"/>
    <n v="1"/>
    <s v="Divorced"/>
    <x v="452"/>
    <n v="22087"/>
    <n v="3"/>
    <x v="0"/>
    <n v="12"/>
    <n v="3"/>
    <n v="2"/>
    <n v="2"/>
    <n v="18"/>
    <n v="3"/>
    <n v="3"/>
    <n v="10"/>
    <n v="9"/>
    <n v="6"/>
    <n v="9"/>
    <x v="1"/>
    <s v="Mid"/>
    <n v="6281.2528616024974"/>
    <s v="Below salary"/>
    <s v="High Risk"/>
  </r>
  <r>
    <n v="32"/>
    <x v="0"/>
    <s v="Non-Travel"/>
    <n v="1474"/>
    <x v="0"/>
    <n v="11"/>
    <n v="4"/>
    <s v="Other"/>
    <n v="631"/>
    <n v="4"/>
    <x v="1"/>
    <n v="60"/>
    <n v="4"/>
    <n v="2"/>
    <x v="0"/>
    <n v="3"/>
    <s v="Married"/>
    <x v="453"/>
    <n v="23914"/>
    <n v="8"/>
    <x v="1"/>
    <n v="12"/>
    <n v="3"/>
    <n v="4"/>
    <n v="0"/>
    <n v="6"/>
    <n v="2"/>
    <n v="3"/>
    <n v="4"/>
    <n v="2"/>
    <n v="1"/>
    <n v="2"/>
    <x v="2"/>
    <s v="Mid"/>
    <n v="6959.17264573991"/>
    <s v="Below salary"/>
    <s v="Low Risk"/>
  </r>
  <r>
    <n v="24"/>
    <x v="1"/>
    <s v="Travel_Frequently"/>
    <n v="535"/>
    <x v="0"/>
    <n v="24"/>
    <n v="3"/>
    <s v="Medical"/>
    <n v="632"/>
    <n v="4"/>
    <x v="1"/>
    <n v="38"/>
    <n v="3"/>
    <n v="1"/>
    <x v="6"/>
    <n v="4"/>
    <s v="Married"/>
    <x v="454"/>
    <n v="5530"/>
    <n v="0"/>
    <x v="1"/>
    <n v="13"/>
    <n v="3"/>
    <n v="3"/>
    <n v="2"/>
    <n v="3"/>
    <n v="3"/>
    <n v="3"/>
    <n v="2"/>
    <n v="2"/>
    <n v="2"/>
    <n v="1"/>
    <x v="3"/>
    <s v="Low"/>
    <n v="6959.17264573991"/>
    <s v="Below salary"/>
    <s v="Low Risk"/>
  </r>
  <r>
    <n v="38"/>
    <x v="1"/>
    <s v="Travel_Rarely"/>
    <n v="1495"/>
    <x v="1"/>
    <n v="10"/>
    <n v="3"/>
    <s v="Medical"/>
    <n v="634"/>
    <n v="3"/>
    <x v="0"/>
    <n v="76"/>
    <n v="3"/>
    <n v="2"/>
    <x v="4"/>
    <n v="3"/>
    <s v="Married"/>
    <x v="427"/>
    <n v="22174"/>
    <n v="3"/>
    <x v="1"/>
    <n v="19"/>
    <n v="3"/>
    <n v="3"/>
    <n v="1"/>
    <n v="18"/>
    <n v="4"/>
    <n v="3"/>
    <n v="1"/>
    <n v="0"/>
    <n v="0"/>
    <n v="0"/>
    <x v="0"/>
    <s v="High"/>
    <n v="6281.2528616024974"/>
    <s v="Above salary"/>
    <s v="Low Risk"/>
  </r>
  <r>
    <n v="37"/>
    <x v="1"/>
    <s v="Travel_Rarely"/>
    <n v="446"/>
    <x v="1"/>
    <n v="1"/>
    <n v="4"/>
    <s v="Life Sciences"/>
    <n v="635"/>
    <n v="2"/>
    <x v="0"/>
    <n v="65"/>
    <n v="3"/>
    <n v="2"/>
    <x v="3"/>
    <n v="2"/>
    <s v="Married"/>
    <x v="455"/>
    <n v="15701"/>
    <n v="6"/>
    <x v="1"/>
    <n v="12"/>
    <n v="3"/>
    <n v="2"/>
    <n v="1"/>
    <n v="8"/>
    <n v="2"/>
    <n v="2"/>
    <n v="6"/>
    <n v="5"/>
    <n v="4"/>
    <n v="3"/>
    <x v="0"/>
    <s v="Mid"/>
    <n v="6281.2528616024974"/>
    <s v="Above salary"/>
    <s v="Medium Risk"/>
  </r>
  <r>
    <n v="49"/>
    <x v="1"/>
    <s v="Travel_Rarely"/>
    <n v="1245"/>
    <x v="1"/>
    <n v="18"/>
    <n v="4"/>
    <s v="Life Sciences"/>
    <n v="638"/>
    <n v="4"/>
    <x v="1"/>
    <n v="58"/>
    <n v="2"/>
    <n v="5"/>
    <x v="7"/>
    <n v="3"/>
    <s v="Divorced"/>
    <x v="456"/>
    <n v="2125"/>
    <n v="1"/>
    <x v="0"/>
    <n v="17"/>
    <n v="3"/>
    <n v="3"/>
    <n v="1"/>
    <n v="31"/>
    <n v="5"/>
    <n v="3"/>
    <n v="31"/>
    <n v="9"/>
    <n v="0"/>
    <n v="9"/>
    <x v="1"/>
    <s v="Very High"/>
    <n v="6281.2528616024974"/>
    <s v="Above salary"/>
    <s v="Medium Risk"/>
  </r>
  <r>
    <n v="24"/>
    <x v="1"/>
    <s v="Travel_Rarely"/>
    <n v="691"/>
    <x v="1"/>
    <n v="23"/>
    <n v="3"/>
    <s v="Medical"/>
    <n v="639"/>
    <n v="2"/>
    <x v="1"/>
    <n v="89"/>
    <n v="4"/>
    <n v="1"/>
    <x v="1"/>
    <n v="4"/>
    <s v="Married"/>
    <x v="457"/>
    <n v="21630"/>
    <n v="1"/>
    <x v="0"/>
    <n v="11"/>
    <n v="3"/>
    <n v="2"/>
    <n v="2"/>
    <n v="6"/>
    <n v="3"/>
    <n v="3"/>
    <n v="6"/>
    <n v="5"/>
    <n v="1"/>
    <n v="4"/>
    <x v="3"/>
    <s v="Low"/>
    <n v="6281.2528616024974"/>
    <s v="Below salary"/>
    <s v="Medium Risk"/>
  </r>
  <r>
    <n v="26"/>
    <x v="1"/>
    <s v="Travel_Rarely"/>
    <n v="703"/>
    <x v="0"/>
    <n v="28"/>
    <n v="2"/>
    <s v="Marketing"/>
    <n v="641"/>
    <n v="1"/>
    <x v="1"/>
    <n v="66"/>
    <n v="3"/>
    <n v="2"/>
    <x v="0"/>
    <n v="2"/>
    <s v="Married"/>
    <x v="458"/>
    <n v="7428"/>
    <n v="1"/>
    <x v="1"/>
    <n v="20"/>
    <n v="4"/>
    <n v="4"/>
    <n v="2"/>
    <n v="6"/>
    <n v="5"/>
    <n v="4"/>
    <n v="5"/>
    <n v="3"/>
    <n v="1"/>
    <n v="4"/>
    <x v="2"/>
    <s v="Mid"/>
    <n v="6959.17264573991"/>
    <s v="Below salary"/>
    <s v="Medium Risk"/>
  </r>
  <r>
    <n v="24"/>
    <x v="1"/>
    <s v="Travel_Rarely"/>
    <n v="823"/>
    <x v="1"/>
    <n v="17"/>
    <n v="2"/>
    <s v="Other"/>
    <n v="643"/>
    <n v="4"/>
    <x v="1"/>
    <n v="94"/>
    <n v="2"/>
    <n v="1"/>
    <x v="2"/>
    <n v="2"/>
    <s v="Married"/>
    <x v="459"/>
    <n v="9100"/>
    <n v="1"/>
    <x v="1"/>
    <n v="21"/>
    <n v="4"/>
    <n v="4"/>
    <n v="1"/>
    <n v="1"/>
    <n v="2"/>
    <n v="3"/>
    <n v="1"/>
    <n v="0"/>
    <n v="0"/>
    <n v="0"/>
    <x v="3"/>
    <s v="Low"/>
    <n v="6281.2528616024974"/>
    <s v="Below salary"/>
    <s v="Medium Risk"/>
  </r>
  <r>
    <n v="50"/>
    <x v="1"/>
    <s v="Travel_Frequently"/>
    <n v="1246"/>
    <x v="2"/>
    <n v="3"/>
    <n v="3"/>
    <s v="Medical"/>
    <n v="644"/>
    <n v="1"/>
    <x v="1"/>
    <n v="99"/>
    <n v="3"/>
    <n v="5"/>
    <x v="5"/>
    <n v="2"/>
    <s v="Married"/>
    <x v="460"/>
    <n v="7999"/>
    <n v="1"/>
    <x v="1"/>
    <n v="11"/>
    <n v="3"/>
    <n v="3"/>
    <n v="1"/>
    <n v="32"/>
    <n v="2"/>
    <n v="3"/>
    <n v="32"/>
    <n v="5"/>
    <n v="10"/>
    <n v="7"/>
    <x v="1"/>
    <s v="Very High"/>
    <n v="6654.5079365079364"/>
    <s v="Above salary"/>
    <s v="Medium Risk"/>
  </r>
  <r>
    <n v="25"/>
    <x v="1"/>
    <s v="Travel_Rarely"/>
    <n v="622"/>
    <x v="0"/>
    <n v="13"/>
    <n v="1"/>
    <s v="Medical"/>
    <n v="645"/>
    <n v="2"/>
    <x v="1"/>
    <n v="40"/>
    <n v="3"/>
    <n v="1"/>
    <x v="6"/>
    <n v="3"/>
    <s v="Married"/>
    <x v="461"/>
    <n v="26376"/>
    <n v="1"/>
    <x v="1"/>
    <n v="11"/>
    <n v="3"/>
    <n v="3"/>
    <n v="0"/>
    <n v="7"/>
    <n v="1"/>
    <n v="3"/>
    <n v="7"/>
    <n v="4"/>
    <n v="0"/>
    <n v="6"/>
    <x v="3"/>
    <s v="Low"/>
    <n v="6959.17264573991"/>
    <s v="Below salary"/>
    <s v="Low Risk"/>
  </r>
  <r>
    <n v="24"/>
    <x v="0"/>
    <s v="Travel_Frequently"/>
    <n v="1287"/>
    <x v="1"/>
    <n v="7"/>
    <n v="3"/>
    <s v="Life Sciences"/>
    <n v="647"/>
    <n v="1"/>
    <x v="0"/>
    <n v="55"/>
    <n v="3"/>
    <n v="1"/>
    <x v="2"/>
    <n v="3"/>
    <s v="Married"/>
    <x v="407"/>
    <n v="14168"/>
    <n v="1"/>
    <x v="0"/>
    <n v="16"/>
    <n v="3"/>
    <n v="4"/>
    <n v="1"/>
    <n v="6"/>
    <n v="4"/>
    <n v="3"/>
    <n v="6"/>
    <n v="3"/>
    <n v="1"/>
    <n v="2"/>
    <x v="3"/>
    <s v="Low"/>
    <n v="6281.2528616024974"/>
    <s v="Below salary"/>
    <s v="Medium Risk"/>
  </r>
  <r>
    <n v="30"/>
    <x v="0"/>
    <s v="Travel_Frequently"/>
    <n v="448"/>
    <x v="0"/>
    <n v="12"/>
    <n v="4"/>
    <s v="Life Sciences"/>
    <n v="648"/>
    <n v="2"/>
    <x v="1"/>
    <n v="74"/>
    <n v="2"/>
    <n v="1"/>
    <x v="6"/>
    <n v="1"/>
    <s v="Married"/>
    <x v="462"/>
    <n v="14470"/>
    <n v="1"/>
    <x v="1"/>
    <n v="18"/>
    <n v="3"/>
    <n v="3"/>
    <n v="1"/>
    <n v="1"/>
    <n v="2"/>
    <n v="4"/>
    <n v="1"/>
    <n v="0"/>
    <n v="0"/>
    <n v="0"/>
    <x v="2"/>
    <s v="Low"/>
    <n v="6959.17264573991"/>
    <s v="Below salary"/>
    <s v="Medium Risk"/>
  </r>
  <r>
    <n v="34"/>
    <x v="1"/>
    <s v="Travel_Rarely"/>
    <n v="254"/>
    <x v="1"/>
    <n v="1"/>
    <n v="2"/>
    <s v="Life Sciences"/>
    <n v="649"/>
    <n v="2"/>
    <x v="1"/>
    <n v="83"/>
    <n v="2"/>
    <n v="1"/>
    <x v="1"/>
    <n v="4"/>
    <s v="Married"/>
    <x v="463"/>
    <n v="22794"/>
    <n v="1"/>
    <x v="0"/>
    <n v="13"/>
    <n v="3"/>
    <n v="4"/>
    <n v="1"/>
    <n v="6"/>
    <n v="3"/>
    <n v="3"/>
    <n v="6"/>
    <n v="5"/>
    <n v="1"/>
    <n v="3"/>
    <x v="2"/>
    <s v="Mid"/>
    <n v="6281.2528616024974"/>
    <s v="Below salary"/>
    <s v="Medium Risk"/>
  </r>
  <r>
    <n v="31"/>
    <x v="0"/>
    <s v="Travel_Rarely"/>
    <n v="1365"/>
    <x v="0"/>
    <n v="13"/>
    <n v="4"/>
    <s v="Medical"/>
    <n v="650"/>
    <n v="2"/>
    <x v="1"/>
    <n v="46"/>
    <n v="3"/>
    <n v="2"/>
    <x v="0"/>
    <n v="1"/>
    <s v="Divorced"/>
    <x v="464"/>
    <n v="11512"/>
    <n v="2"/>
    <x v="1"/>
    <n v="17"/>
    <n v="3"/>
    <n v="3"/>
    <n v="0"/>
    <n v="9"/>
    <n v="2"/>
    <n v="1"/>
    <n v="3"/>
    <n v="1"/>
    <n v="1"/>
    <n v="2"/>
    <x v="2"/>
    <s v="Mid"/>
    <n v="6959.17264573991"/>
    <s v="Below salary"/>
    <s v="Medium Risk"/>
  </r>
  <r>
    <n v="35"/>
    <x v="1"/>
    <s v="Travel_Rarely"/>
    <n v="538"/>
    <x v="1"/>
    <n v="25"/>
    <n v="2"/>
    <s v="Other"/>
    <n v="652"/>
    <n v="1"/>
    <x v="1"/>
    <n v="54"/>
    <n v="2"/>
    <n v="2"/>
    <x v="2"/>
    <n v="4"/>
    <s v="Single"/>
    <x v="465"/>
    <n v="14004"/>
    <n v="4"/>
    <x v="1"/>
    <n v="14"/>
    <n v="3"/>
    <n v="4"/>
    <n v="0"/>
    <n v="9"/>
    <n v="3"/>
    <n v="3"/>
    <n v="3"/>
    <n v="2"/>
    <n v="0"/>
    <n v="2"/>
    <x v="2"/>
    <s v="Mid"/>
    <n v="6281.2528616024974"/>
    <s v="Below salary"/>
    <s v="Low Risk"/>
  </r>
  <r>
    <n v="31"/>
    <x v="1"/>
    <s v="Travel_Rarely"/>
    <n v="525"/>
    <x v="0"/>
    <n v="6"/>
    <n v="4"/>
    <s v="Medical"/>
    <n v="653"/>
    <n v="1"/>
    <x v="1"/>
    <n v="66"/>
    <n v="4"/>
    <n v="2"/>
    <x v="0"/>
    <n v="4"/>
    <s v="Divorced"/>
    <x v="466"/>
    <n v="6219"/>
    <n v="4"/>
    <x v="1"/>
    <n v="22"/>
    <n v="4"/>
    <n v="4"/>
    <n v="2"/>
    <n v="13"/>
    <n v="4"/>
    <n v="4"/>
    <n v="7"/>
    <n v="7"/>
    <n v="5"/>
    <n v="7"/>
    <x v="2"/>
    <s v="Mid"/>
    <n v="6959.17264573991"/>
    <s v="Below salary"/>
    <s v="Low Risk"/>
  </r>
  <r>
    <n v="27"/>
    <x v="1"/>
    <s v="Travel_Rarely"/>
    <n v="798"/>
    <x v="1"/>
    <n v="6"/>
    <n v="4"/>
    <s v="Medical"/>
    <n v="655"/>
    <n v="1"/>
    <x v="0"/>
    <n v="66"/>
    <n v="2"/>
    <n v="1"/>
    <x v="1"/>
    <n v="3"/>
    <s v="Divorced"/>
    <x v="467"/>
    <n v="5013"/>
    <n v="0"/>
    <x v="1"/>
    <n v="12"/>
    <n v="3"/>
    <n v="3"/>
    <n v="2"/>
    <n v="6"/>
    <n v="5"/>
    <n v="2"/>
    <n v="5"/>
    <n v="3"/>
    <n v="0"/>
    <n v="3"/>
    <x v="2"/>
    <s v="Low"/>
    <n v="6281.2528616024974"/>
    <s v="Below salary"/>
    <s v="Low Risk"/>
  </r>
  <r>
    <n v="37"/>
    <x v="1"/>
    <s v="Travel_Rarely"/>
    <n v="558"/>
    <x v="0"/>
    <n v="2"/>
    <n v="3"/>
    <s v="Marketing"/>
    <n v="656"/>
    <n v="4"/>
    <x v="1"/>
    <n v="75"/>
    <n v="3"/>
    <n v="2"/>
    <x v="0"/>
    <n v="3"/>
    <s v="Married"/>
    <x v="468"/>
    <n v="3010"/>
    <n v="4"/>
    <x v="0"/>
    <n v="11"/>
    <n v="3"/>
    <n v="3"/>
    <n v="1"/>
    <n v="17"/>
    <n v="3"/>
    <n v="2"/>
    <n v="3"/>
    <n v="0"/>
    <n v="1"/>
    <n v="0"/>
    <x v="0"/>
    <s v="High"/>
    <n v="6959.17264573991"/>
    <s v="Above salary"/>
    <s v="Medium Risk"/>
  </r>
  <r>
    <n v="20"/>
    <x v="1"/>
    <s v="Travel_Rarely"/>
    <n v="959"/>
    <x v="1"/>
    <n v="1"/>
    <n v="3"/>
    <s v="Life Sciences"/>
    <n v="657"/>
    <n v="4"/>
    <x v="0"/>
    <n v="83"/>
    <n v="2"/>
    <n v="1"/>
    <x v="1"/>
    <n v="2"/>
    <s v="Single"/>
    <x v="469"/>
    <n v="11757"/>
    <n v="1"/>
    <x v="1"/>
    <n v="13"/>
    <n v="3"/>
    <n v="4"/>
    <n v="0"/>
    <n v="1"/>
    <n v="0"/>
    <n v="4"/>
    <n v="1"/>
    <n v="0"/>
    <n v="0"/>
    <n v="0"/>
    <x v="3"/>
    <s v="Low"/>
    <n v="6281.2528616024974"/>
    <s v="Below salary"/>
    <s v="Medium Risk"/>
  </r>
  <r>
    <n v="42"/>
    <x v="1"/>
    <s v="Travel_Rarely"/>
    <n v="622"/>
    <x v="1"/>
    <n v="2"/>
    <n v="4"/>
    <s v="Life Sciences"/>
    <n v="659"/>
    <n v="3"/>
    <x v="0"/>
    <n v="81"/>
    <n v="3"/>
    <n v="2"/>
    <x v="4"/>
    <n v="4"/>
    <s v="Married"/>
    <x v="470"/>
    <n v="5718"/>
    <n v="1"/>
    <x v="1"/>
    <n v="13"/>
    <n v="3"/>
    <n v="2"/>
    <n v="2"/>
    <n v="10"/>
    <n v="4"/>
    <n v="3"/>
    <n v="10"/>
    <n v="2"/>
    <n v="2"/>
    <n v="2"/>
    <x v="0"/>
    <s v="Mid"/>
    <n v="6281.2528616024974"/>
    <s v="Below salary"/>
    <s v="Low Risk"/>
  </r>
  <r>
    <n v="43"/>
    <x v="1"/>
    <s v="Travel_Rarely"/>
    <n v="782"/>
    <x v="1"/>
    <n v="6"/>
    <n v="4"/>
    <s v="Other"/>
    <n v="661"/>
    <n v="2"/>
    <x v="1"/>
    <n v="50"/>
    <n v="2"/>
    <n v="4"/>
    <x v="7"/>
    <n v="4"/>
    <s v="Divorced"/>
    <x v="471"/>
    <n v="2671"/>
    <n v="4"/>
    <x v="0"/>
    <n v="14"/>
    <n v="3"/>
    <n v="3"/>
    <n v="1"/>
    <n v="21"/>
    <n v="3"/>
    <n v="2"/>
    <n v="1"/>
    <n v="0"/>
    <n v="0"/>
    <n v="0"/>
    <x v="0"/>
    <s v="Very High"/>
    <n v="6281.2528616024974"/>
    <s v="Above salary"/>
    <s v="Medium Risk"/>
  </r>
  <r>
    <n v="38"/>
    <x v="1"/>
    <s v="Travel_Rarely"/>
    <n v="362"/>
    <x v="1"/>
    <n v="1"/>
    <n v="1"/>
    <s v="Life Sciences"/>
    <n v="662"/>
    <n v="3"/>
    <x v="0"/>
    <n v="43"/>
    <n v="3"/>
    <n v="1"/>
    <x v="1"/>
    <n v="1"/>
    <s v="Single"/>
    <x v="472"/>
    <n v="14561"/>
    <n v="3"/>
    <x v="1"/>
    <n v="17"/>
    <n v="3"/>
    <n v="4"/>
    <n v="0"/>
    <n v="8"/>
    <n v="3"/>
    <n v="2"/>
    <n v="0"/>
    <n v="0"/>
    <n v="0"/>
    <n v="0"/>
    <x v="0"/>
    <s v="Low"/>
    <n v="6281.2528616024974"/>
    <s v="Below salary"/>
    <s v="Medium Risk"/>
  </r>
  <r>
    <n v="43"/>
    <x v="1"/>
    <s v="Travel_Frequently"/>
    <n v="1001"/>
    <x v="1"/>
    <n v="9"/>
    <n v="5"/>
    <s v="Medical"/>
    <n v="663"/>
    <n v="4"/>
    <x v="1"/>
    <n v="72"/>
    <n v="3"/>
    <n v="2"/>
    <x v="2"/>
    <n v="3"/>
    <s v="Divorced"/>
    <x v="473"/>
    <n v="19627"/>
    <n v="3"/>
    <x v="0"/>
    <n v="13"/>
    <n v="3"/>
    <n v="2"/>
    <n v="1"/>
    <n v="10"/>
    <n v="3"/>
    <n v="3"/>
    <n v="8"/>
    <n v="7"/>
    <n v="4"/>
    <n v="7"/>
    <x v="0"/>
    <s v="Mid"/>
    <n v="6281.2528616024974"/>
    <s v="Below salary"/>
    <s v="Medium Risk"/>
  </r>
  <r>
    <n v="48"/>
    <x v="1"/>
    <s v="Travel_Rarely"/>
    <n v="1236"/>
    <x v="1"/>
    <n v="1"/>
    <n v="4"/>
    <s v="Life Sciences"/>
    <n v="664"/>
    <n v="4"/>
    <x v="0"/>
    <n v="40"/>
    <n v="2"/>
    <n v="4"/>
    <x v="5"/>
    <n v="1"/>
    <s v="Married"/>
    <x v="474"/>
    <n v="17997"/>
    <n v="7"/>
    <x v="1"/>
    <n v="11"/>
    <n v="3"/>
    <n v="1"/>
    <n v="1"/>
    <n v="21"/>
    <n v="3"/>
    <n v="1"/>
    <n v="3"/>
    <n v="2"/>
    <n v="0"/>
    <n v="2"/>
    <x v="1"/>
    <s v="Very High"/>
    <n v="6281.2528616024974"/>
    <s v="Above salary"/>
    <s v="Medium Risk"/>
  </r>
  <r>
    <n v="44"/>
    <x v="1"/>
    <s v="Travel_Rarely"/>
    <n v="1112"/>
    <x v="2"/>
    <n v="1"/>
    <n v="4"/>
    <s v="Life Sciences"/>
    <n v="665"/>
    <n v="1"/>
    <x v="0"/>
    <n v="50"/>
    <n v="2"/>
    <n v="2"/>
    <x v="8"/>
    <n v="3"/>
    <s v="Single"/>
    <x v="475"/>
    <n v="26894"/>
    <n v="4"/>
    <x v="1"/>
    <n v="11"/>
    <n v="3"/>
    <n v="2"/>
    <n v="0"/>
    <n v="10"/>
    <n v="1"/>
    <n v="4"/>
    <n v="2"/>
    <n v="2"/>
    <n v="0"/>
    <n v="2"/>
    <x v="0"/>
    <s v="Mid"/>
    <n v="6654.5079365079364"/>
    <s v="Below salary"/>
    <s v="Low Risk"/>
  </r>
  <r>
    <n v="34"/>
    <x v="1"/>
    <s v="Travel_Rarely"/>
    <n v="204"/>
    <x v="0"/>
    <n v="14"/>
    <n v="3"/>
    <s v="Technical Degree"/>
    <n v="666"/>
    <n v="3"/>
    <x v="0"/>
    <n v="31"/>
    <n v="3"/>
    <n v="1"/>
    <x v="6"/>
    <n v="3"/>
    <s v="Divorced"/>
    <x v="476"/>
    <n v="2912"/>
    <n v="1"/>
    <x v="0"/>
    <n v="18"/>
    <n v="3"/>
    <n v="4"/>
    <n v="2"/>
    <n v="8"/>
    <n v="3"/>
    <n v="3"/>
    <n v="8"/>
    <n v="2"/>
    <n v="0"/>
    <n v="6"/>
    <x v="2"/>
    <s v="Low"/>
    <n v="6959.17264573991"/>
    <s v="Below salary"/>
    <s v="Medium Risk"/>
  </r>
  <r>
    <n v="27"/>
    <x v="0"/>
    <s v="Travel_Rarely"/>
    <n v="1420"/>
    <x v="0"/>
    <n v="2"/>
    <n v="1"/>
    <s v="Marketing"/>
    <n v="667"/>
    <n v="3"/>
    <x v="1"/>
    <n v="85"/>
    <n v="3"/>
    <n v="1"/>
    <x v="6"/>
    <n v="1"/>
    <s v="Divorced"/>
    <x v="477"/>
    <n v="16346"/>
    <n v="0"/>
    <x v="1"/>
    <n v="11"/>
    <n v="3"/>
    <n v="2"/>
    <n v="1"/>
    <n v="5"/>
    <n v="3"/>
    <n v="3"/>
    <n v="4"/>
    <n v="3"/>
    <n v="0"/>
    <n v="2"/>
    <x v="2"/>
    <s v="Mid"/>
    <n v="6959.17264573991"/>
    <s v="Below salary"/>
    <s v="Medium Risk"/>
  </r>
  <r>
    <n v="21"/>
    <x v="1"/>
    <s v="Travel_Rarely"/>
    <n v="1343"/>
    <x v="0"/>
    <n v="22"/>
    <n v="1"/>
    <s v="Technical Degree"/>
    <n v="669"/>
    <n v="3"/>
    <x v="1"/>
    <n v="49"/>
    <n v="3"/>
    <n v="1"/>
    <x v="6"/>
    <n v="3"/>
    <s v="Single"/>
    <x v="478"/>
    <n v="24444"/>
    <n v="1"/>
    <x v="1"/>
    <n v="11"/>
    <n v="3"/>
    <n v="3"/>
    <n v="0"/>
    <n v="3"/>
    <n v="2"/>
    <n v="3"/>
    <n v="3"/>
    <n v="2"/>
    <n v="1"/>
    <n v="2"/>
    <x v="3"/>
    <s v="Mid"/>
    <n v="6959.17264573991"/>
    <s v="Below salary"/>
    <s v="Low Risk"/>
  </r>
  <r>
    <n v="44"/>
    <x v="1"/>
    <s v="Travel_Rarely"/>
    <n v="1315"/>
    <x v="1"/>
    <n v="3"/>
    <n v="4"/>
    <s v="Other"/>
    <n v="671"/>
    <n v="4"/>
    <x v="1"/>
    <n v="35"/>
    <n v="3"/>
    <n v="5"/>
    <x v="5"/>
    <n v="4"/>
    <s v="Married"/>
    <x v="479"/>
    <n v="9358"/>
    <n v="4"/>
    <x v="0"/>
    <n v="12"/>
    <n v="3"/>
    <n v="1"/>
    <n v="1"/>
    <n v="26"/>
    <n v="2"/>
    <n v="4"/>
    <n v="2"/>
    <n v="2"/>
    <n v="0"/>
    <n v="1"/>
    <x v="0"/>
    <s v="Very High"/>
    <n v="6281.2528616024974"/>
    <s v="Above salary"/>
    <s v="Medium Risk"/>
  </r>
  <r>
    <n v="22"/>
    <x v="1"/>
    <s v="Travel_Rarely"/>
    <n v="604"/>
    <x v="1"/>
    <n v="6"/>
    <n v="1"/>
    <s v="Medical"/>
    <n v="675"/>
    <n v="1"/>
    <x v="1"/>
    <n v="69"/>
    <n v="3"/>
    <n v="1"/>
    <x v="1"/>
    <n v="3"/>
    <s v="Married"/>
    <x v="480"/>
    <n v="12145"/>
    <n v="0"/>
    <x v="1"/>
    <n v="20"/>
    <n v="4"/>
    <n v="4"/>
    <n v="0"/>
    <n v="3"/>
    <n v="3"/>
    <n v="3"/>
    <n v="2"/>
    <n v="2"/>
    <n v="2"/>
    <n v="2"/>
    <x v="3"/>
    <s v="Low"/>
    <n v="6281.2528616024974"/>
    <s v="Below salary"/>
    <s v="Low Risk"/>
  </r>
  <r>
    <n v="33"/>
    <x v="1"/>
    <s v="Travel_Rarely"/>
    <n v="1216"/>
    <x v="0"/>
    <n v="8"/>
    <n v="4"/>
    <s v="Marketing"/>
    <n v="677"/>
    <n v="3"/>
    <x v="1"/>
    <n v="39"/>
    <n v="3"/>
    <n v="2"/>
    <x v="0"/>
    <n v="3"/>
    <s v="Divorced"/>
    <x v="481"/>
    <n v="20431"/>
    <n v="0"/>
    <x v="1"/>
    <n v="12"/>
    <n v="3"/>
    <n v="4"/>
    <n v="0"/>
    <n v="6"/>
    <n v="3"/>
    <n v="3"/>
    <n v="5"/>
    <n v="0"/>
    <n v="1"/>
    <n v="2"/>
    <x v="2"/>
    <s v="High"/>
    <n v="6959.17264573991"/>
    <s v="Above salary"/>
    <s v="Low Risk"/>
  </r>
  <r>
    <n v="32"/>
    <x v="1"/>
    <s v="Travel_Rarely"/>
    <n v="646"/>
    <x v="1"/>
    <n v="9"/>
    <n v="4"/>
    <s v="Life Sciences"/>
    <n v="679"/>
    <n v="1"/>
    <x v="0"/>
    <n v="92"/>
    <n v="3"/>
    <n v="2"/>
    <x v="1"/>
    <n v="4"/>
    <s v="Married"/>
    <x v="482"/>
    <n v="18089"/>
    <n v="1"/>
    <x v="0"/>
    <n v="12"/>
    <n v="3"/>
    <n v="4"/>
    <n v="1"/>
    <n v="6"/>
    <n v="2"/>
    <n v="2"/>
    <n v="6"/>
    <n v="4"/>
    <n v="0"/>
    <n v="5"/>
    <x v="2"/>
    <s v="Mid"/>
    <n v="6281.2528616024974"/>
    <s v="Above salary"/>
    <s v="Medium Risk"/>
  </r>
  <r>
    <n v="30"/>
    <x v="1"/>
    <s v="Travel_Frequently"/>
    <n v="160"/>
    <x v="1"/>
    <n v="3"/>
    <n v="3"/>
    <s v="Medical"/>
    <n v="680"/>
    <n v="3"/>
    <x v="0"/>
    <n v="71"/>
    <n v="3"/>
    <n v="1"/>
    <x v="1"/>
    <n v="3"/>
    <s v="Divorced"/>
    <x v="483"/>
    <n v="22653"/>
    <n v="1"/>
    <x v="1"/>
    <n v="20"/>
    <n v="4"/>
    <n v="3"/>
    <n v="1"/>
    <n v="1"/>
    <n v="2"/>
    <n v="3"/>
    <n v="1"/>
    <n v="0"/>
    <n v="0"/>
    <n v="0"/>
    <x v="2"/>
    <s v="Low"/>
    <n v="6281.2528616024974"/>
    <s v="Below salary"/>
    <s v="Low Risk"/>
  </r>
  <r>
    <n v="53"/>
    <x v="1"/>
    <s v="Travel_Rarely"/>
    <n v="238"/>
    <x v="0"/>
    <n v="1"/>
    <n v="1"/>
    <s v="Medical"/>
    <n v="682"/>
    <n v="4"/>
    <x v="0"/>
    <n v="34"/>
    <n v="3"/>
    <n v="2"/>
    <x v="0"/>
    <n v="1"/>
    <s v="Single"/>
    <x v="484"/>
    <n v="7507"/>
    <n v="7"/>
    <x v="1"/>
    <n v="20"/>
    <n v="4"/>
    <n v="4"/>
    <n v="0"/>
    <n v="18"/>
    <n v="2"/>
    <n v="4"/>
    <n v="14"/>
    <n v="7"/>
    <n v="8"/>
    <n v="10"/>
    <x v="1"/>
    <s v="High"/>
    <n v="6959.17264573991"/>
    <s v="Above salary"/>
    <s v="Medium Risk"/>
  </r>
  <r>
    <n v="34"/>
    <x v="1"/>
    <s v="Travel_Rarely"/>
    <n v="1397"/>
    <x v="1"/>
    <n v="1"/>
    <n v="5"/>
    <s v="Life Sciences"/>
    <n v="683"/>
    <n v="2"/>
    <x v="1"/>
    <n v="42"/>
    <n v="3"/>
    <n v="1"/>
    <x v="1"/>
    <n v="4"/>
    <s v="Married"/>
    <x v="485"/>
    <n v="7660"/>
    <n v="1"/>
    <x v="1"/>
    <n v="12"/>
    <n v="3"/>
    <n v="4"/>
    <n v="1"/>
    <n v="10"/>
    <n v="4"/>
    <n v="2"/>
    <n v="10"/>
    <n v="9"/>
    <n v="8"/>
    <n v="8"/>
    <x v="2"/>
    <s v="Low"/>
    <n v="6281.2528616024974"/>
    <s v="Below salary"/>
    <s v="Low Risk"/>
  </r>
  <r>
    <n v="45"/>
    <x v="0"/>
    <s v="Travel_Frequently"/>
    <n v="306"/>
    <x v="0"/>
    <n v="26"/>
    <n v="4"/>
    <s v="Life Sciences"/>
    <n v="684"/>
    <n v="1"/>
    <x v="0"/>
    <n v="100"/>
    <n v="3"/>
    <n v="2"/>
    <x v="0"/>
    <n v="1"/>
    <s v="Married"/>
    <x v="486"/>
    <n v="5630"/>
    <n v="2"/>
    <x v="1"/>
    <n v="14"/>
    <n v="3"/>
    <n v="4"/>
    <n v="2"/>
    <n v="5"/>
    <n v="4"/>
    <n v="3"/>
    <n v="1"/>
    <n v="1"/>
    <n v="0"/>
    <n v="0"/>
    <x v="0"/>
    <s v="Mid"/>
    <n v="6959.17264573991"/>
    <s v="Below salary"/>
    <s v="Medium Risk"/>
  </r>
  <r>
    <n v="26"/>
    <x v="1"/>
    <s v="Travel_Rarely"/>
    <n v="991"/>
    <x v="1"/>
    <n v="6"/>
    <n v="3"/>
    <s v="Life Sciences"/>
    <n v="686"/>
    <n v="3"/>
    <x v="0"/>
    <n v="71"/>
    <n v="3"/>
    <n v="1"/>
    <x v="2"/>
    <n v="4"/>
    <s v="Married"/>
    <x v="487"/>
    <n v="17759"/>
    <n v="1"/>
    <x v="0"/>
    <n v="13"/>
    <n v="3"/>
    <n v="3"/>
    <n v="1"/>
    <n v="3"/>
    <n v="2"/>
    <n v="3"/>
    <n v="3"/>
    <n v="2"/>
    <n v="0"/>
    <n v="2"/>
    <x v="2"/>
    <s v="Low"/>
    <n v="6281.2528616024974"/>
    <s v="Below salary"/>
    <s v="Medium Risk"/>
  </r>
  <r>
    <n v="37"/>
    <x v="1"/>
    <s v="Travel_Rarely"/>
    <n v="482"/>
    <x v="1"/>
    <n v="3"/>
    <n v="3"/>
    <s v="Other"/>
    <n v="689"/>
    <n v="3"/>
    <x v="1"/>
    <n v="36"/>
    <n v="3"/>
    <n v="3"/>
    <x v="3"/>
    <n v="3"/>
    <s v="Married"/>
    <x v="488"/>
    <n v="9606"/>
    <n v="1"/>
    <x v="1"/>
    <n v="15"/>
    <n v="3"/>
    <n v="3"/>
    <n v="1"/>
    <n v="10"/>
    <n v="2"/>
    <n v="3"/>
    <n v="10"/>
    <n v="7"/>
    <n v="7"/>
    <n v="8"/>
    <x v="0"/>
    <s v="High"/>
    <n v="6281.2528616024974"/>
    <s v="Above salary"/>
    <s v="Low Risk"/>
  </r>
  <r>
    <n v="29"/>
    <x v="1"/>
    <s v="Travel_Rarely"/>
    <n v="1176"/>
    <x v="0"/>
    <n v="3"/>
    <n v="2"/>
    <s v="Medical"/>
    <n v="690"/>
    <n v="2"/>
    <x v="0"/>
    <n v="62"/>
    <n v="3"/>
    <n v="2"/>
    <x v="0"/>
    <n v="3"/>
    <s v="Married"/>
    <x v="489"/>
    <n v="3487"/>
    <n v="1"/>
    <x v="1"/>
    <n v="14"/>
    <n v="3"/>
    <n v="1"/>
    <n v="1"/>
    <n v="6"/>
    <n v="5"/>
    <n v="2"/>
    <n v="6"/>
    <n v="0"/>
    <n v="1"/>
    <n v="2"/>
    <x v="2"/>
    <s v="Mid"/>
    <n v="6959.17264573991"/>
    <s v="Below salary"/>
    <s v="Low Risk"/>
  </r>
  <r>
    <n v="35"/>
    <x v="1"/>
    <s v="Travel_Rarely"/>
    <n v="1017"/>
    <x v="1"/>
    <n v="6"/>
    <n v="4"/>
    <s v="Life Sciences"/>
    <n v="691"/>
    <n v="2"/>
    <x v="1"/>
    <n v="82"/>
    <n v="1"/>
    <n v="2"/>
    <x v="1"/>
    <n v="4"/>
    <s v="Single"/>
    <x v="490"/>
    <n v="19368"/>
    <n v="1"/>
    <x v="1"/>
    <n v="13"/>
    <n v="3"/>
    <n v="2"/>
    <n v="0"/>
    <n v="17"/>
    <n v="3"/>
    <n v="3"/>
    <n v="17"/>
    <n v="11"/>
    <n v="11"/>
    <n v="8"/>
    <x v="2"/>
    <s v="Mid"/>
    <n v="6281.2528616024974"/>
    <s v="Above salary"/>
    <s v="Low Risk"/>
  </r>
  <r>
    <n v="33"/>
    <x v="1"/>
    <s v="Travel_Frequently"/>
    <n v="1296"/>
    <x v="1"/>
    <n v="6"/>
    <n v="3"/>
    <s v="Life Sciences"/>
    <n v="692"/>
    <n v="3"/>
    <x v="1"/>
    <n v="30"/>
    <n v="3"/>
    <n v="2"/>
    <x v="4"/>
    <n v="4"/>
    <s v="Divorced"/>
    <x v="491"/>
    <n v="5335"/>
    <n v="3"/>
    <x v="1"/>
    <n v="23"/>
    <n v="4"/>
    <n v="3"/>
    <n v="1"/>
    <n v="15"/>
    <n v="2"/>
    <n v="1"/>
    <n v="13"/>
    <n v="11"/>
    <n v="4"/>
    <n v="7"/>
    <x v="2"/>
    <s v="High"/>
    <n v="6281.2528616024974"/>
    <s v="Above salary"/>
    <s v="Low Risk"/>
  </r>
  <r>
    <n v="54"/>
    <x v="1"/>
    <s v="Travel_Rarely"/>
    <n v="397"/>
    <x v="2"/>
    <n v="19"/>
    <n v="4"/>
    <s v="Medical"/>
    <n v="698"/>
    <n v="3"/>
    <x v="1"/>
    <n v="88"/>
    <n v="3"/>
    <n v="3"/>
    <x v="8"/>
    <n v="2"/>
    <s v="Married"/>
    <x v="492"/>
    <n v="6729"/>
    <n v="2"/>
    <x v="1"/>
    <n v="15"/>
    <n v="3"/>
    <n v="3"/>
    <n v="1"/>
    <n v="16"/>
    <n v="1"/>
    <n v="4"/>
    <n v="9"/>
    <n v="7"/>
    <n v="7"/>
    <n v="1"/>
    <x v="1"/>
    <s v="High"/>
    <n v="6654.5079365079364"/>
    <s v="Above salary"/>
    <s v="Medium Risk"/>
  </r>
  <r>
    <n v="36"/>
    <x v="1"/>
    <s v="Travel_Rarely"/>
    <n v="913"/>
    <x v="1"/>
    <n v="9"/>
    <n v="2"/>
    <s v="Medical"/>
    <n v="699"/>
    <n v="2"/>
    <x v="1"/>
    <n v="48"/>
    <n v="2"/>
    <n v="2"/>
    <x v="3"/>
    <n v="2"/>
    <s v="Divorced"/>
    <x v="493"/>
    <n v="13934"/>
    <n v="2"/>
    <x v="0"/>
    <n v="11"/>
    <n v="3"/>
    <n v="3"/>
    <n v="1"/>
    <n v="13"/>
    <n v="2"/>
    <n v="3"/>
    <n v="3"/>
    <n v="2"/>
    <n v="0"/>
    <n v="2"/>
    <x v="0"/>
    <s v="High"/>
    <n v="6281.2528616024974"/>
    <s v="Above salary"/>
    <s v="High Risk"/>
  </r>
  <r>
    <n v="27"/>
    <x v="1"/>
    <s v="Travel_Rarely"/>
    <n v="1115"/>
    <x v="1"/>
    <n v="3"/>
    <n v="4"/>
    <s v="Medical"/>
    <n v="700"/>
    <n v="1"/>
    <x v="1"/>
    <n v="54"/>
    <n v="2"/>
    <n v="1"/>
    <x v="1"/>
    <n v="4"/>
    <s v="Single"/>
    <x v="494"/>
    <n v="15174"/>
    <n v="0"/>
    <x v="1"/>
    <n v="13"/>
    <n v="3"/>
    <n v="4"/>
    <n v="0"/>
    <n v="5"/>
    <n v="0"/>
    <n v="3"/>
    <n v="4"/>
    <n v="2"/>
    <n v="1"/>
    <n v="1"/>
    <x v="2"/>
    <s v="Low"/>
    <n v="6281.2528616024974"/>
    <s v="Below salary"/>
    <s v="Low Risk"/>
  </r>
  <r>
    <n v="20"/>
    <x v="0"/>
    <s v="Travel_Rarely"/>
    <n v="1362"/>
    <x v="1"/>
    <n v="10"/>
    <n v="1"/>
    <s v="Medical"/>
    <n v="701"/>
    <n v="4"/>
    <x v="1"/>
    <n v="32"/>
    <n v="3"/>
    <n v="1"/>
    <x v="1"/>
    <n v="3"/>
    <s v="Single"/>
    <x v="495"/>
    <n v="26999"/>
    <n v="1"/>
    <x v="0"/>
    <n v="11"/>
    <n v="3"/>
    <n v="4"/>
    <n v="0"/>
    <n v="1"/>
    <n v="5"/>
    <n v="3"/>
    <n v="1"/>
    <n v="0"/>
    <n v="1"/>
    <n v="1"/>
    <x v="3"/>
    <s v="Low"/>
    <n v="6281.2528616024974"/>
    <s v="Below salary"/>
    <s v="Medium Risk"/>
  </r>
  <r>
    <n v="33"/>
    <x v="0"/>
    <s v="Travel_Frequently"/>
    <n v="1076"/>
    <x v="1"/>
    <n v="3"/>
    <n v="3"/>
    <s v="Life Sciences"/>
    <n v="702"/>
    <n v="1"/>
    <x v="1"/>
    <n v="70"/>
    <n v="3"/>
    <n v="1"/>
    <x v="1"/>
    <n v="1"/>
    <s v="Single"/>
    <x v="496"/>
    <n v="3164"/>
    <n v="1"/>
    <x v="0"/>
    <n v="11"/>
    <n v="3"/>
    <n v="1"/>
    <n v="0"/>
    <n v="10"/>
    <n v="3"/>
    <n v="3"/>
    <n v="10"/>
    <n v="8"/>
    <n v="9"/>
    <n v="7"/>
    <x v="2"/>
    <s v="Mid"/>
    <n v="6281.2528616024974"/>
    <s v="Below salary"/>
    <s v="High Risk"/>
  </r>
  <r>
    <n v="35"/>
    <x v="1"/>
    <s v="Non-Travel"/>
    <n v="727"/>
    <x v="1"/>
    <n v="3"/>
    <n v="3"/>
    <s v="Life Sciences"/>
    <n v="704"/>
    <n v="3"/>
    <x v="1"/>
    <n v="41"/>
    <n v="2"/>
    <n v="1"/>
    <x v="2"/>
    <n v="3"/>
    <s v="Married"/>
    <x v="497"/>
    <n v="16900"/>
    <n v="1"/>
    <x v="1"/>
    <n v="18"/>
    <n v="3"/>
    <n v="3"/>
    <n v="2"/>
    <n v="1"/>
    <n v="3"/>
    <n v="3"/>
    <n v="1"/>
    <n v="0"/>
    <n v="0"/>
    <n v="0"/>
    <x v="2"/>
    <s v="Low"/>
    <n v="6281.2528616024974"/>
    <s v="Below salary"/>
    <s v="Low Risk"/>
  </r>
  <r>
    <n v="23"/>
    <x v="1"/>
    <s v="Travel_Rarely"/>
    <n v="885"/>
    <x v="1"/>
    <n v="4"/>
    <n v="3"/>
    <s v="Medical"/>
    <n v="705"/>
    <n v="1"/>
    <x v="1"/>
    <n v="58"/>
    <n v="4"/>
    <n v="1"/>
    <x v="1"/>
    <n v="1"/>
    <s v="Married"/>
    <x v="498"/>
    <n v="8544"/>
    <n v="2"/>
    <x v="1"/>
    <n v="16"/>
    <n v="3"/>
    <n v="1"/>
    <n v="1"/>
    <n v="5"/>
    <n v="3"/>
    <n v="4"/>
    <n v="3"/>
    <n v="2"/>
    <n v="0"/>
    <n v="2"/>
    <x v="3"/>
    <s v="Low"/>
    <n v="6281.2528616024974"/>
    <s v="Below salary"/>
    <s v="Medium Risk"/>
  </r>
  <r>
    <n v="25"/>
    <x v="1"/>
    <s v="Travel_Rarely"/>
    <n v="810"/>
    <x v="0"/>
    <n v="8"/>
    <n v="3"/>
    <s v="Life Sciences"/>
    <n v="707"/>
    <n v="4"/>
    <x v="1"/>
    <n v="57"/>
    <n v="4"/>
    <n v="2"/>
    <x v="0"/>
    <n v="2"/>
    <s v="Married"/>
    <x v="499"/>
    <n v="15678"/>
    <n v="0"/>
    <x v="1"/>
    <n v="22"/>
    <n v="4"/>
    <n v="3"/>
    <n v="1"/>
    <n v="4"/>
    <n v="4"/>
    <n v="3"/>
    <n v="3"/>
    <n v="2"/>
    <n v="1"/>
    <n v="2"/>
    <x v="3"/>
    <s v="Mid"/>
    <n v="6959.17264573991"/>
    <s v="Below salary"/>
    <s v="Medium Risk"/>
  </r>
  <r>
    <n v="38"/>
    <x v="1"/>
    <s v="Travel_Rarely"/>
    <n v="243"/>
    <x v="0"/>
    <n v="7"/>
    <n v="4"/>
    <s v="Marketing"/>
    <n v="709"/>
    <n v="4"/>
    <x v="0"/>
    <n v="46"/>
    <n v="2"/>
    <n v="2"/>
    <x v="0"/>
    <n v="4"/>
    <s v="Single"/>
    <x v="500"/>
    <n v="7791"/>
    <n v="0"/>
    <x v="1"/>
    <n v="20"/>
    <n v="4"/>
    <n v="1"/>
    <n v="0"/>
    <n v="8"/>
    <n v="2"/>
    <n v="3"/>
    <n v="7"/>
    <n v="7"/>
    <n v="0"/>
    <n v="5"/>
    <x v="0"/>
    <s v="Mid"/>
    <n v="6959.17264573991"/>
    <s v="Below salary"/>
    <s v="Low Risk"/>
  </r>
  <r>
    <n v="29"/>
    <x v="1"/>
    <s v="Travel_Frequently"/>
    <n v="806"/>
    <x v="1"/>
    <n v="1"/>
    <n v="4"/>
    <s v="Life Sciences"/>
    <n v="710"/>
    <n v="2"/>
    <x v="1"/>
    <n v="76"/>
    <n v="1"/>
    <n v="1"/>
    <x v="1"/>
    <n v="4"/>
    <s v="Divorced"/>
    <x v="143"/>
    <n v="18959"/>
    <n v="1"/>
    <x v="1"/>
    <n v="18"/>
    <n v="3"/>
    <n v="4"/>
    <n v="1"/>
    <n v="10"/>
    <n v="5"/>
    <n v="3"/>
    <n v="10"/>
    <n v="7"/>
    <n v="2"/>
    <n v="8"/>
    <x v="2"/>
    <s v="Low"/>
    <n v="6281.2528616024974"/>
    <s v="Below salary"/>
    <s v="Low Risk"/>
  </r>
  <r>
    <n v="48"/>
    <x v="1"/>
    <s v="Travel_Rarely"/>
    <n v="817"/>
    <x v="0"/>
    <n v="2"/>
    <n v="1"/>
    <s v="Marketing"/>
    <n v="712"/>
    <n v="2"/>
    <x v="1"/>
    <n v="56"/>
    <n v="4"/>
    <n v="2"/>
    <x v="0"/>
    <n v="2"/>
    <s v="Married"/>
    <x v="501"/>
    <n v="18597"/>
    <n v="3"/>
    <x v="1"/>
    <n v="12"/>
    <n v="3"/>
    <n v="4"/>
    <n v="0"/>
    <n v="12"/>
    <n v="3"/>
    <n v="3"/>
    <n v="2"/>
    <n v="2"/>
    <n v="2"/>
    <n v="2"/>
    <x v="1"/>
    <s v="High"/>
    <n v="6959.17264573991"/>
    <s v="Above salary"/>
    <s v="Medium Risk"/>
  </r>
  <r>
    <n v="27"/>
    <x v="1"/>
    <s v="Travel_Frequently"/>
    <n v="1410"/>
    <x v="0"/>
    <n v="3"/>
    <n v="1"/>
    <s v="Medical"/>
    <n v="714"/>
    <n v="4"/>
    <x v="0"/>
    <n v="71"/>
    <n v="4"/>
    <n v="2"/>
    <x v="0"/>
    <n v="4"/>
    <s v="Divorced"/>
    <x v="502"/>
    <n v="16673"/>
    <n v="1"/>
    <x v="0"/>
    <n v="20"/>
    <n v="4"/>
    <n v="2"/>
    <n v="2"/>
    <n v="6"/>
    <n v="3"/>
    <n v="3"/>
    <n v="6"/>
    <n v="5"/>
    <n v="0"/>
    <n v="4"/>
    <x v="2"/>
    <s v="Mid"/>
    <n v="6959.17264573991"/>
    <s v="Below salary"/>
    <s v="Medium Risk"/>
  </r>
  <r>
    <n v="37"/>
    <x v="1"/>
    <s v="Travel_Rarely"/>
    <n v="1225"/>
    <x v="1"/>
    <n v="10"/>
    <n v="2"/>
    <s v="Life Sciences"/>
    <n v="715"/>
    <n v="4"/>
    <x v="1"/>
    <n v="80"/>
    <n v="4"/>
    <n v="1"/>
    <x v="1"/>
    <n v="4"/>
    <s v="Single"/>
    <x v="503"/>
    <n v="15232"/>
    <n v="3"/>
    <x v="1"/>
    <n v="17"/>
    <n v="3"/>
    <n v="1"/>
    <n v="0"/>
    <n v="4"/>
    <n v="2"/>
    <n v="3"/>
    <n v="1"/>
    <n v="0"/>
    <n v="0"/>
    <n v="0"/>
    <x v="0"/>
    <s v="Mid"/>
    <n v="6281.2528616024974"/>
    <s v="Below salary"/>
    <s v="Low Risk"/>
  </r>
  <r>
    <n v="50"/>
    <x v="1"/>
    <s v="Travel_Rarely"/>
    <n v="1207"/>
    <x v="1"/>
    <n v="28"/>
    <n v="1"/>
    <s v="Medical"/>
    <n v="716"/>
    <n v="4"/>
    <x v="1"/>
    <n v="74"/>
    <n v="4"/>
    <n v="1"/>
    <x v="2"/>
    <n v="3"/>
    <s v="Married"/>
    <x v="504"/>
    <n v="3297"/>
    <n v="1"/>
    <x v="0"/>
    <n v="11"/>
    <n v="3"/>
    <n v="3"/>
    <n v="3"/>
    <n v="20"/>
    <n v="3"/>
    <n v="3"/>
    <n v="20"/>
    <n v="8"/>
    <n v="3"/>
    <n v="8"/>
    <x v="1"/>
    <s v="Mid"/>
    <n v="6281.2528616024974"/>
    <s v="Below salary"/>
    <s v="Medium Risk"/>
  </r>
  <r>
    <n v="34"/>
    <x v="1"/>
    <s v="Travel_Rarely"/>
    <n v="1442"/>
    <x v="1"/>
    <n v="9"/>
    <n v="3"/>
    <s v="Medical"/>
    <n v="717"/>
    <n v="4"/>
    <x v="0"/>
    <n v="46"/>
    <n v="2"/>
    <n v="3"/>
    <x v="4"/>
    <n v="2"/>
    <s v="Single"/>
    <x v="505"/>
    <n v="17654"/>
    <n v="1"/>
    <x v="1"/>
    <n v="14"/>
    <n v="3"/>
    <n v="2"/>
    <n v="0"/>
    <n v="9"/>
    <n v="3"/>
    <n v="4"/>
    <n v="8"/>
    <n v="7"/>
    <n v="7"/>
    <n v="7"/>
    <x v="2"/>
    <s v="High"/>
    <n v="6281.2528616024974"/>
    <s v="Above salary"/>
    <s v="Medium Risk"/>
  </r>
  <r>
    <n v="24"/>
    <x v="0"/>
    <s v="Travel_Rarely"/>
    <n v="693"/>
    <x v="0"/>
    <n v="3"/>
    <n v="2"/>
    <s v="Life Sciences"/>
    <n v="720"/>
    <n v="1"/>
    <x v="0"/>
    <n v="65"/>
    <n v="3"/>
    <n v="2"/>
    <x v="0"/>
    <n v="3"/>
    <s v="Single"/>
    <x v="506"/>
    <n v="24785"/>
    <n v="9"/>
    <x v="1"/>
    <n v="14"/>
    <n v="3"/>
    <n v="1"/>
    <n v="0"/>
    <n v="4"/>
    <n v="3"/>
    <n v="3"/>
    <n v="2"/>
    <n v="2"/>
    <n v="2"/>
    <n v="0"/>
    <x v="3"/>
    <s v="Mid"/>
    <n v="6959.17264573991"/>
    <s v="Below salary"/>
    <s v="Low Risk"/>
  </r>
  <r>
    <n v="39"/>
    <x v="1"/>
    <s v="Travel_Rarely"/>
    <n v="408"/>
    <x v="1"/>
    <n v="2"/>
    <n v="4"/>
    <s v="Technical Degree"/>
    <n v="721"/>
    <n v="4"/>
    <x v="0"/>
    <n v="80"/>
    <n v="2"/>
    <n v="2"/>
    <x v="4"/>
    <n v="3"/>
    <s v="Single"/>
    <x v="507"/>
    <n v="20978"/>
    <n v="1"/>
    <x v="1"/>
    <n v="11"/>
    <n v="3"/>
    <n v="1"/>
    <n v="0"/>
    <n v="20"/>
    <n v="4"/>
    <n v="3"/>
    <n v="20"/>
    <n v="7"/>
    <n v="11"/>
    <n v="10"/>
    <x v="0"/>
    <s v="Mid"/>
    <n v="6281.2528616024974"/>
    <s v="Below salary"/>
    <s v="Low Risk"/>
  </r>
  <r>
    <n v="32"/>
    <x v="1"/>
    <s v="Travel_Rarely"/>
    <n v="929"/>
    <x v="0"/>
    <n v="10"/>
    <n v="3"/>
    <s v="Marketing"/>
    <n v="722"/>
    <n v="4"/>
    <x v="1"/>
    <n v="55"/>
    <n v="3"/>
    <n v="2"/>
    <x v="0"/>
    <n v="4"/>
    <s v="Single"/>
    <x v="508"/>
    <n v="21703"/>
    <n v="1"/>
    <x v="1"/>
    <n v="12"/>
    <n v="3"/>
    <n v="4"/>
    <n v="0"/>
    <n v="10"/>
    <n v="2"/>
    <n v="2"/>
    <n v="10"/>
    <n v="7"/>
    <n v="0"/>
    <n v="8"/>
    <x v="2"/>
    <s v="Mid"/>
    <n v="6959.17264573991"/>
    <s v="Below salary"/>
    <s v="Low Risk"/>
  </r>
  <r>
    <n v="50"/>
    <x v="0"/>
    <s v="Travel_Frequently"/>
    <n v="562"/>
    <x v="0"/>
    <n v="8"/>
    <n v="2"/>
    <s v="Technical Degree"/>
    <n v="723"/>
    <n v="2"/>
    <x v="1"/>
    <n v="50"/>
    <n v="3"/>
    <n v="2"/>
    <x v="0"/>
    <n v="3"/>
    <s v="Married"/>
    <x v="509"/>
    <n v="23452"/>
    <n v="3"/>
    <x v="0"/>
    <n v="14"/>
    <n v="3"/>
    <n v="1"/>
    <n v="1"/>
    <n v="18"/>
    <n v="4"/>
    <n v="3"/>
    <n v="4"/>
    <n v="3"/>
    <n v="1"/>
    <n v="3"/>
    <x v="1"/>
    <s v="Mid"/>
    <n v="6959.17264573991"/>
    <s v="Below salary"/>
    <s v="Medium Risk"/>
  </r>
  <r>
    <n v="38"/>
    <x v="1"/>
    <s v="Travel_Rarely"/>
    <n v="827"/>
    <x v="1"/>
    <n v="1"/>
    <n v="4"/>
    <s v="Life Sciences"/>
    <n v="724"/>
    <n v="2"/>
    <x v="0"/>
    <n v="33"/>
    <n v="4"/>
    <n v="2"/>
    <x v="4"/>
    <n v="4"/>
    <s v="Single"/>
    <x v="510"/>
    <n v="19383"/>
    <n v="0"/>
    <x v="1"/>
    <n v="13"/>
    <n v="3"/>
    <n v="3"/>
    <n v="0"/>
    <n v="10"/>
    <n v="4"/>
    <n v="2"/>
    <n v="9"/>
    <n v="7"/>
    <n v="1"/>
    <n v="8"/>
    <x v="0"/>
    <s v="High"/>
    <n v="6281.2528616024974"/>
    <s v="Above salary"/>
    <s v="Low Risk"/>
  </r>
  <r>
    <n v="27"/>
    <x v="1"/>
    <s v="Travel_Rarely"/>
    <n v="608"/>
    <x v="1"/>
    <n v="1"/>
    <n v="2"/>
    <s v="Life Sciences"/>
    <n v="725"/>
    <n v="3"/>
    <x v="0"/>
    <n v="68"/>
    <n v="3"/>
    <n v="3"/>
    <x v="3"/>
    <n v="1"/>
    <s v="Married"/>
    <x v="511"/>
    <n v="6009"/>
    <n v="1"/>
    <x v="1"/>
    <n v="11"/>
    <n v="3"/>
    <n v="4"/>
    <n v="0"/>
    <n v="9"/>
    <n v="3"/>
    <n v="3"/>
    <n v="9"/>
    <n v="7"/>
    <n v="0"/>
    <n v="7"/>
    <x v="2"/>
    <s v="High"/>
    <n v="6281.2528616024974"/>
    <s v="Above salary"/>
    <s v="Medium Risk"/>
  </r>
  <r>
    <n v="32"/>
    <x v="1"/>
    <s v="Travel_Rarely"/>
    <n v="1018"/>
    <x v="1"/>
    <n v="3"/>
    <n v="2"/>
    <s v="Life Sciences"/>
    <n v="727"/>
    <n v="3"/>
    <x v="0"/>
    <n v="39"/>
    <n v="3"/>
    <n v="3"/>
    <x v="7"/>
    <n v="4"/>
    <s v="Single"/>
    <x v="512"/>
    <n v="19373"/>
    <n v="3"/>
    <x v="1"/>
    <n v="15"/>
    <n v="3"/>
    <n v="4"/>
    <n v="0"/>
    <n v="10"/>
    <n v="6"/>
    <n v="3"/>
    <n v="7"/>
    <n v="7"/>
    <n v="7"/>
    <n v="7"/>
    <x v="2"/>
    <s v="High"/>
    <n v="6281.2528616024974"/>
    <s v="Above salary"/>
    <s v="Low Risk"/>
  </r>
  <r>
    <n v="47"/>
    <x v="1"/>
    <s v="Travel_Rarely"/>
    <n v="703"/>
    <x v="0"/>
    <n v="14"/>
    <n v="4"/>
    <s v="Marketing"/>
    <n v="728"/>
    <n v="4"/>
    <x v="1"/>
    <n v="42"/>
    <n v="3"/>
    <n v="2"/>
    <x v="0"/>
    <n v="1"/>
    <s v="Single"/>
    <x v="513"/>
    <n v="11825"/>
    <n v="2"/>
    <x v="1"/>
    <n v="12"/>
    <n v="3"/>
    <n v="4"/>
    <n v="0"/>
    <n v="20"/>
    <n v="2"/>
    <n v="3"/>
    <n v="7"/>
    <n v="7"/>
    <n v="1"/>
    <n v="7"/>
    <x v="1"/>
    <s v="Mid"/>
    <n v="6959.17264573991"/>
    <s v="Below salary"/>
    <s v="Medium Risk"/>
  </r>
  <r>
    <n v="40"/>
    <x v="1"/>
    <s v="Travel_Frequently"/>
    <n v="580"/>
    <x v="0"/>
    <n v="5"/>
    <n v="4"/>
    <s v="Life Sciences"/>
    <n v="729"/>
    <n v="4"/>
    <x v="1"/>
    <n v="48"/>
    <n v="2"/>
    <n v="3"/>
    <x v="0"/>
    <n v="1"/>
    <s v="Married"/>
    <x v="514"/>
    <n v="23772"/>
    <n v="5"/>
    <x v="0"/>
    <n v="21"/>
    <n v="4"/>
    <n v="3"/>
    <n v="1"/>
    <n v="20"/>
    <n v="2"/>
    <n v="3"/>
    <n v="18"/>
    <n v="13"/>
    <n v="1"/>
    <n v="12"/>
    <x v="0"/>
    <s v="High"/>
    <n v="6959.17264573991"/>
    <s v="Above salary"/>
    <s v="High Risk"/>
  </r>
  <r>
    <n v="53"/>
    <x v="1"/>
    <s v="Travel_Rarely"/>
    <n v="970"/>
    <x v="1"/>
    <n v="7"/>
    <n v="3"/>
    <s v="Life Sciences"/>
    <n v="730"/>
    <n v="3"/>
    <x v="1"/>
    <n v="59"/>
    <n v="4"/>
    <n v="4"/>
    <x v="7"/>
    <n v="3"/>
    <s v="Married"/>
    <x v="515"/>
    <n v="13514"/>
    <n v="3"/>
    <x v="1"/>
    <n v="19"/>
    <n v="3"/>
    <n v="3"/>
    <n v="0"/>
    <n v="32"/>
    <n v="3"/>
    <n v="3"/>
    <n v="5"/>
    <n v="1"/>
    <n v="1"/>
    <n v="3"/>
    <x v="1"/>
    <s v="Very High"/>
    <n v="6281.2528616024974"/>
    <s v="Above salary"/>
    <s v="Low Risk"/>
  </r>
  <r>
    <n v="41"/>
    <x v="1"/>
    <s v="Travel_Rarely"/>
    <n v="427"/>
    <x v="2"/>
    <n v="10"/>
    <n v="4"/>
    <s v="Human Resources"/>
    <n v="731"/>
    <n v="2"/>
    <x v="1"/>
    <n v="73"/>
    <n v="2"/>
    <n v="5"/>
    <x v="5"/>
    <n v="4"/>
    <s v="Divorced"/>
    <x v="516"/>
    <n v="8861"/>
    <n v="3"/>
    <x v="1"/>
    <n v="15"/>
    <n v="3"/>
    <n v="2"/>
    <n v="3"/>
    <n v="23"/>
    <n v="2"/>
    <n v="2"/>
    <n v="21"/>
    <n v="6"/>
    <n v="12"/>
    <n v="6"/>
    <x v="0"/>
    <s v="Very High"/>
    <n v="6654.5079365079364"/>
    <s v="Above salary"/>
    <s v="Low Risk"/>
  </r>
  <r>
    <n v="60"/>
    <x v="1"/>
    <s v="Travel_Rarely"/>
    <n v="1179"/>
    <x v="0"/>
    <n v="16"/>
    <n v="4"/>
    <s v="Marketing"/>
    <n v="732"/>
    <n v="1"/>
    <x v="1"/>
    <n v="84"/>
    <n v="3"/>
    <n v="2"/>
    <x v="0"/>
    <n v="1"/>
    <s v="Single"/>
    <x v="517"/>
    <n v="11924"/>
    <n v="8"/>
    <x v="1"/>
    <n v="14"/>
    <n v="3"/>
    <n v="4"/>
    <n v="0"/>
    <n v="10"/>
    <n v="1"/>
    <n v="3"/>
    <n v="2"/>
    <n v="2"/>
    <n v="2"/>
    <n v="2"/>
    <x v="1"/>
    <s v="Mid"/>
    <n v="6959.17264573991"/>
    <s v="Below salary"/>
    <s v="Medium Risk"/>
  </r>
  <r>
    <n v="27"/>
    <x v="1"/>
    <s v="Travel_Frequently"/>
    <n v="294"/>
    <x v="1"/>
    <n v="10"/>
    <n v="2"/>
    <s v="Life Sciences"/>
    <n v="733"/>
    <n v="4"/>
    <x v="1"/>
    <n v="32"/>
    <n v="3"/>
    <n v="3"/>
    <x v="3"/>
    <n v="1"/>
    <s v="Divorced"/>
    <x v="518"/>
    <n v="4809"/>
    <n v="1"/>
    <x v="1"/>
    <n v="21"/>
    <n v="4"/>
    <n v="3"/>
    <n v="2"/>
    <n v="9"/>
    <n v="4"/>
    <n v="2"/>
    <n v="9"/>
    <n v="7"/>
    <n v="1"/>
    <n v="7"/>
    <x v="2"/>
    <s v="High"/>
    <n v="6281.2528616024974"/>
    <s v="Above salary"/>
    <s v="Medium Risk"/>
  </r>
  <r>
    <n v="41"/>
    <x v="1"/>
    <s v="Travel_Rarely"/>
    <n v="314"/>
    <x v="2"/>
    <n v="1"/>
    <n v="3"/>
    <s v="Human Resources"/>
    <n v="734"/>
    <n v="4"/>
    <x v="1"/>
    <n v="59"/>
    <n v="2"/>
    <n v="5"/>
    <x v="5"/>
    <n v="3"/>
    <s v="Married"/>
    <x v="519"/>
    <n v="19562"/>
    <n v="1"/>
    <x v="1"/>
    <n v="12"/>
    <n v="3"/>
    <n v="2"/>
    <n v="1"/>
    <n v="22"/>
    <n v="3"/>
    <n v="3"/>
    <n v="22"/>
    <n v="7"/>
    <n v="2"/>
    <n v="10"/>
    <x v="0"/>
    <s v="Very High"/>
    <n v="6654.5079365079364"/>
    <s v="Above salary"/>
    <s v="Low Risk"/>
  </r>
  <r>
    <n v="50"/>
    <x v="1"/>
    <s v="Travel_Rarely"/>
    <n v="316"/>
    <x v="0"/>
    <n v="8"/>
    <n v="4"/>
    <s v="Marketing"/>
    <n v="738"/>
    <n v="4"/>
    <x v="1"/>
    <n v="54"/>
    <n v="3"/>
    <n v="1"/>
    <x v="6"/>
    <n v="2"/>
    <s v="Married"/>
    <x v="520"/>
    <n v="9983"/>
    <n v="7"/>
    <x v="1"/>
    <n v="15"/>
    <n v="3"/>
    <n v="4"/>
    <n v="1"/>
    <n v="4"/>
    <n v="2"/>
    <n v="3"/>
    <n v="2"/>
    <n v="2"/>
    <n v="2"/>
    <n v="2"/>
    <x v="1"/>
    <s v="Mid"/>
    <n v="6959.17264573991"/>
    <s v="Below salary"/>
    <s v="Medium Risk"/>
  </r>
  <r>
    <n v="28"/>
    <x v="0"/>
    <s v="Travel_Rarely"/>
    <n v="654"/>
    <x v="1"/>
    <n v="1"/>
    <n v="2"/>
    <s v="Life Sciences"/>
    <n v="741"/>
    <n v="1"/>
    <x v="0"/>
    <n v="67"/>
    <n v="1"/>
    <n v="1"/>
    <x v="1"/>
    <n v="2"/>
    <s v="Single"/>
    <x v="521"/>
    <n v="3872"/>
    <n v="7"/>
    <x v="0"/>
    <n v="13"/>
    <n v="3"/>
    <n v="4"/>
    <n v="0"/>
    <n v="10"/>
    <n v="4"/>
    <n v="3"/>
    <n v="7"/>
    <n v="7"/>
    <n v="3"/>
    <n v="7"/>
    <x v="2"/>
    <s v="Low"/>
    <n v="6281.2528616024974"/>
    <s v="Below salary"/>
    <s v="High Risk"/>
  </r>
  <r>
    <n v="36"/>
    <x v="1"/>
    <s v="Non-Travel"/>
    <n v="427"/>
    <x v="1"/>
    <n v="8"/>
    <n v="3"/>
    <s v="Life Sciences"/>
    <n v="742"/>
    <n v="1"/>
    <x v="0"/>
    <n v="63"/>
    <n v="4"/>
    <n v="3"/>
    <x v="7"/>
    <n v="1"/>
    <s v="Married"/>
    <x v="522"/>
    <n v="20335"/>
    <n v="9"/>
    <x v="1"/>
    <n v="14"/>
    <n v="3"/>
    <n v="1"/>
    <n v="1"/>
    <n v="10"/>
    <n v="2"/>
    <n v="3"/>
    <n v="8"/>
    <n v="7"/>
    <n v="0"/>
    <n v="5"/>
    <x v="0"/>
    <s v="High"/>
    <n v="6281.2528616024974"/>
    <s v="Above salary"/>
    <s v="Medium Risk"/>
  </r>
  <r>
    <n v="38"/>
    <x v="1"/>
    <s v="Travel_Rarely"/>
    <n v="168"/>
    <x v="1"/>
    <n v="1"/>
    <n v="3"/>
    <s v="Life Sciences"/>
    <n v="743"/>
    <n v="3"/>
    <x v="0"/>
    <n v="81"/>
    <n v="3"/>
    <n v="3"/>
    <x v="3"/>
    <n v="3"/>
    <s v="Single"/>
    <x v="523"/>
    <n v="15397"/>
    <n v="4"/>
    <x v="0"/>
    <n v="14"/>
    <n v="3"/>
    <n v="4"/>
    <n v="0"/>
    <n v="10"/>
    <n v="4"/>
    <n v="4"/>
    <n v="1"/>
    <n v="0"/>
    <n v="0"/>
    <n v="0"/>
    <x v="0"/>
    <s v="High"/>
    <n v="6281.2528616024974"/>
    <s v="Above salary"/>
    <s v="Medium Risk"/>
  </r>
  <r>
    <n v="44"/>
    <x v="1"/>
    <s v="Non-Travel"/>
    <n v="381"/>
    <x v="1"/>
    <n v="24"/>
    <n v="3"/>
    <s v="Medical"/>
    <n v="744"/>
    <n v="1"/>
    <x v="1"/>
    <n v="49"/>
    <n v="1"/>
    <n v="1"/>
    <x v="2"/>
    <n v="3"/>
    <s v="Single"/>
    <x v="524"/>
    <n v="2104"/>
    <n v="2"/>
    <x v="1"/>
    <n v="14"/>
    <n v="3"/>
    <n v="3"/>
    <n v="0"/>
    <n v="9"/>
    <n v="5"/>
    <n v="3"/>
    <n v="5"/>
    <n v="2"/>
    <n v="1"/>
    <n v="4"/>
    <x v="0"/>
    <s v="Mid"/>
    <n v="6281.2528616024974"/>
    <s v="Below salary"/>
    <s v="Low Risk"/>
  </r>
  <r>
    <n v="47"/>
    <x v="1"/>
    <s v="Travel_Frequently"/>
    <n v="217"/>
    <x v="0"/>
    <n v="3"/>
    <n v="3"/>
    <s v="Medical"/>
    <n v="746"/>
    <n v="4"/>
    <x v="0"/>
    <n v="49"/>
    <n v="3"/>
    <n v="4"/>
    <x v="0"/>
    <n v="3"/>
    <s v="Divorced"/>
    <x v="525"/>
    <n v="10225"/>
    <n v="9"/>
    <x v="0"/>
    <n v="12"/>
    <n v="3"/>
    <n v="4"/>
    <n v="2"/>
    <n v="28"/>
    <n v="2"/>
    <n v="2"/>
    <n v="22"/>
    <n v="2"/>
    <n v="11"/>
    <n v="13"/>
    <x v="1"/>
    <s v="Very High"/>
    <n v="6959.17264573991"/>
    <s v="Above salary"/>
    <s v="Medium Risk"/>
  </r>
  <r>
    <n v="30"/>
    <x v="1"/>
    <s v="Travel_Rarely"/>
    <n v="501"/>
    <x v="0"/>
    <n v="27"/>
    <n v="5"/>
    <s v="Marketing"/>
    <n v="747"/>
    <n v="3"/>
    <x v="1"/>
    <n v="99"/>
    <n v="3"/>
    <n v="2"/>
    <x v="0"/>
    <n v="4"/>
    <s v="Divorced"/>
    <x v="367"/>
    <n v="25275"/>
    <n v="7"/>
    <x v="1"/>
    <n v="23"/>
    <n v="4"/>
    <n v="4"/>
    <n v="1"/>
    <n v="10"/>
    <n v="2"/>
    <n v="2"/>
    <n v="8"/>
    <n v="7"/>
    <n v="7"/>
    <n v="7"/>
    <x v="2"/>
    <s v="Mid"/>
    <n v="6959.17264573991"/>
    <s v="Below salary"/>
    <s v="Low Risk"/>
  </r>
  <r>
    <n v="29"/>
    <x v="1"/>
    <s v="Travel_Rarely"/>
    <n v="1396"/>
    <x v="0"/>
    <n v="10"/>
    <n v="3"/>
    <s v="Life Sciences"/>
    <n v="749"/>
    <n v="3"/>
    <x v="1"/>
    <n v="99"/>
    <n v="3"/>
    <n v="1"/>
    <x v="6"/>
    <n v="3"/>
    <s v="Single"/>
    <x v="526"/>
    <n v="2755"/>
    <n v="1"/>
    <x v="1"/>
    <n v="11"/>
    <n v="3"/>
    <n v="3"/>
    <n v="0"/>
    <n v="1"/>
    <n v="6"/>
    <n v="3"/>
    <n v="1"/>
    <n v="0"/>
    <n v="0"/>
    <n v="0"/>
    <x v="2"/>
    <s v="Low"/>
    <n v="6959.17264573991"/>
    <s v="Below salary"/>
    <s v="Low Risk"/>
  </r>
  <r>
    <n v="42"/>
    <x v="0"/>
    <s v="Travel_Frequently"/>
    <n v="933"/>
    <x v="1"/>
    <n v="19"/>
    <n v="3"/>
    <s v="Medical"/>
    <n v="752"/>
    <n v="3"/>
    <x v="1"/>
    <n v="57"/>
    <n v="4"/>
    <n v="1"/>
    <x v="1"/>
    <n v="3"/>
    <s v="Divorced"/>
    <x v="527"/>
    <n v="20366"/>
    <n v="6"/>
    <x v="0"/>
    <n v="12"/>
    <n v="3"/>
    <n v="4"/>
    <n v="0"/>
    <n v="7"/>
    <n v="2"/>
    <n v="3"/>
    <n v="2"/>
    <n v="2"/>
    <n v="2"/>
    <n v="2"/>
    <x v="0"/>
    <s v="Low"/>
    <n v="6281.2528616024974"/>
    <s v="Below salary"/>
    <s v="Medium Risk"/>
  </r>
  <r>
    <n v="43"/>
    <x v="1"/>
    <s v="Travel_Frequently"/>
    <n v="775"/>
    <x v="0"/>
    <n v="15"/>
    <n v="3"/>
    <s v="Life Sciences"/>
    <n v="754"/>
    <n v="4"/>
    <x v="1"/>
    <n v="47"/>
    <n v="2"/>
    <n v="2"/>
    <x v="0"/>
    <n v="4"/>
    <s v="Married"/>
    <x v="197"/>
    <n v="23683"/>
    <n v="3"/>
    <x v="1"/>
    <n v="18"/>
    <n v="3"/>
    <n v="3"/>
    <n v="1"/>
    <n v="7"/>
    <n v="5"/>
    <n v="3"/>
    <n v="2"/>
    <n v="2"/>
    <n v="2"/>
    <n v="2"/>
    <x v="0"/>
    <s v="Mid"/>
    <n v="6959.17264573991"/>
    <s v="Below salary"/>
    <s v="Low Risk"/>
  </r>
  <r>
    <n v="34"/>
    <x v="1"/>
    <s v="Travel_Rarely"/>
    <n v="970"/>
    <x v="1"/>
    <n v="8"/>
    <n v="2"/>
    <s v="Medical"/>
    <n v="757"/>
    <n v="2"/>
    <x v="0"/>
    <n v="96"/>
    <n v="3"/>
    <n v="2"/>
    <x v="4"/>
    <n v="3"/>
    <s v="Single"/>
    <x v="528"/>
    <n v="7360"/>
    <n v="3"/>
    <x v="1"/>
    <n v="11"/>
    <n v="3"/>
    <n v="4"/>
    <n v="0"/>
    <n v="10"/>
    <n v="2"/>
    <n v="3"/>
    <n v="5"/>
    <n v="1"/>
    <n v="4"/>
    <n v="3"/>
    <x v="2"/>
    <s v="Mid"/>
    <n v="6281.2528616024974"/>
    <s v="Below salary"/>
    <s v="Low Risk"/>
  </r>
  <r>
    <n v="23"/>
    <x v="1"/>
    <s v="Travel_Rarely"/>
    <n v="650"/>
    <x v="1"/>
    <n v="9"/>
    <n v="1"/>
    <s v="Medical"/>
    <n v="758"/>
    <n v="2"/>
    <x v="1"/>
    <n v="37"/>
    <n v="3"/>
    <n v="1"/>
    <x v="2"/>
    <n v="1"/>
    <s v="Married"/>
    <x v="172"/>
    <n v="4344"/>
    <n v="1"/>
    <x v="1"/>
    <n v="14"/>
    <n v="3"/>
    <n v="4"/>
    <n v="1"/>
    <n v="5"/>
    <n v="2"/>
    <n v="4"/>
    <n v="4"/>
    <n v="3"/>
    <n v="0"/>
    <n v="2"/>
    <x v="3"/>
    <s v="Low"/>
    <n v="6281.2528616024974"/>
    <s v="Below salary"/>
    <s v="Medium Risk"/>
  </r>
  <r>
    <n v="39"/>
    <x v="1"/>
    <s v="Travel_Rarely"/>
    <n v="141"/>
    <x v="2"/>
    <n v="3"/>
    <n v="3"/>
    <s v="Human Resources"/>
    <n v="760"/>
    <n v="3"/>
    <x v="0"/>
    <n v="44"/>
    <n v="4"/>
    <n v="2"/>
    <x v="8"/>
    <n v="2"/>
    <s v="Married"/>
    <x v="529"/>
    <n v="18767"/>
    <n v="9"/>
    <x v="1"/>
    <n v="15"/>
    <n v="3"/>
    <n v="3"/>
    <n v="1"/>
    <n v="12"/>
    <n v="3"/>
    <n v="1"/>
    <n v="8"/>
    <n v="3"/>
    <n v="3"/>
    <n v="6"/>
    <x v="0"/>
    <s v="Mid"/>
    <n v="6654.5079365079364"/>
    <s v="Below salary"/>
    <s v="Medium Risk"/>
  </r>
  <r>
    <n v="56"/>
    <x v="1"/>
    <s v="Travel_Rarely"/>
    <n v="832"/>
    <x v="1"/>
    <n v="9"/>
    <n v="3"/>
    <s v="Medical"/>
    <n v="762"/>
    <n v="3"/>
    <x v="1"/>
    <n v="81"/>
    <n v="3"/>
    <n v="4"/>
    <x v="4"/>
    <n v="4"/>
    <s v="Married"/>
    <x v="530"/>
    <n v="20420"/>
    <n v="7"/>
    <x v="1"/>
    <n v="11"/>
    <n v="3"/>
    <n v="3"/>
    <n v="0"/>
    <n v="30"/>
    <n v="1"/>
    <n v="2"/>
    <n v="10"/>
    <n v="7"/>
    <n v="1"/>
    <n v="1"/>
    <x v="1"/>
    <s v="High"/>
    <n v="6281.2528616024974"/>
    <s v="Above salary"/>
    <s v="Low Risk"/>
  </r>
  <r>
    <n v="40"/>
    <x v="1"/>
    <s v="Travel_Rarely"/>
    <n v="804"/>
    <x v="1"/>
    <n v="2"/>
    <n v="1"/>
    <s v="Medical"/>
    <n v="763"/>
    <n v="4"/>
    <x v="0"/>
    <n v="86"/>
    <n v="2"/>
    <n v="1"/>
    <x v="1"/>
    <n v="4"/>
    <s v="Single"/>
    <x v="531"/>
    <n v="22929"/>
    <n v="0"/>
    <x v="0"/>
    <n v="20"/>
    <n v="4"/>
    <n v="4"/>
    <n v="0"/>
    <n v="5"/>
    <n v="2"/>
    <n v="2"/>
    <n v="4"/>
    <n v="2"/>
    <n v="2"/>
    <n v="3"/>
    <x v="0"/>
    <s v="Low"/>
    <n v="6281.2528616024974"/>
    <s v="Below salary"/>
    <s v="Medium Risk"/>
  </r>
  <r>
    <n v="27"/>
    <x v="1"/>
    <s v="Travel_Rarely"/>
    <n v="975"/>
    <x v="1"/>
    <n v="7"/>
    <n v="3"/>
    <s v="Medical"/>
    <n v="764"/>
    <n v="4"/>
    <x v="0"/>
    <n v="55"/>
    <n v="2"/>
    <n v="2"/>
    <x v="4"/>
    <n v="1"/>
    <s v="Single"/>
    <x v="445"/>
    <n v="23398"/>
    <n v="8"/>
    <x v="1"/>
    <n v="19"/>
    <n v="3"/>
    <n v="1"/>
    <n v="0"/>
    <n v="9"/>
    <n v="2"/>
    <n v="1"/>
    <n v="7"/>
    <n v="6"/>
    <n v="0"/>
    <n v="7"/>
    <x v="2"/>
    <s v="Mid"/>
    <n v="6281.2528616024974"/>
    <s v="Above salary"/>
    <s v="Medium Risk"/>
  </r>
  <r>
    <n v="29"/>
    <x v="1"/>
    <s v="Travel_Rarely"/>
    <n v="1090"/>
    <x v="0"/>
    <n v="10"/>
    <n v="3"/>
    <s v="Marketing"/>
    <n v="766"/>
    <n v="4"/>
    <x v="1"/>
    <n v="83"/>
    <n v="3"/>
    <n v="1"/>
    <x v="6"/>
    <n v="2"/>
    <s v="Divorced"/>
    <x v="532"/>
    <n v="17967"/>
    <n v="1"/>
    <x v="1"/>
    <n v="14"/>
    <n v="3"/>
    <n v="4"/>
    <n v="2"/>
    <n v="2"/>
    <n v="2"/>
    <n v="3"/>
    <n v="2"/>
    <n v="2"/>
    <n v="2"/>
    <n v="2"/>
    <x v="2"/>
    <s v="Low"/>
    <n v="6959.17264573991"/>
    <s v="Below salary"/>
    <s v="Medium Risk"/>
  </r>
  <r>
    <n v="53"/>
    <x v="1"/>
    <s v="Travel_Rarely"/>
    <n v="346"/>
    <x v="1"/>
    <n v="6"/>
    <n v="3"/>
    <s v="Life Sciences"/>
    <n v="769"/>
    <n v="4"/>
    <x v="1"/>
    <n v="86"/>
    <n v="3"/>
    <n v="2"/>
    <x v="2"/>
    <n v="4"/>
    <s v="Single"/>
    <x v="533"/>
    <n v="10919"/>
    <n v="2"/>
    <x v="1"/>
    <n v="17"/>
    <n v="3"/>
    <n v="4"/>
    <n v="0"/>
    <n v="19"/>
    <n v="4"/>
    <n v="3"/>
    <n v="2"/>
    <n v="2"/>
    <n v="2"/>
    <n v="2"/>
    <x v="1"/>
    <s v="Low"/>
    <n v="6281.2528616024974"/>
    <s v="Below salary"/>
    <s v="Low Risk"/>
  </r>
  <r>
    <n v="35"/>
    <x v="1"/>
    <s v="Non-Travel"/>
    <n v="1225"/>
    <x v="1"/>
    <n v="2"/>
    <n v="4"/>
    <s v="Life Sciences"/>
    <n v="771"/>
    <n v="4"/>
    <x v="0"/>
    <n v="61"/>
    <n v="3"/>
    <n v="2"/>
    <x v="4"/>
    <n v="1"/>
    <s v="Divorced"/>
    <x v="534"/>
    <n v="4761"/>
    <n v="2"/>
    <x v="1"/>
    <n v="11"/>
    <n v="3"/>
    <n v="1"/>
    <n v="1"/>
    <n v="16"/>
    <n v="2"/>
    <n v="4"/>
    <n v="1"/>
    <n v="0"/>
    <n v="0"/>
    <n v="0"/>
    <x v="2"/>
    <s v="Mid"/>
    <n v="6281.2528616024974"/>
    <s v="Below salary"/>
    <s v="Medium Risk"/>
  </r>
  <r>
    <n v="32"/>
    <x v="1"/>
    <s v="Travel_Frequently"/>
    <n v="430"/>
    <x v="1"/>
    <n v="24"/>
    <n v="4"/>
    <s v="Life Sciences"/>
    <n v="772"/>
    <n v="1"/>
    <x v="1"/>
    <n v="80"/>
    <n v="3"/>
    <n v="2"/>
    <x v="2"/>
    <n v="4"/>
    <s v="Married"/>
    <x v="535"/>
    <n v="21146"/>
    <n v="1"/>
    <x v="1"/>
    <n v="15"/>
    <n v="3"/>
    <n v="4"/>
    <n v="2"/>
    <n v="10"/>
    <n v="2"/>
    <n v="3"/>
    <n v="10"/>
    <n v="8"/>
    <n v="4"/>
    <n v="7"/>
    <x v="2"/>
    <s v="Mid"/>
    <n v="6281.2528616024974"/>
    <s v="Below salary"/>
    <s v="Low Risk"/>
  </r>
  <r>
    <n v="38"/>
    <x v="1"/>
    <s v="Travel_Rarely"/>
    <n v="268"/>
    <x v="1"/>
    <n v="2"/>
    <n v="5"/>
    <s v="Medical"/>
    <n v="773"/>
    <n v="4"/>
    <x v="1"/>
    <n v="92"/>
    <n v="3"/>
    <n v="1"/>
    <x v="1"/>
    <n v="3"/>
    <s v="Married"/>
    <x v="536"/>
    <n v="20471"/>
    <n v="6"/>
    <x v="0"/>
    <n v="13"/>
    <n v="3"/>
    <n v="2"/>
    <n v="1"/>
    <n v="6"/>
    <n v="0"/>
    <n v="1"/>
    <n v="1"/>
    <n v="0"/>
    <n v="0"/>
    <n v="1"/>
    <x v="0"/>
    <s v="Mid"/>
    <n v="6281.2528616024974"/>
    <s v="Below salary"/>
    <s v="Medium Risk"/>
  </r>
  <r>
    <n v="34"/>
    <x v="1"/>
    <s v="Travel_Rarely"/>
    <n v="167"/>
    <x v="1"/>
    <n v="8"/>
    <n v="5"/>
    <s v="Life Sciences"/>
    <n v="775"/>
    <n v="2"/>
    <x v="0"/>
    <n v="32"/>
    <n v="3"/>
    <n v="2"/>
    <x v="3"/>
    <n v="1"/>
    <s v="Divorced"/>
    <x v="537"/>
    <n v="4187"/>
    <n v="3"/>
    <x v="1"/>
    <n v="14"/>
    <n v="3"/>
    <n v="3"/>
    <n v="1"/>
    <n v="7"/>
    <n v="3"/>
    <n v="3"/>
    <n v="0"/>
    <n v="0"/>
    <n v="0"/>
    <n v="0"/>
    <x v="2"/>
    <s v="Mid"/>
    <n v="6281.2528616024974"/>
    <s v="Below salary"/>
    <s v="Medium Risk"/>
  </r>
  <r>
    <n v="52"/>
    <x v="1"/>
    <s v="Travel_Rarely"/>
    <n v="621"/>
    <x v="0"/>
    <n v="3"/>
    <n v="4"/>
    <s v="Marketing"/>
    <n v="776"/>
    <n v="3"/>
    <x v="1"/>
    <n v="31"/>
    <n v="2"/>
    <n v="4"/>
    <x v="5"/>
    <n v="1"/>
    <s v="Married"/>
    <x v="538"/>
    <n v="10084"/>
    <n v="1"/>
    <x v="1"/>
    <n v="11"/>
    <n v="3"/>
    <n v="1"/>
    <n v="0"/>
    <n v="34"/>
    <n v="3"/>
    <n v="4"/>
    <n v="34"/>
    <n v="6"/>
    <n v="1"/>
    <n v="16"/>
    <x v="1"/>
    <s v="Very High"/>
    <n v="6959.17264573991"/>
    <s v="Above salary"/>
    <s v="Medium Risk"/>
  </r>
  <r>
    <n v="33"/>
    <x v="0"/>
    <s v="Travel_Rarely"/>
    <n v="527"/>
    <x v="1"/>
    <n v="1"/>
    <n v="4"/>
    <s v="Other"/>
    <n v="780"/>
    <n v="4"/>
    <x v="1"/>
    <n v="63"/>
    <n v="3"/>
    <n v="1"/>
    <x v="1"/>
    <n v="4"/>
    <s v="Single"/>
    <x v="539"/>
    <n v="5207"/>
    <n v="1"/>
    <x v="0"/>
    <n v="13"/>
    <n v="3"/>
    <n v="3"/>
    <n v="0"/>
    <n v="10"/>
    <n v="2"/>
    <n v="2"/>
    <n v="10"/>
    <n v="9"/>
    <n v="7"/>
    <n v="8"/>
    <x v="2"/>
    <s v="Low"/>
    <n v="6281.2528616024974"/>
    <s v="Below salary"/>
    <s v="Medium Risk"/>
  </r>
  <r>
    <n v="25"/>
    <x v="1"/>
    <s v="Travel_Rarely"/>
    <n v="883"/>
    <x v="0"/>
    <n v="26"/>
    <n v="1"/>
    <s v="Medical"/>
    <n v="781"/>
    <n v="3"/>
    <x v="0"/>
    <n v="32"/>
    <n v="3"/>
    <n v="2"/>
    <x v="0"/>
    <n v="4"/>
    <s v="Single"/>
    <x v="540"/>
    <n v="22807"/>
    <n v="1"/>
    <x v="1"/>
    <n v="23"/>
    <n v="4"/>
    <n v="2"/>
    <n v="0"/>
    <n v="6"/>
    <n v="5"/>
    <n v="2"/>
    <n v="6"/>
    <n v="5"/>
    <n v="1"/>
    <n v="4"/>
    <x v="3"/>
    <s v="Mid"/>
    <n v="6959.17264573991"/>
    <s v="Below salary"/>
    <s v="Low Risk"/>
  </r>
  <r>
    <n v="45"/>
    <x v="1"/>
    <s v="Travel_Rarely"/>
    <n v="954"/>
    <x v="0"/>
    <n v="2"/>
    <n v="2"/>
    <s v="Technical Degree"/>
    <n v="783"/>
    <n v="2"/>
    <x v="1"/>
    <n v="46"/>
    <n v="1"/>
    <n v="2"/>
    <x v="6"/>
    <n v="3"/>
    <s v="Single"/>
    <x v="541"/>
    <n v="12388"/>
    <n v="0"/>
    <x v="1"/>
    <n v="13"/>
    <n v="3"/>
    <n v="1"/>
    <n v="0"/>
    <n v="9"/>
    <n v="3"/>
    <n v="3"/>
    <n v="8"/>
    <n v="7"/>
    <n v="3"/>
    <n v="1"/>
    <x v="0"/>
    <s v="Mid"/>
    <n v="6959.17264573991"/>
    <s v="Below salary"/>
    <s v="Low Risk"/>
  </r>
  <r>
    <n v="23"/>
    <x v="1"/>
    <s v="Travel_Rarely"/>
    <n v="310"/>
    <x v="1"/>
    <n v="10"/>
    <n v="1"/>
    <s v="Medical"/>
    <n v="784"/>
    <n v="1"/>
    <x v="1"/>
    <n v="79"/>
    <n v="4"/>
    <n v="1"/>
    <x v="1"/>
    <n v="3"/>
    <s v="Single"/>
    <x v="542"/>
    <n v="19630"/>
    <n v="1"/>
    <x v="1"/>
    <n v="18"/>
    <n v="3"/>
    <n v="4"/>
    <n v="0"/>
    <n v="2"/>
    <n v="3"/>
    <n v="3"/>
    <n v="2"/>
    <n v="2"/>
    <n v="0"/>
    <n v="2"/>
    <x v="3"/>
    <s v="Mid"/>
    <n v="6281.2528616024974"/>
    <s v="Below salary"/>
    <s v="Low Risk"/>
  </r>
  <r>
    <n v="47"/>
    <x v="0"/>
    <s v="Travel_Frequently"/>
    <n v="719"/>
    <x v="0"/>
    <n v="27"/>
    <n v="2"/>
    <s v="Life Sciences"/>
    <n v="785"/>
    <n v="2"/>
    <x v="0"/>
    <n v="77"/>
    <n v="4"/>
    <n v="2"/>
    <x v="0"/>
    <n v="3"/>
    <s v="Single"/>
    <x v="271"/>
    <n v="10339"/>
    <n v="4"/>
    <x v="0"/>
    <n v="12"/>
    <n v="3"/>
    <n v="4"/>
    <n v="0"/>
    <n v="8"/>
    <n v="2"/>
    <n v="3"/>
    <n v="5"/>
    <n v="4"/>
    <n v="1"/>
    <n v="3"/>
    <x v="1"/>
    <s v="Mid"/>
    <n v="6959.17264573991"/>
    <s v="Below salary"/>
    <s v="Medium Risk"/>
  </r>
  <r>
    <n v="34"/>
    <x v="1"/>
    <s v="Travel_Rarely"/>
    <n v="304"/>
    <x v="0"/>
    <n v="2"/>
    <n v="3"/>
    <s v="Other"/>
    <n v="786"/>
    <n v="4"/>
    <x v="1"/>
    <n v="60"/>
    <n v="3"/>
    <n v="2"/>
    <x v="0"/>
    <n v="4"/>
    <s v="Single"/>
    <x v="543"/>
    <n v="18686"/>
    <n v="1"/>
    <x v="1"/>
    <n v="22"/>
    <n v="4"/>
    <n v="3"/>
    <n v="0"/>
    <n v="6"/>
    <n v="5"/>
    <n v="3"/>
    <n v="6"/>
    <n v="5"/>
    <n v="1"/>
    <n v="4"/>
    <x v="2"/>
    <s v="Mid"/>
    <n v="6959.17264573991"/>
    <s v="Below salary"/>
    <s v="Low Risk"/>
  </r>
  <r>
    <n v="55"/>
    <x v="0"/>
    <s v="Travel_Rarely"/>
    <n v="725"/>
    <x v="1"/>
    <n v="2"/>
    <n v="3"/>
    <s v="Medical"/>
    <n v="787"/>
    <n v="4"/>
    <x v="1"/>
    <n v="78"/>
    <n v="3"/>
    <n v="5"/>
    <x v="5"/>
    <n v="1"/>
    <s v="Married"/>
    <x v="544"/>
    <n v="21199"/>
    <n v="5"/>
    <x v="0"/>
    <n v="13"/>
    <n v="3"/>
    <n v="4"/>
    <n v="1"/>
    <n v="24"/>
    <n v="2"/>
    <n v="3"/>
    <n v="5"/>
    <n v="2"/>
    <n v="1"/>
    <n v="4"/>
    <x v="1"/>
    <s v="Very High"/>
    <n v="6281.2528616024974"/>
    <s v="Above salary"/>
    <s v="High Risk"/>
  </r>
  <r>
    <n v="36"/>
    <x v="1"/>
    <s v="Non-Travel"/>
    <n v="1434"/>
    <x v="0"/>
    <n v="8"/>
    <n v="4"/>
    <s v="Life Sciences"/>
    <n v="789"/>
    <n v="1"/>
    <x v="1"/>
    <n v="76"/>
    <n v="2"/>
    <n v="3"/>
    <x v="0"/>
    <n v="1"/>
    <s v="Single"/>
    <x v="545"/>
    <n v="14229"/>
    <n v="1"/>
    <x v="1"/>
    <n v="15"/>
    <n v="3"/>
    <n v="2"/>
    <n v="0"/>
    <n v="10"/>
    <n v="1"/>
    <n v="3"/>
    <n v="10"/>
    <n v="7"/>
    <n v="0"/>
    <n v="9"/>
    <x v="0"/>
    <s v="High"/>
    <n v="6959.17264573991"/>
    <s v="Above salary"/>
    <s v="Medium Risk"/>
  </r>
  <r>
    <n v="52"/>
    <x v="1"/>
    <s v="Non-Travel"/>
    <n v="715"/>
    <x v="1"/>
    <n v="19"/>
    <n v="4"/>
    <s v="Medical"/>
    <n v="791"/>
    <n v="4"/>
    <x v="1"/>
    <n v="41"/>
    <n v="3"/>
    <n v="1"/>
    <x v="1"/>
    <n v="4"/>
    <s v="Married"/>
    <x v="546"/>
    <n v="26589"/>
    <n v="0"/>
    <x v="1"/>
    <n v="18"/>
    <n v="3"/>
    <n v="1"/>
    <n v="1"/>
    <n v="5"/>
    <n v="3"/>
    <n v="3"/>
    <n v="4"/>
    <n v="3"/>
    <n v="1"/>
    <n v="2"/>
    <x v="1"/>
    <s v="Mid"/>
    <n v="6281.2528616024974"/>
    <s v="Below salary"/>
    <s v="Low Risk"/>
  </r>
  <r>
    <n v="26"/>
    <x v="1"/>
    <s v="Travel_Frequently"/>
    <n v="575"/>
    <x v="1"/>
    <n v="1"/>
    <n v="2"/>
    <s v="Life Sciences"/>
    <n v="792"/>
    <n v="1"/>
    <x v="0"/>
    <n v="71"/>
    <n v="1"/>
    <n v="1"/>
    <x v="2"/>
    <n v="4"/>
    <s v="Divorced"/>
    <x v="547"/>
    <n v="5288"/>
    <n v="3"/>
    <x v="1"/>
    <n v="14"/>
    <n v="3"/>
    <n v="1"/>
    <n v="1"/>
    <n v="5"/>
    <n v="2"/>
    <n v="3"/>
    <n v="2"/>
    <n v="2"/>
    <n v="2"/>
    <n v="0"/>
    <x v="2"/>
    <s v="Mid"/>
    <n v="6281.2528616024974"/>
    <s v="Below salary"/>
    <s v="Low Risk"/>
  </r>
  <r>
    <n v="29"/>
    <x v="1"/>
    <s v="Travel_Rarely"/>
    <n v="657"/>
    <x v="1"/>
    <n v="27"/>
    <n v="3"/>
    <s v="Medical"/>
    <n v="793"/>
    <n v="2"/>
    <x v="0"/>
    <n v="66"/>
    <n v="3"/>
    <n v="2"/>
    <x v="4"/>
    <n v="3"/>
    <s v="Married"/>
    <x v="548"/>
    <n v="25549"/>
    <n v="4"/>
    <x v="1"/>
    <n v="12"/>
    <n v="3"/>
    <n v="1"/>
    <n v="1"/>
    <n v="11"/>
    <n v="3"/>
    <n v="2"/>
    <n v="8"/>
    <n v="7"/>
    <n v="1"/>
    <n v="1"/>
    <x v="2"/>
    <s v="Mid"/>
    <n v="6281.2528616024974"/>
    <s v="Below salary"/>
    <s v="Low Risk"/>
  </r>
  <r>
    <n v="26"/>
    <x v="0"/>
    <s v="Travel_Rarely"/>
    <n v="1146"/>
    <x v="0"/>
    <n v="8"/>
    <n v="3"/>
    <s v="Technical Degree"/>
    <n v="796"/>
    <n v="4"/>
    <x v="1"/>
    <n v="38"/>
    <n v="2"/>
    <n v="2"/>
    <x v="0"/>
    <n v="1"/>
    <s v="Single"/>
    <x v="549"/>
    <n v="3064"/>
    <n v="6"/>
    <x v="1"/>
    <n v="17"/>
    <n v="3"/>
    <n v="3"/>
    <n v="0"/>
    <n v="6"/>
    <n v="2"/>
    <n v="2"/>
    <n v="4"/>
    <n v="3"/>
    <n v="1"/>
    <n v="2"/>
    <x v="2"/>
    <s v="Mid"/>
    <n v="6959.17264573991"/>
    <s v="Below salary"/>
    <s v="Medium Risk"/>
  </r>
  <r>
    <n v="34"/>
    <x v="1"/>
    <s v="Travel_Rarely"/>
    <n v="182"/>
    <x v="1"/>
    <n v="1"/>
    <n v="4"/>
    <s v="Life Sciences"/>
    <n v="797"/>
    <n v="2"/>
    <x v="0"/>
    <n v="72"/>
    <n v="4"/>
    <n v="1"/>
    <x v="1"/>
    <n v="4"/>
    <s v="Single"/>
    <x v="550"/>
    <n v="13551"/>
    <n v="2"/>
    <x v="1"/>
    <n v="16"/>
    <n v="3"/>
    <n v="3"/>
    <n v="0"/>
    <n v="10"/>
    <n v="2"/>
    <n v="3"/>
    <n v="4"/>
    <n v="2"/>
    <n v="1"/>
    <n v="3"/>
    <x v="2"/>
    <s v="Mid"/>
    <n v="6281.2528616024974"/>
    <s v="Below salary"/>
    <s v="Low Risk"/>
  </r>
  <r>
    <n v="54"/>
    <x v="1"/>
    <s v="Travel_Rarely"/>
    <n v="376"/>
    <x v="1"/>
    <n v="19"/>
    <n v="4"/>
    <s v="Medical"/>
    <n v="799"/>
    <n v="4"/>
    <x v="0"/>
    <n v="95"/>
    <n v="3"/>
    <n v="2"/>
    <x v="3"/>
    <n v="1"/>
    <s v="Divorced"/>
    <x v="551"/>
    <n v="22670"/>
    <n v="9"/>
    <x v="0"/>
    <n v="11"/>
    <n v="3"/>
    <n v="2"/>
    <n v="2"/>
    <n v="9"/>
    <n v="4"/>
    <n v="3"/>
    <n v="5"/>
    <n v="3"/>
    <n v="1"/>
    <n v="4"/>
    <x v="1"/>
    <s v="Mid"/>
    <n v="6281.2528616024974"/>
    <s v="Below salary"/>
    <s v="High Risk"/>
  </r>
  <r>
    <n v="27"/>
    <x v="1"/>
    <s v="Travel_Frequently"/>
    <n v="829"/>
    <x v="0"/>
    <n v="8"/>
    <n v="1"/>
    <s v="Marketing"/>
    <n v="800"/>
    <n v="3"/>
    <x v="1"/>
    <n v="84"/>
    <n v="3"/>
    <n v="2"/>
    <x v="0"/>
    <n v="4"/>
    <s v="Married"/>
    <x v="552"/>
    <n v="24008"/>
    <n v="0"/>
    <x v="1"/>
    <n v="19"/>
    <n v="3"/>
    <n v="2"/>
    <n v="1"/>
    <n v="5"/>
    <n v="3"/>
    <n v="3"/>
    <n v="4"/>
    <n v="2"/>
    <n v="1"/>
    <n v="1"/>
    <x v="2"/>
    <s v="Mid"/>
    <n v="6959.17264573991"/>
    <s v="Below salary"/>
    <s v="Low Risk"/>
  </r>
  <r>
    <n v="37"/>
    <x v="1"/>
    <s v="Travel_Rarely"/>
    <n v="571"/>
    <x v="1"/>
    <n v="10"/>
    <n v="1"/>
    <s v="Life Sciences"/>
    <n v="802"/>
    <n v="4"/>
    <x v="0"/>
    <n v="82"/>
    <n v="3"/>
    <n v="1"/>
    <x v="1"/>
    <n v="1"/>
    <s v="Divorced"/>
    <x v="553"/>
    <n v="19905"/>
    <n v="0"/>
    <x v="0"/>
    <n v="13"/>
    <n v="3"/>
    <n v="2"/>
    <n v="2"/>
    <n v="6"/>
    <n v="3"/>
    <n v="2"/>
    <n v="5"/>
    <n v="3"/>
    <n v="4"/>
    <n v="3"/>
    <x v="0"/>
    <s v="Low"/>
    <n v="6281.2528616024974"/>
    <s v="Below salary"/>
    <s v="High Risk"/>
  </r>
  <r>
    <n v="38"/>
    <x v="1"/>
    <s v="Travel_Frequently"/>
    <n v="240"/>
    <x v="1"/>
    <n v="2"/>
    <n v="4"/>
    <s v="Life Sciences"/>
    <n v="803"/>
    <n v="1"/>
    <x v="0"/>
    <n v="75"/>
    <n v="4"/>
    <n v="2"/>
    <x v="3"/>
    <n v="1"/>
    <s v="Single"/>
    <x v="554"/>
    <n v="26085"/>
    <n v="6"/>
    <x v="0"/>
    <n v="12"/>
    <n v="3"/>
    <n v="4"/>
    <n v="0"/>
    <n v="17"/>
    <n v="2"/>
    <n v="3"/>
    <n v="15"/>
    <n v="7"/>
    <n v="4"/>
    <n v="12"/>
    <x v="0"/>
    <s v="Mid"/>
    <n v="6281.2528616024974"/>
    <s v="Below salary"/>
    <s v="High Risk"/>
  </r>
  <r>
    <n v="34"/>
    <x v="1"/>
    <s v="Travel_Rarely"/>
    <n v="121"/>
    <x v="1"/>
    <n v="2"/>
    <n v="4"/>
    <s v="Medical"/>
    <n v="804"/>
    <n v="3"/>
    <x v="0"/>
    <n v="86"/>
    <n v="2"/>
    <n v="1"/>
    <x v="1"/>
    <n v="1"/>
    <s v="Single"/>
    <x v="555"/>
    <n v="7530"/>
    <n v="1"/>
    <x v="1"/>
    <n v="11"/>
    <n v="3"/>
    <n v="3"/>
    <n v="0"/>
    <n v="6"/>
    <n v="3"/>
    <n v="3"/>
    <n v="6"/>
    <n v="5"/>
    <n v="1"/>
    <n v="3"/>
    <x v="2"/>
    <s v="Mid"/>
    <n v="6281.2528616024974"/>
    <s v="Below salary"/>
    <s v="Medium Risk"/>
  </r>
  <r>
    <n v="35"/>
    <x v="1"/>
    <s v="Travel_Rarely"/>
    <n v="384"/>
    <x v="0"/>
    <n v="8"/>
    <n v="4"/>
    <s v="Life Sciences"/>
    <n v="805"/>
    <n v="1"/>
    <x v="0"/>
    <n v="72"/>
    <n v="3"/>
    <n v="1"/>
    <x v="6"/>
    <n v="4"/>
    <s v="Married"/>
    <x v="556"/>
    <n v="20317"/>
    <n v="1"/>
    <x v="1"/>
    <n v="16"/>
    <n v="3"/>
    <n v="2"/>
    <n v="1"/>
    <n v="3"/>
    <n v="1"/>
    <n v="2"/>
    <n v="3"/>
    <n v="2"/>
    <n v="0"/>
    <n v="2"/>
    <x v="2"/>
    <s v="Low"/>
    <n v="6959.17264573991"/>
    <s v="Below salary"/>
    <s v="Low Risk"/>
  </r>
  <r>
    <n v="30"/>
    <x v="1"/>
    <s v="Travel_Rarely"/>
    <n v="921"/>
    <x v="1"/>
    <n v="1"/>
    <n v="3"/>
    <s v="Life Sciences"/>
    <n v="806"/>
    <n v="4"/>
    <x v="1"/>
    <n v="38"/>
    <n v="1"/>
    <n v="1"/>
    <x v="2"/>
    <n v="3"/>
    <s v="Married"/>
    <x v="557"/>
    <n v="24375"/>
    <n v="3"/>
    <x v="1"/>
    <n v="21"/>
    <n v="4"/>
    <n v="3"/>
    <n v="2"/>
    <n v="7"/>
    <n v="2"/>
    <n v="3"/>
    <n v="2"/>
    <n v="2"/>
    <n v="0"/>
    <n v="2"/>
    <x v="2"/>
    <s v="Mid"/>
    <n v="6281.2528616024974"/>
    <s v="Below salary"/>
    <s v="Low Risk"/>
  </r>
  <r>
    <n v="40"/>
    <x v="1"/>
    <s v="Travel_Frequently"/>
    <n v="791"/>
    <x v="1"/>
    <n v="2"/>
    <n v="2"/>
    <s v="Medical"/>
    <n v="807"/>
    <n v="3"/>
    <x v="0"/>
    <n v="38"/>
    <n v="4"/>
    <n v="2"/>
    <x v="4"/>
    <n v="2"/>
    <s v="Married"/>
    <x v="558"/>
    <n v="9931"/>
    <n v="1"/>
    <x v="1"/>
    <n v="24"/>
    <n v="4"/>
    <n v="4"/>
    <n v="1"/>
    <n v="8"/>
    <n v="2"/>
    <n v="3"/>
    <n v="8"/>
    <n v="7"/>
    <n v="3"/>
    <n v="7"/>
    <x v="0"/>
    <s v="Mid"/>
    <n v="6281.2528616024974"/>
    <s v="Below salary"/>
    <s v="Medium Risk"/>
  </r>
  <r>
    <n v="34"/>
    <x v="1"/>
    <s v="Travel_Rarely"/>
    <n v="1111"/>
    <x v="0"/>
    <n v="8"/>
    <n v="2"/>
    <s v="Life Sciences"/>
    <n v="808"/>
    <n v="3"/>
    <x v="0"/>
    <n v="93"/>
    <n v="3"/>
    <n v="2"/>
    <x v="0"/>
    <n v="1"/>
    <s v="Married"/>
    <x v="559"/>
    <n v="13305"/>
    <n v="5"/>
    <x v="1"/>
    <n v="17"/>
    <n v="3"/>
    <n v="2"/>
    <n v="1"/>
    <n v="6"/>
    <n v="1"/>
    <n v="3"/>
    <n v="3"/>
    <n v="2"/>
    <n v="1"/>
    <n v="2"/>
    <x v="2"/>
    <s v="Mid"/>
    <n v="6959.17264573991"/>
    <s v="Below salary"/>
    <s v="Medium Risk"/>
  </r>
  <r>
    <n v="42"/>
    <x v="1"/>
    <s v="Travel_Frequently"/>
    <n v="570"/>
    <x v="1"/>
    <n v="8"/>
    <n v="3"/>
    <s v="Life Sciences"/>
    <n v="809"/>
    <n v="2"/>
    <x v="1"/>
    <n v="66"/>
    <n v="3"/>
    <n v="5"/>
    <x v="5"/>
    <n v="4"/>
    <s v="Divorced"/>
    <x v="560"/>
    <n v="16225"/>
    <n v="1"/>
    <x v="1"/>
    <n v="13"/>
    <n v="3"/>
    <n v="2"/>
    <n v="1"/>
    <n v="24"/>
    <n v="4"/>
    <n v="2"/>
    <n v="24"/>
    <n v="7"/>
    <n v="14"/>
    <n v="9"/>
    <x v="0"/>
    <s v="Very High"/>
    <n v="6281.2528616024974"/>
    <s v="Above salary"/>
    <s v="Low Risk"/>
  </r>
  <r>
    <n v="23"/>
    <x v="0"/>
    <s v="Travel_Rarely"/>
    <n v="1243"/>
    <x v="1"/>
    <n v="6"/>
    <n v="3"/>
    <s v="Life Sciences"/>
    <n v="811"/>
    <n v="3"/>
    <x v="1"/>
    <n v="63"/>
    <n v="4"/>
    <n v="1"/>
    <x v="2"/>
    <n v="1"/>
    <s v="Married"/>
    <x v="561"/>
    <n v="3445"/>
    <n v="1"/>
    <x v="0"/>
    <n v="21"/>
    <n v="4"/>
    <n v="3"/>
    <n v="2"/>
    <n v="1"/>
    <n v="2"/>
    <n v="3"/>
    <n v="0"/>
    <n v="0"/>
    <n v="0"/>
    <n v="0"/>
    <x v="3"/>
    <s v="Low"/>
    <n v="6281.2528616024974"/>
    <s v="Below salary"/>
    <s v="High Risk"/>
  </r>
  <r>
    <n v="24"/>
    <x v="1"/>
    <s v="Non-Travel"/>
    <n v="1092"/>
    <x v="1"/>
    <n v="9"/>
    <n v="3"/>
    <s v="Life Sciences"/>
    <n v="812"/>
    <n v="3"/>
    <x v="1"/>
    <n v="60"/>
    <n v="2"/>
    <n v="1"/>
    <x v="2"/>
    <n v="2"/>
    <s v="Divorced"/>
    <x v="562"/>
    <n v="26551"/>
    <n v="1"/>
    <x v="1"/>
    <n v="11"/>
    <n v="3"/>
    <n v="3"/>
    <n v="3"/>
    <n v="1"/>
    <n v="4"/>
    <n v="3"/>
    <n v="1"/>
    <n v="0"/>
    <n v="0"/>
    <n v="0"/>
    <x v="3"/>
    <s v="Low"/>
    <n v="6281.2528616024974"/>
    <s v="Below salary"/>
    <s v="Medium Risk"/>
  </r>
  <r>
    <n v="52"/>
    <x v="1"/>
    <s v="Travel_Rarely"/>
    <n v="1325"/>
    <x v="1"/>
    <n v="11"/>
    <n v="4"/>
    <s v="Life Sciences"/>
    <n v="813"/>
    <n v="4"/>
    <x v="0"/>
    <n v="82"/>
    <n v="3"/>
    <n v="2"/>
    <x v="2"/>
    <n v="3"/>
    <s v="Married"/>
    <x v="563"/>
    <n v="21821"/>
    <n v="8"/>
    <x v="1"/>
    <n v="20"/>
    <n v="4"/>
    <n v="2"/>
    <n v="1"/>
    <n v="9"/>
    <n v="3"/>
    <n v="3"/>
    <n v="5"/>
    <n v="2"/>
    <n v="1"/>
    <n v="4"/>
    <x v="1"/>
    <s v="Mid"/>
    <n v="6281.2528616024974"/>
    <s v="Below salary"/>
    <s v="Low Risk"/>
  </r>
  <r>
    <n v="50"/>
    <x v="1"/>
    <s v="Travel_Rarely"/>
    <n v="691"/>
    <x v="1"/>
    <n v="2"/>
    <n v="3"/>
    <s v="Medical"/>
    <n v="815"/>
    <n v="3"/>
    <x v="1"/>
    <n v="64"/>
    <n v="3"/>
    <n v="4"/>
    <x v="7"/>
    <n v="3"/>
    <s v="Married"/>
    <x v="564"/>
    <n v="6881"/>
    <n v="5"/>
    <x v="1"/>
    <n v="16"/>
    <n v="3"/>
    <n v="4"/>
    <n v="0"/>
    <n v="30"/>
    <n v="3"/>
    <n v="3"/>
    <n v="4"/>
    <n v="3"/>
    <n v="0"/>
    <n v="3"/>
    <x v="1"/>
    <s v="Very High"/>
    <n v="6281.2528616024974"/>
    <s v="Above salary"/>
    <s v="Low Risk"/>
  </r>
  <r>
    <n v="29"/>
    <x v="0"/>
    <s v="Travel_Rarely"/>
    <n v="805"/>
    <x v="1"/>
    <n v="1"/>
    <n v="2"/>
    <s v="Life Sciences"/>
    <n v="816"/>
    <n v="2"/>
    <x v="0"/>
    <n v="36"/>
    <n v="2"/>
    <n v="1"/>
    <x v="2"/>
    <n v="1"/>
    <s v="Married"/>
    <x v="565"/>
    <n v="6689"/>
    <n v="1"/>
    <x v="0"/>
    <n v="11"/>
    <n v="3"/>
    <n v="4"/>
    <n v="1"/>
    <n v="1"/>
    <n v="1"/>
    <n v="3"/>
    <n v="1"/>
    <n v="0"/>
    <n v="0"/>
    <n v="0"/>
    <x v="2"/>
    <s v="Low"/>
    <n v="6281.2528616024974"/>
    <s v="Below salary"/>
    <s v="High Risk"/>
  </r>
  <r>
    <n v="33"/>
    <x v="1"/>
    <s v="Travel_Rarely"/>
    <n v="213"/>
    <x v="1"/>
    <n v="7"/>
    <n v="3"/>
    <s v="Medical"/>
    <n v="817"/>
    <n v="3"/>
    <x v="1"/>
    <n v="49"/>
    <n v="3"/>
    <n v="3"/>
    <x v="7"/>
    <n v="3"/>
    <s v="Married"/>
    <x v="566"/>
    <n v="25995"/>
    <n v="0"/>
    <x v="1"/>
    <n v="11"/>
    <n v="3"/>
    <n v="4"/>
    <n v="0"/>
    <n v="14"/>
    <n v="3"/>
    <n v="4"/>
    <n v="13"/>
    <n v="9"/>
    <n v="3"/>
    <n v="7"/>
    <x v="2"/>
    <s v="High"/>
    <n v="6281.2528616024974"/>
    <s v="Above salary"/>
    <s v="Low Risk"/>
  </r>
  <r>
    <n v="33"/>
    <x v="0"/>
    <s v="Travel_Rarely"/>
    <n v="118"/>
    <x v="0"/>
    <n v="16"/>
    <n v="3"/>
    <s v="Marketing"/>
    <n v="819"/>
    <n v="1"/>
    <x v="0"/>
    <n v="69"/>
    <n v="3"/>
    <n v="2"/>
    <x v="0"/>
    <n v="1"/>
    <s v="Single"/>
    <x v="567"/>
    <n v="26507"/>
    <n v="5"/>
    <x v="1"/>
    <n v="15"/>
    <n v="3"/>
    <n v="3"/>
    <n v="0"/>
    <n v="6"/>
    <n v="3"/>
    <n v="3"/>
    <n v="3"/>
    <n v="2"/>
    <n v="0"/>
    <n v="2"/>
    <x v="2"/>
    <s v="Mid"/>
    <n v="6959.17264573991"/>
    <s v="Below salary"/>
    <s v="Medium Risk"/>
  </r>
  <r>
    <n v="47"/>
    <x v="1"/>
    <s v="Travel_Rarely"/>
    <n v="202"/>
    <x v="1"/>
    <n v="2"/>
    <n v="2"/>
    <s v="Other"/>
    <n v="820"/>
    <n v="3"/>
    <x v="0"/>
    <n v="33"/>
    <n v="3"/>
    <n v="4"/>
    <x v="5"/>
    <n v="4"/>
    <s v="Married"/>
    <x v="568"/>
    <n v="12982"/>
    <n v="1"/>
    <x v="0"/>
    <n v="11"/>
    <n v="3"/>
    <n v="3"/>
    <n v="1"/>
    <n v="26"/>
    <n v="3"/>
    <n v="2"/>
    <n v="26"/>
    <n v="14"/>
    <n v="3"/>
    <n v="0"/>
    <x v="1"/>
    <s v="Very High"/>
    <n v="6281.2528616024974"/>
    <s v="Above salary"/>
    <s v="Medium Risk"/>
  </r>
  <r>
    <n v="36"/>
    <x v="1"/>
    <s v="Travel_Rarely"/>
    <n v="676"/>
    <x v="1"/>
    <n v="1"/>
    <n v="3"/>
    <s v="Other"/>
    <n v="823"/>
    <n v="3"/>
    <x v="0"/>
    <n v="35"/>
    <n v="3"/>
    <n v="2"/>
    <x v="3"/>
    <n v="2"/>
    <s v="Married"/>
    <x v="311"/>
    <n v="23361"/>
    <n v="0"/>
    <x v="1"/>
    <n v="15"/>
    <n v="3"/>
    <n v="1"/>
    <n v="1"/>
    <n v="10"/>
    <n v="2"/>
    <n v="3"/>
    <n v="9"/>
    <n v="7"/>
    <n v="0"/>
    <n v="5"/>
    <x v="0"/>
    <s v="Mid"/>
    <n v="6281.2528616024974"/>
    <s v="Below salary"/>
    <s v="Medium Risk"/>
  </r>
  <r>
    <n v="29"/>
    <x v="1"/>
    <s v="Travel_Rarely"/>
    <n v="1252"/>
    <x v="1"/>
    <n v="23"/>
    <n v="2"/>
    <s v="Life Sciences"/>
    <n v="824"/>
    <n v="3"/>
    <x v="1"/>
    <n v="81"/>
    <n v="4"/>
    <n v="1"/>
    <x v="1"/>
    <n v="3"/>
    <s v="Married"/>
    <x v="569"/>
    <n v="23779"/>
    <n v="1"/>
    <x v="1"/>
    <n v="24"/>
    <n v="4"/>
    <n v="3"/>
    <n v="1"/>
    <n v="10"/>
    <n v="3"/>
    <n v="3"/>
    <n v="10"/>
    <n v="7"/>
    <n v="0"/>
    <n v="7"/>
    <x v="2"/>
    <s v="Low"/>
    <n v="6281.2528616024974"/>
    <s v="Below salary"/>
    <s v="Low Risk"/>
  </r>
  <r>
    <n v="58"/>
    <x v="0"/>
    <s v="Travel_Rarely"/>
    <n v="286"/>
    <x v="1"/>
    <n v="2"/>
    <n v="4"/>
    <s v="Life Sciences"/>
    <n v="825"/>
    <n v="4"/>
    <x v="1"/>
    <n v="31"/>
    <n v="3"/>
    <n v="5"/>
    <x v="7"/>
    <n v="2"/>
    <s v="Single"/>
    <x v="570"/>
    <n v="25761"/>
    <n v="7"/>
    <x v="0"/>
    <n v="12"/>
    <n v="3"/>
    <n v="4"/>
    <n v="0"/>
    <n v="40"/>
    <n v="2"/>
    <n v="3"/>
    <n v="31"/>
    <n v="15"/>
    <n v="13"/>
    <n v="8"/>
    <x v="1"/>
    <s v="Very High"/>
    <n v="6281.2528616024974"/>
    <s v="Above salary"/>
    <s v="High Risk"/>
  </r>
  <r>
    <n v="35"/>
    <x v="1"/>
    <s v="Travel_Rarely"/>
    <n v="1258"/>
    <x v="1"/>
    <n v="1"/>
    <n v="4"/>
    <s v="Life Sciences"/>
    <n v="826"/>
    <n v="4"/>
    <x v="0"/>
    <n v="40"/>
    <n v="4"/>
    <n v="1"/>
    <x v="1"/>
    <n v="3"/>
    <s v="Single"/>
    <x v="571"/>
    <n v="13301"/>
    <n v="3"/>
    <x v="1"/>
    <n v="13"/>
    <n v="3"/>
    <n v="3"/>
    <n v="0"/>
    <n v="7"/>
    <n v="0"/>
    <n v="3"/>
    <n v="2"/>
    <n v="2"/>
    <n v="2"/>
    <n v="2"/>
    <x v="2"/>
    <s v="Low"/>
    <n v="6281.2528616024974"/>
    <s v="Below salary"/>
    <s v="Low Risk"/>
  </r>
  <r>
    <n v="42"/>
    <x v="1"/>
    <s v="Travel_Rarely"/>
    <n v="932"/>
    <x v="1"/>
    <n v="1"/>
    <n v="2"/>
    <s v="Life Sciences"/>
    <n v="827"/>
    <n v="4"/>
    <x v="0"/>
    <n v="43"/>
    <n v="2"/>
    <n v="2"/>
    <x v="3"/>
    <n v="4"/>
    <s v="Married"/>
    <x v="572"/>
    <n v="4051"/>
    <n v="9"/>
    <x v="0"/>
    <n v="13"/>
    <n v="3"/>
    <n v="4"/>
    <n v="1"/>
    <n v="8"/>
    <n v="4"/>
    <n v="3"/>
    <n v="4"/>
    <n v="3"/>
    <n v="0"/>
    <n v="2"/>
    <x v="0"/>
    <s v="Mid"/>
    <n v="6281.2528616024974"/>
    <s v="Below salary"/>
    <s v="Medium Risk"/>
  </r>
  <r>
    <n v="28"/>
    <x v="0"/>
    <s v="Travel_Rarely"/>
    <n v="890"/>
    <x v="1"/>
    <n v="2"/>
    <n v="4"/>
    <s v="Medical"/>
    <n v="828"/>
    <n v="3"/>
    <x v="1"/>
    <n v="46"/>
    <n v="3"/>
    <n v="1"/>
    <x v="1"/>
    <n v="3"/>
    <s v="Single"/>
    <x v="573"/>
    <n v="16374"/>
    <n v="6"/>
    <x v="1"/>
    <n v="17"/>
    <n v="3"/>
    <n v="4"/>
    <n v="0"/>
    <n v="5"/>
    <n v="3"/>
    <n v="2"/>
    <n v="2"/>
    <n v="2"/>
    <n v="2"/>
    <n v="1"/>
    <x v="2"/>
    <s v="Mid"/>
    <n v="6281.2528616024974"/>
    <s v="Below salary"/>
    <s v="Low Risk"/>
  </r>
  <r>
    <n v="36"/>
    <x v="1"/>
    <s v="Travel_Rarely"/>
    <n v="1041"/>
    <x v="2"/>
    <n v="13"/>
    <n v="3"/>
    <s v="Human Resources"/>
    <n v="829"/>
    <n v="3"/>
    <x v="1"/>
    <n v="36"/>
    <n v="3"/>
    <n v="1"/>
    <x v="8"/>
    <n v="2"/>
    <s v="Married"/>
    <x v="574"/>
    <n v="25527"/>
    <n v="4"/>
    <x v="1"/>
    <n v="13"/>
    <n v="3"/>
    <n v="2"/>
    <n v="1"/>
    <n v="8"/>
    <n v="2"/>
    <n v="3"/>
    <n v="5"/>
    <n v="2"/>
    <n v="0"/>
    <n v="4"/>
    <x v="0"/>
    <s v="Low"/>
    <n v="6654.5079365079364"/>
    <s v="Below salary"/>
    <s v="Medium Risk"/>
  </r>
  <r>
    <n v="32"/>
    <x v="1"/>
    <s v="Travel_Rarely"/>
    <n v="859"/>
    <x v="1"/>
    <n v="4"/>
    <n v="3"/>
    <s v="Life Sciences"/>
    <n v="830"/>
    <n v="3"/>
    <x v="0"/>
    <n v="98"/>
    <n v="2"/>
    <n v="2"/>
    <x v="3"/>
    <n v="3"/>
    <s v="Married"/>
    <x v="57"/>
    <n v="19124"/>
    <n v="1"/>
    <x v="1"/>
    <n v="12"/>
    <n v="3"/>
    <n v="3"/>
    <n v="1"/>
    <n v="14"/>
    <n v="3"/>
    <n v="3"/>
    <n v="14"/>
    <n v="13"/>
    <n v="6"/>
    <n v="8"/>
    <x v="2"/>
    <s v="Mid"/>
    <n v="6281.2528616024974"/>
    <s v="Below salary"/>
    <s v="Low Risk"/>
  </r>
  <r>
    <n v="40"/>
    <x v="1"/>
    <s v="Travel_Frequently"/>
    <n v="720"/>
    <x v="1"/>
    <n v="16"/>
    <n v="4"/>
    <s v="Medical"/>
    <n v="832"/>
    <n v="1"/>
    <x v="1"/>
    <n v="51"/>
    <n v="2"/>
    <n v="2"/>
    <x v="2"/>
    <n v="3"/>
    <s v="Single"/>
    <x v="575"/>
    <n v="11983"/>
    <n v="6"/>
    <x v="1"/>
    <n v="14"/>
    <n v="3"/>
    <n v="4"/>
    <n v="0"/>
    <n v="10"/>
    <n v="6"/>
    <n v="3"/>
    <n v="1"/>
    <n v="0"/>
    <n v="0"/>
    <n v="0"/>
    <x v="0"/>
    <s v="Mid"/>
    <n v="6281.2528616024974"/>
    <s v="Below salary"/>
    <s v="Low Risk"/>
  </r>
  <r>
    <n v="30"/>
    <x v="1"/>
    <s v="Travel_Rarely"/>
    <n v="946"/>
    <x v="1"/>
    <n v="2"/>
    <n v="3"/>
    <s v="Medical"/>
    <n v="833"/>
    <n v="3"/>
    <x v="0"/>
    <n v="52"/>
    <n v="2"/>
    <n v="2"/>
    <x v="3"/>
    <n v="4"/>
    <s v="Single"/>
    <x v="576"/>
    <n v="20234"/>
    <n v="5"/>
    <x v="0"/>
    <n v="24"/>
    <n v="4"/>
    <n v="2"/>
    <n v="0"/>
    <n v="12"/>
    <n v="4"/>
    <n v="2"/>
    <n v="0"/>
    <n v="0"/>
    <n v="0"/>
    <n v="0"/>
    <x v="2"/>
    <s v="Mid"/>
    <n v="6281.2528616024974"/>
    <s v="Above salary"/>
    <s v="Medium Risk"/>
  </r>
  <r>
    <n v="45"/>
    <x v="1"/>
    <s v="Travel_Rarely"/>
    <n v="252"/>
    <x v="1"/>
    <n v="2"/>
    <n v="3"/>
    <s v="Life Sciences"/>
    <n v="834"/>
    <n v="2"/>
    <x v="0"/>
    <n v="95"/>
    <n v="2"/>
    <n v="1"/>
    <x v="1"/>
    <n v="3"/>
    <s v="Single"/>
    <x v="577"/>
    <n v="6153"/>
    <n v="1"/>
    <x v="1"/>
    <n v="14"/>
    <n v="3"/>
    <n v="4"/>
    <n v="0"/>
    <n v="1"/>
    <n v="3"/>
    <n v="3"/>
    <n v="1"/>
    <n v="0"/>
    <n v="0"/>
    <n v="0"/>
    <x v="0"/>
    <s v="Low"/>
    <n v="6281.2528616024974"/>
    <s v="Below salary"/>
    <s v="Low Risk"/>
  </r>
  <r>
    <n v="42"/>
    <x v="1"/>
    <s v="Travel_Rarely"/>
    <n v="933"/>
    <x v="1"/>
    <n v="29"/>
    <n v="3"/>
    <s v="Life Sciences"/>
    <n v="836"/>
    <n v="2"/>
    <x v="1"/>
    <n v="98"/>
    <n v="3"/>
    <n v="2"/>
    <x v="3"/>
    <n v="2"/>
    <s v="Married"/>
    <x v="578"/>
    <n v="11806"/>
    <n v="1"/>
    <x v="1"/>
    <n v="13"/>
    <n v="3"/>
    <n v="4"/>
    <n v="1"/>
    <n v="10"/>
    <n v="3"/>
    <n v="2"/>
    <n v="9"/>
    <n v="8"/>
    <n v="7"/>
    <n v="8"/>
    <x v="0"/>
    <s v="Mid"/>
    <n v="6281.2528616024974"/>
    <s v="Below salary"/>
    <s v="Medium Risk"/>
  </r>
  <r>
    <n v="38"/>
    <x v="1"/>
    <s v="Travel_Frequently"/>
    <n v="471"/>
    <x v="1"/>
    <n v="12"/>
    <n v="3"/>
    <s v="Life Sciences"/>
    <n v="837"/>
    <n v="1"/>
    <x v="1"/>
    <n v="45"/>
    <n v="2"/>
    <n v="2"/>
    <x v="4"/>
    <n v="1"/>
    <s v="Divorced"/>
    <x v="579"/>
    <n v="4284"/>
    <n v="2"/>
    <x v="1"/>
    <n v="15"/>
    <n v="3"/>
    <n v="3"/>
    <n v="1"/>
    <n v="13"/>
    <n v="3"/>
    <n v="2"/>
    <n v="4"/>
    <n v="3"/>
    <n v="1"/>
    <n v="2"/>
    <x v="0"/>
    <s v="Mid"/>
    <n v="6281.2528616024974"/>
    <s v="Above salary"/>
    <s v="Medium Risk"/>
  </r>
  <r>
    <n v="34"/>
    <x v="1"/>
    <s v="Travel_Frequently"/>
    <n v="702"/>
    <x v="1"/>
    <n v="16"/>
    <n v="4"/>
    <s v="Life Sciences"/>
    <n v="838"/>
    <n v="3"/>
    <x v="0"/>
    <n v="100"/>
    <n v="2"/>
    <n v="1"/>
    <x v="1"/>
    <n v="4"/>
    <s v="Single"/>
    <x v="580"/>
    <n v="8306"/>
    <n v="1"/>
    <x v="1"/>
    <n v="16"/>
    <n v="3"/>
    <n v="3"/>
    <n v="0"/>
    <n v="6"/>
    <n v="3"/>
    <n v="3"/>
    <n v="5"/>
    <n v="2"/>
    <n v="1"/>
    <n v="3"/>
    <x v="2"/>
    <s v="Low"/>
    <n v="6281.2528616024974"/>
    <s v="Below salary"/>
    <s v="Low Risk"/>
  </r>
  <r>
    <n v="49"/>
    <x v="0"/>
    <s v="Travel_Rarely"/>
    <n v="1184"/>
    <x v="0"/>
    <n v="11"/>
    <n v="3"/>
    <s v="Marketing"/>
    <n v="840"/>
    <n v="3"/>
    <x v="0"/>
    <n v="43"/>
    <n v="3"/>
    <n v="3"/>
    <x v="0"/>
    <n v="4"/>
    <s v="Married"/>
    <x v="581"/>
    <n v="5860"/>
    <n v="1"/>
    <x v="1"/>
    <n v="18"/>
    <n v="3"/>
    <n v="1"/>
    <n v="2"/>
    <n v="9"/>
    <n v="3"/>
    <n v="4"/>
    <n v="9"/>
    <n v="8"/>
    <n v="7"/>
    <n v="7"/>
    <x v="1"/>
    <s v="High"/>
    <n v="6959.17264573991"/>
    <s v="Above salary"/>
    <s v="Low Risk"/>
  </r>
  <r>
    <n v="55"/>
    <x v="0"/>
    <s v="Travel_Rarely"/>
    <n v="436"/>
    <x v="0"/>
    <n v="2"/>
    <n v="1"/>
    <s v="Medical"/>
    <n v="842"/>
    <n v="3"/>
    <x v="1"/>
    <n v="37"/>
    <n v="3"/>
    <n v="2"/>
    <x v="0"/>
    <n v="4"/>
    <s v="Single"/>
    <x v="582"/>
    <n v="21519"/>
    <n v="4"/>
    <x v="1"/>
    <n v="16"/>
    <n v="3"/>
    <n v="3"/>
    <n v="0"/>
    <n v="12"/>
    <n v="3"/>
    <n v="2"/>
    <n v="9"/>
    <n v="7"/>
    <n v="7"/>
    <n v="3"/>
    <x v="1"/>
    <s v="Mid"/>
    <n v="6959.17264573991"/>
    <s v="Below salary"/>
    <s v="Low Risk"/>
  </r>
  <r>
    <n v="43"/>
    <x v="1"/>
    <s v="Travel_Rarely"/>
    <n v="589"/>
    <x v="1"/>
    <n v="14"/>
    <n v="2"/>
    <s v="Life Sciences"/>
    <n v="843"/>
    <n v="2"/>
    <x v="1"/>
    <n v="94"/>
    <n v="3"/>
    <n v="4"/>
    <x v="7"/>
    <n v="1"/>
    <s v="Married"/>
    <x v="583"/>
    <n v="5200"/>
    <n v="6"/>
    <x v="1"/>
    <n v="24"/>
    <n v="4"/>
    <n v="3"/>
    <n v="1"/>
    <n v="22"/>
    <n v="3"/>
    <n v="3"/>
    <n v="4"/>
    <n v="1"/>
    <n v="1"/>
    <n v="0"/>
    <x v="0"/>
    <s v="Very High"/>
    <n v="6281.2528616024974"/>
    <s v="Above salary"/>
    <s v="Medium Risk"/>
  </r>
  <r>
    <n v="27"/>
    <x v="1"/>
    <s v="Travel_Rarely"/>
    <n v="269"/>
    <x v="1"/>
    <n v="5"/>
    <n v="1"/>
    <s v="Technical Degree"/>
    <n v="844"/>
    <n v="3"/>
    <x v="1"/>
    <n v="42"/>
    <n v="2"/>
    <n v="3"/>
    <x v="7"/>
    <n v="4"/>
    <s v="Divorced"/>
    <x v="584"/>
    <n v="8842"/>
    <n v="1"/>
    <x v="0"/>
    <n v="16"/>
    <n v="3"/>
    <n v="2"/>
    <n v="1"/>
    <n v="9"/>
    <n v="3"/>
    <n v="3"/>
    <n v="9"/>
    <n v="8"/>
    <n v="0"/>
    <n v="8"/>
    <x v="2"/>
    <s v="Very High"/>
    <n v="6281.2528616024974"/>
    <s v="Above salary"/>
    <s v="Medium Risk"/>
  </r>
  <r>
    <n v="35"/>
    <x v="1"/>
    <s v="Travel_Rarely"/>
    <n v="950"/>
    <x v="1"/>
    <n v="7"/>
    <n v="3"/>
    <s v="Other"/>
    <n v="845"/>
    <n v="3"/>
    <x v="1"/>
    <n v="59"/>
    <n v="3"/>
    <n v="3"/>
    <x v="3"/>
    <n v="3"/>
    <s v="Single"/>
    <x v="585"/>
    <n v="18869"/>
    <n v="3"/>
    <x v="1"/>
    <n v="21"/>
    <n v="4"/>
    <n v="2"/>
    <n v="0"/>
    <n v="17"/>
    <n v="3"/>
    <n v="4"/>
    <n v="8"/>
    <n v="5"/>
    <n v="1"/>
    <n v="6"/>
    <x v="2"/>
    <s v="High"/>
    <n v="6281.2528616024974"/>
    <s v="Above salary"/>
    <s v="Low Risk"/>
  </r>
  <r>
    <n v="28"/>
    <x v="1"/>
    <s v="Travel_Rarely"/>
    <n v="760"/>
    <x v="0"/>
    <n v="2"/>
    <n v="4"/>
    <s v="Marketing"/>
    <n v="846"/>
    <n v="2"/>
    <x v="0"/>
    <n v="81"/>
    <n v="3"/>
    <n v="2"/>
    <x v="0"/>
    <n v="2"/>
    <s v="Married"/>
    <x v="586"/>
    <n v="3698"/>
    <n v="1"/>
    <x v="0"/>
    <n v="20"/>
    <n v="4"/>
    <n v="1"/>
    <n v="0"/>
    <n v="8"/>
    <n v="2"/>
    <n v="3"/>
    <n v="8"/>
    <n v="7"/>
    <n v="7"/>
    <n v="5"/>
    <x v="2"/>
    <s v="Mid"/>
    <n v="6959.17264573991"/>
    <s v="Below salary"/>
    <s v="High Risk"/>
  </r>
  <r>
    <n v="34"/>
    <x v="1"/>
    <s v="Travel_Rarely"/>
    <n v="829"/>
    <x v="2"/>
    <n v="3"/>
    <n v="2"/>
    <s v="Human Resources"/>
    <n v="847"/>
    <n v="3"/>
    <x v="1"/>
    <n v="88"/>
    <n v="3"/>
    <n v="1"/>
    <x v="8"/>
    <n v="4"/>
    <s v="Married"/>
    <x v="587"/>
    <n v="2243"/>
    <n v="0"/>
    <x v="1"/>
    <n v="19"/>
    <n v="3"/>
    <n v="3"/>
    <n v="1"/>
    <n v="4"/>
    <n v="1"/>
    <n v="1"/>
    <n v="3"/>
    <n v="2"/>
    <n v="0"/>
    <n v="2"/>
    <x v="2"/>
    <s v="Mid"/>
    <n v="6654.5079365079364"/>
    <s v="Below salary"/>
    <s v="Low Risk"/>
  </r>
  <r>
    <n v="26"/>
    <x v="0"/>
    <s v="Travel_Frequently"/>
    <n v="887"/>
    <x v="1"/>
    <n v="5"/>
    <n v="2"/>
    <s v="Medical"/>
    <n v="848"/>
    <n v="3"/>
    <x v="0"/>
    <n v="88"/>
    <n v="2"/>
    <n v="1"/>
    <x v="1"/>
    <n v="3"/>
    <s v="Married"/>
    <x v="588"/>
    <n v="20898"/>
    <n v="1"/>
    <x v="0"/>
    <n v="14"/>
    <n v="3"/>
    <n v="1"/>
    <n v="1"/>
    <n v="8"/>
    <n v="2"/>
    <n v="3"/>
    <n v="8"/>
    <n v="7"/>
    <n v="1"/>
    <n v="7"/>
    <x v="2"/>
    <s v="Low"/>
    <n v="6281.2528616024974"/>
    <s v="Below salary"/>
    <s v="Medium Risk"/>
  </r>
  <r>
    <n v="27"/>
    <x v="1"/>
    <s v="Non-Travel"/>
    <n v="443"/>
    <x v="1"/>
    <n v="3"/>
    <n v="3"/>
    <s v="Medical"/>
    <n v="850"/>
    <n v="4"/>
    <x v="1"/>
    <n v="50"/>
    <n v="3"/>
    <n v="1"/>
    <x v="1"/>
    <n v="4"/>
    <s v="Married"/>
    <x v="589"/>
    <n v="16571"/>
    <n v="1"/>
    <x v="1"/>
    <n v="11"/>
    <n v="3"/>
    <n v="3"/>
    <n v="3"/>
    <n v="0"/>
    <n v="6"/>
    <n v="2"/>
    <n v="0"/>
    <n v="0"/>
    <n v="0"/>
    <n v="0"/>
    <x v="2"/>
    <s v="Low"/>
    <n v="6281.2528616024974"/>
    <s v="Below salary"/>
    <s v="Low Risk"/>
  </r>
  <r>
    <n v="51"/>
    <x v="1"/>
    <s v="Travel_Rarely"/>
    <n v="1318"/>
    <x v="0"/>
    <n v="26"/>
    <n v="4"/>
    <s v="Marketing"/>
    <n v="851"/>
    <n v="1"/>
    <x v="0"/>
    <n v="66"/>
    <n v="3"/>
    <n v="4"/>
    <x v="5"/>
    <n v="3"/>
    <s v="Married"/>
    <x v="590"/>
    <n v="5594"/>
    <n v="2"/>
    <x v="1"/>
    <n v="14"/>
    <n v="3"/>
    <n v="3"/>
    <n v="1"/>
    <n v="29"/>
    <n v="2"/>
    <n v="2"/>
    <n v="20"/>
    <n v="6"/>
    <n v="4"/>
    <n v="17"/>
    <x v="1"/>
    <s v="Very High"/>
    <n v="6959.17264573991"/>
    <s v="Above salary"/>
    <s v="Low Risk"/>
  </r>
  <r>
    <n v="44"/>
    <x v="1"/>
    <s v="Travel_Rarely"/>
    <n v="625"/>
    <x v="1"/>
    <n v="4"/>
    <n v="3"/>
    <s v="Medical"/>
    <n v="852"/>
    <n v="4"/>
    <x v="1"/>
    <n v="50"/>
    <n v="3"/>
    <n v="2"/>
    <x v="4"/>
    <n v="2"/>
    <s v="Single"/>
    <x v="591"/>
    <n v="5197"/>
    <n v="9"/>
    <x v="1"/>
    <n v="12"/>
    <n v="3"/>
    <n v="4"/>
    <n v="0"/>
    <n v="10"/>
    <n v="2"/>
    <n v="2"/>
    <n v="5"/>
    <n v="2"/>
    <n v="2"/>
    <n v="3"/>
    <x v="0"/>
    <s v="Mid"/>
    <n v="6281.2528616024974"/>
    <s v="Below salary"/>
    <s v="Medium Risk"/>
  </r>
  <r>
    <n v="25"/>
    <x v="1"/>
    <s v="Travel_Rarely"/>
    <n v="180"/>
    <x v="1"/>
    <n v="2"/>
    <n v="1"/>
    <s v="Medical"/>
    <n v="854"/>
    <n v="1"/>
    <x v="1"/>
    <n v="65"/>
    <n v="4"/>
    <n v="1"/>
    <x v="1"/>
    <n v="1"/>
    <s v="Single"/>
    <x v="592"/>
    <n v="21632"/>
    <n v="7"/>
    <x v="1"/>
    <n v="13"/>
    <n v="3"/>
    <n v="3"/>
    <n v="0"/>
    <n v="6"/>
    <n v="3"/>
    <n v="2"/>
    <n v="4"/>
    <n v="3"/>
    <n v="0"/>
    <n v="1"/>
    <x v="3"/>
    <s v="Mid"/>
    <n v="6281.2528616024974"/>
    <s v="Below salary"/>
    <s v="Medium Risk"/>
  </r>
  <r>
    <n v="33"/>
    <x v="1"/>
    <s v="Travel_Rarely"/>
    <n v="586"/>
    <x v="0"/>
    <n v="1"/>
    <n v="3"/>
    <s v="Medical"/>
    <n v="855"/>
    <n v="1"/>
    <x v="1"/>
    <n v="48"/>
    <n v="4"/>
    <n v="2"/>
    <x v="0"/>
    <n v="1"/>
    <s v="Divorced"/>
    <x v="593"/>
    <n v="21816"/>
    <n v="1"/>
    <x v="1"/>
    <n v="22"/>
    <n v="4"/>
    <n v="1"/>
    <n v="1"/>
    <n v="9"/>
    <n v="5"/>
    <n v="3"/>
    <n v="9"/>
    <n v="8"/>
    <n v="0"/>
    <n v="8"/>
    <x v="2"/>
    <s v="Mid"/>
    <n v="6959.17264573991"/>
    <s v="Below salary"/>
    <s v="Medium Risk"/>
  </r>
  <r>
    <n v="35"/>
    <x v="1"/>
    <s v="Travel_Rarely"/>
    <n v="1343"/>
    <x v="1"/>
    <n v="27"/>
    <n v="1"/>
    <s v="Medical"/>
    <n v="856"/>
    <n v="3"/>
    <x v="0"/>
    <n v="53"/>
    <n v="2"/>
    <n v="1"/>
    <x v="1"/>
    <n v="1"/>
    <s v="Single"/>
    <x v="594"/>
    <n v="17852"/>
    <n v="1"/>
    <x v="1"/>
    <n v="11"/>
    <n v="3"/>
    <n v="4"/>
    <n v="0"/>
    <n v="6"/>
    <n v="3"/>
    <n v="2"/>
    <n v="6"/>
    <n v="5"/>
    <n v="1"/>
    <n v="1"/>
    <x v="2"/>
    <s v="Low"/>
    <n v="6281.2528616024974"/>
    <s v="Below salary"/>
    <s v="Medium Risk"/>
  </r>
  <r>
    <n v="36"/>
    <x v="1"/>
    <s v="Travel_Rarely"/>
    <n v="928"/>
    <x v="0"/>
    <n v="1"/>
    <n v="2"/>
    <s v="Life Sciences"/>
    <n v="857"/>
    <n v="2"/>
    <x v="1"/>
    <n v="56"/>
    <n v="3"/>
    <n v="2"/>
    <x v="0"/>
    <n v="4"/>
    <s v="Married"/>
    <x v="595"/>
    <n v="2823"/>
    <n v="1"/>
    <x v="0"/>
    <n v="14"/>
    <n v="3"/>
    <n v="4"/>
    <n v="1"/>
    <n v="18"/>
    <n v="1"/>
    <n v="2"/>
    <n v="18"/>
    <n v="14"/>
    <n v="4"/>
    <n v="11"/>
    <x v="0"/>
    <s v="Mid"/>
    <n v="6959.17264573991"/>
    <s v="Below salary"/>
    <s v="Medium Risk"/>
  </r>
  <r>
    <n v="32"/>
    <x v="1"/>
    <s v="Travel_Rarely"/>
    <n v="117"/>
    <x v="0"/>
    <n v="13"/>
    <n v="4"/>
    <s v="Life Sciences"/>
    <n v="859"/>
    <n v="2"/>
    <x v="1"/>
    <n v="73"/>
    <n v="3"/>
    <n v="2"/>
    <x v="0"/>
    <n v="4"/>
    <s v="Divorced"/>
    <x v="596"/>
    <n v="9250"/>
    <n v="2"/>
    <x v="1"/>
    <n v="11"/>
    <n v="3"/>
    <n v="3"/>
    <n v="1"/>
    <n v="8"/>
    <n v="3"/>
    <n v="2"/>
    <n v="5"/>
    <n v="2"/>
    <n v="0"/>
    <n v="3"/>
    <x v="2"/>
    <s v="Mid"/>
    <n v="6959.17264573991"/>
    <s v="Below salary"/>
    <s v="Low Risk"/>
  </r>
  <r>
    <n v="30"/>
    <x v="1"/>
    <s v="Travel_Frequently"/>
    <n v="1012"/>
    <x v="1"/>
    <n v="5"/>
    <n v="4"/>
    <s v="Life Sciences"/>
    <n v="861"/>
    <n v="2"/>
    <x v="1"/>
    <n v="75"/>
    <n v="2"/>
    <n v="1"/>
    <x v="1"/>
    <n v="4"/>
    <s v="Divorced"/>
    <x v="597"/>
    <n v="2373"/>
    <n v="9"/>
    <x v="1"/>
    <n v="12"/>
    <n v="3"/>
    <n v="2"/>
    <n v="1"/>
    <n v="10"/>
    <n v="3"/>
    <n v="2"/>
    <n v="5"/>
    <n v="4"/>
    <n v="0"/>
    <n v="3"/>
    <x v="2"/>
    <s v="Mid"/>
    <n v="6281.2528616024974"/>
    <s v="Below salary"/>
    <s v="Low Risk"/>
  </r>
  <r>
    <n v="53"/>
    <x v="1"/>
    <s v="Travel_Rarely"/>
    <n v="661"/>
    <x v="0"/>
    <n v="7"/>
    <n v="2"/>
    <s v="Marketing"/>
    <n v="862"/>
    <n v="1"/>
    <x v="0"/>
    <n v="78"/>
    <n v="2"/>
    <n v="3"/>
    <x v="0"/>
    <n v="4"/>
    <s v="Married"/>
    <x v="598"/>
    <n v="20715"/>
    <n v="7"/>
    <x v="0"/>
    <n v="18"/>
    <n v="3"/>
    <n v="4"/>
    <n v="1"/>
    <n v="35"/>
    <n v="3"/>
    <n v="3"/>
    <n v="5"/>
    <n v="2"/>
    <n v="0"/>
    <n v="4"/>
    <x v="1"/>
    <s v="High"/>
    <n v="6959.17264573991"/>
    <s v="Above salary"/>
    <s v="Medium Risk"/>
  </r>
  <r>
    <n v="45"/>
    <x v="1"/>
    <s v="Travel_Rarely"/>
    <n v="930"/>
    <x v="0"/>
    <n v="9"/>
    <n v="3"/>
    <s v="Marketing"/>
    <n v="864"/>
    <n v="4"/>
    <x v="1"/>
    <n v="74"/>
    <n v="3"/>
    <n v="3"/>
    <x v="0"/>
    <n v="1"/>
    <s v="Divorced"/>
    <x v="599"/>
    <n v="19239"/>
    <n v="4"/>
    <x v="0"/>
    <n v="12"/>
    <n v="3"/>
    <n v="3"/>
    <n v="1"/>
    <n v="18"/>
    <n v="2"/>
    <n v="3"/>
    <n v="5"/>
    <n v="4"/>
    <n v="0"/>
    <n v="2"/>
    <x v="0"/>
    <s v="High"/>
    <n v="6959.17264573991"/>
    <s v="Above salary"/>
    <s v="High Risk"/>
  </r>
  <r>
    <n v="32"/>
    <x v="1"/>
    <s v="Travel_Rarely"/>
    <n v="638"/>
    <x v="1"/>
    <n v="8"/>
    <n v="2"/>
    <s v="Medical"/>
    <n v="865"/>
    <n v="3"/>
    <x v="0"/>
    <n v="91"/>
    <n v="4"/>
    <n v="2"/>
    <x v="1"/>
    <n v="3"/>
    <s v="Married"/>
    <x v="600"/>
    <n v="22162"/>
    <n v="5"/>
    <x v="1"/>
    <n v="12"/>
    <n v="3"/>
    <n v="3"/>
    <n v="1"/>
    <n v="9"/>
    <n v="3"/>
    <n v="2"/>
    <n v="5"/>
    <n v="3"/>
    <n v="1"/>
    <n v="3"/>
    <x v="2"/>
    <s v="Mid"/>
    <n v="6281.2528616024974"/>
    <s v="Below salary"/>
    <s v="Low Risk"/>
  </r>
  <r>
    <n v="52"/>
    <x v="1"/>
    <s v="Travel_Frequently"/>
    <n v="890"/>
    <x v="1"/>
    <n v="25"/>
    <n v="4"/>
    <s v="Medical"/>
    <n v="867"/>
    <n v="3"/>
    <x v="0"/>
    <n v="81"/>
    <n v="2"/>
    <n v="4"/>
    <x v="3"/>
    <n v="4"/>
    <s v="Married"/>
    <x v="601"/>
    <n v="19028"/>
    <n v="3"/>
    <x v="1"/>
    <n v="22"/>
    <n v="4"/>
    <n v="3"/>
    <n v="0"/>
    <n v="31"/>
    <n v="3"/>
    <n v="3"/>
    <n v="9"/>
    <n v="8"/>
    <n v="0"/>
    <n v="0"/>
    <x v="1"/>
    <s v="Very High"/>
    <n v="6281.2528616024974"/>
    <s v="Above salary"/>
    <s v="Low Risk"/>
  </r>
  <r>
    <n v="37"/>
    <x v="1"/>
    <s v="Travel_Rarely"/>
    <n v="342"/>
    <x v="0"/>
    <n v="16"/>
    <n v="4"/>
    <s v="Marketing"/>
    <n v="868"/>
    <n v="4"/>
    <x v="1"/>
    <n v="66"/>
    <n v="2"/>
    <n v="2"/>
    <x v="0"/>
    <n v="3"/>
    <s v="Divorced"/>
    <x v="602"/>
    <n v="24558"/>
    <n v="4"/>
    <x v="1"/>
    <n v="19"/>
    <n v="3"/>
    <n v="4"/>
    <n v="2"/>
    <n v="9"/>
    <n v="2"/>
    <n v="3"/>
    <n v="1"/>
    <n v="0"/>
    <n v="0"/>
    <n v="0"/>
    <x v="0"/>
    <s v="Mid"/>
    <n v="6959.17264573991"/>
    <s v="Below salary"/>
    <s v="Low Risk"/>
  </r>
  <r>
    <n v="28"/>
    <x v="1"/>
    <s v="Travel_Rarely"/>
    <n v="1169"/>
    <x v="2"/>
    <n v="8"/>
    <n v="2"/>
    <s v="Medical"/>
    <n v="869"/>
    <n v="2"/>
    <x v="1"/>
    <n v="63"/>
    <n v="2"/>
    <n v="1"/>
    <x v="8"/>
    <n v="4"/>
    <s v="Divorced"/>
    <x v="365"/>
    <n v="23965"/>
    <n v="1"/>
    <x v="1"/>
    <n v="13"/>
    <n v="3"/>
    <n v="4"/>
    <n v="1"/>
    <n v="6"/>
    <n v="6"/>
    <n v="3"/>
    <n v="5"/>
    <n v="1"/>
    <n v="0"/>
    <n v="4"/>
    <x v="2"/>
    <s v="Mid"/>
    <n v="6654.5079365079364"/>
    <s v="Below salary"/>
    <s v="Low Risk"/>
  </r>
  <r>
    <n v="22"/>
    <x v="1"/>
    <s v="Travel_Rarely"/>
    <n v="1230"/>
    <x v="1"/>
    <n v="1"/>
    <n v="2"/>
    <s v="Life Sciences"/>
    <n v="872"/>
    <n v="4"/>
    <x v="1"/>
    <n v="33"/>
    <n v="2"/>
    <n v="2"/>
    <x v="3"/>
    <n v="4"/>
    <s v="Married"/>
    <x v="603"/>
    <n v="19146"/>
    <n v="6"/>
    <x v="1"/>
    <n v="22"/>
    <n v="4"/>
    <n v="1"/>
    <n v="2"/>
    <n v="4"/>
    <n v="2"/>
    <n v="1"/>
    <n v="2"/>
    <n v="2"/>
    <n v="2"/>
    <n v="2"/>
    <x v="3"/>
    <s v="Mid"/>
    <n v="6281.2528616024974"/>
    <s v="Below salary"/>
    <s v="Low Risk"/>
  </r>
  <r>
    <n v="44"/>
    <x v="1"/>
    <s v="Travel_Rarely"/>
    <n v="986"/>
    <x v="1"/>
    <n v="8"/>
    <n v="4"/>
    <s v="Life Sciences"/>
    <n v="874"/>
    <n v="1"/>
    <x v="1"/>
    <n v="62"/>
    <n v="4"/>
    <n v="1"/>
    <x v="2"/>
    <n v="4"/>
    <s v="Married"/>
    <x v="604"/>
    <n v="5044"/>
    <n v="2"/>
    <x v="0"/>
    <n v="24"/>
    <n v="4"/>
    <n v="3"/>
    <n v="1"/>
    <n v="10"/>
    <n v="2"/>
    <n v="2"/>
    <n v="3"/>
    <n v="2"/>
    <n v="0"/>
    <n v="2"/>
    <x v="0"/>
    <s v="Low"/>
    <n v="6281.2528616024974"/>
    <s v="Below salary"/>
    <s v="Medium Risk"/>
  </r>
  <r>
    <n v="42"/>
    <x v="1"/>
    <s v="Travel_Frequently"/>
    <n v="1271"/>
    <x v="1"/>
    <n v="2"/>
    <n v="1"/>
    <s v="Medical"/>
    <n v="875"/>
    <n v="2"/>
    <x v="1"/>
    <n v="35"/>
    <n v="3"/>
    <n v="1"/>
    <x v="1"/>
    <n v="4"/>
    <s v="Single"/>
    <x v="605"/>
    <n v="9068"/>
    <n v="5"/>
    <x v="0"/>
    <n v="14"/>
    <n v="3"/>
    <n v="4"/>
    <n v="0"/>
    <n v="8"/>
    <n v="2"/>
    <n v="3"/>
    <n v="2"/>
    <n v="1"/>
    <n v="2"/>
    <n v="2"/>
    <x v="0"/>
    <s v="Low"/>
    <n v="6281.2528616024974"/>
    <s v="Below salary"/>
    <s v="Medium Risk"/>
  </r>
  <r>
    <n v="36"/>
    <x v="1"/>
    <s v="Travel_Rarely"/>
    <n v="1278"/>
    <x v="2"/>
    <n v="8"/>
    <n v="3"/>
    <s v="Life Sciences"/>
    <n v="878"/>
    <n v="1"/>
    <x v="1"/>
    <n v="77"/>
    <n v="2"/>
    <n v="1"/>
    <x v="8"/>
    <n v="1"/>
    <s v="Married"/>
    <x v="531"/>
    <n v="8635"/>
    <n v="0"/>
    <x v="1"/>
    <n v="21"/>
    <n v="4"/>
    <n v="3"/>
    <n v="0"/>
    <n v="6"/>
    <n v="3"/>
    <n v="3"/>
    <n v="5"/>
    <n v="4"/>
    <n v="0"/>
    <n v="3"/>
    <x v="0"/>
    <s v="Low"/>
    <n v="6654.5079365079364"/>
    <s v="Below salary"/>
    <s v="Medium Risk"/>
  </r>
  <r>
    <n v="25"/>
    <x v="1"/>
    <s v="Travel_Rarely"/>
    <n v="141"/>
    <x v="0"/>
    <n v="3"/>
    <n v="1"/>
    <s v="Other"/>
    <n v="879"/>
    <n v="3"/>
    <x v="1"/>
    <n v="98"/>
    <n v="3"/>
    <n v="2"/>
    <x v="0"/>
    <n v="1"/>
    <s v="Married"/>
    <x v="606"/>
    <n v="14363"/>
    <n v="1"/>
    <x v="0"/>
    <n v="18"/>
    <n v="3"/>
    <n v="4"/>
    <n v="0"/>
    <n v="5"/>
    <n v="3"/>
    <n v="3"/>
    <n v="5"/>
    <n v="3"/>
    <n v="0"/>
    <n v="3"/>
    <x v="3"/>
    <s v="Mid"/>
    <n v="6959.17264573991"/>
    <s v="Below salary"/>
    <s v="High Risk"/>
  </r>
  <r>
    <n v="35"/>
    <x v="1"/>
    <s v="Travel_Rarely"/>
    <n v="607"/>
    <x v="1"/>
    <n v="9"/>
    <n v="3"/>
    <s v="Life Sciences"/>
    <n v="880"/>
    <n v="4"/>
    <x v="0"/>
    <n v="66"/>
    <n v="2"/>
    <n v="3"/>
    <x v="3"/>
    <n v="3"/>
    <s v="Married"/>
    <x v="607"/>
    <n v="23457"/>
    <n v="1"/>
    <x v="0"/>
    <n v="20"/>
    <n v="4"/>
    <n v="2"/>
    <n v="1"/>
    <n v="17"/>
    <n v="2"/>
    <n v="3"/>
    <n v="17"/>
    <n v="14"/>
    <n v="5"/>
    <n v="15"/>
    <x v="2"/>
    <s v="High"/>
    <n v="6281.2528616024974"/>
    <s v="Above salary"/>
    <s v="Medium Risk"/>
  </r>
  <r>
    <n v="35"/>
    <x v="0"/>
    <s v="Travel_Frequently"/>
    <n v="130"/>
    <x v="1"/>
    <n v="25"/>
    <n v="4"/>
    <s v="Life Sciences"/>
    <n v="881"/>
    <n v="4"/>
    <x v="0"/>
    <n v="96"/>
    <n v="3"/>
    <n v="1"/>
    <x v="1"/>
    <n v="2"/>
    <s v="Divorced"/>
    <x v="608"/>
    <n v="16612"/>
    <n v="1"/>
    <x v="0"/>
    <n v="19"/>
    <n v="3"/>
    <n v="1"/>
    <n v="1"/>
    <n v="10"/>
    <n v="3"/>
    <n v="2"/>
    <n v="10"/>
    <n v="2"/>
    <n v="7"/>
    <n v="8"/>
    <x v="2"/>
    <s v="Low"/>
    <n v="6281.2528616024974"/>
    <s v="Below salary"/>
    <s v="High Risk"/>
  </r>
  <r>
    <n v="32"/>
    <x v="1"/>
    <s v="Non-Travel"/>
    <n v="300"/>
    <x v="1"/>
    <n v="1"/>
    <n v="3"/>
    <s v="Life Sciences"/>
    <n v="882"/>
    <n v="4"/>
    <x v="1"/>
    <n v="61"/>
    <n v="3"/>
    <n v="1"/>
    <x v="2"/>
    <n v="4"/>
    <s v="Divorced"/>
    <x v="609"/>
    <n v="9148"/>
    <n v="0"/>
    <x v="1"/>
    <n v="12"/>
    <n v="3"/>
    <n v="2"/>
    <n v="1"/>
    <n v="4"/>
    <n v="2"/>
    <n v="3"/>
    <n v="3"/>
    <n v="0"/>
    <n v="0"/>
    <n v="2"/>
    <x v="2"/>
    <s v="Low"/>
    <n v="6281.2528616024974"/>
    <s v="Below salary"/>
    <s v="Low Risk"/>
  </r>
  <r>
    <n v="25"/>
    <x v="1"/>
    <s v="Travel_Rarely"/>
    <n v="583"/>
    <x v="0"/>
    <n v="4"/>
    <n v="1"/>
    <s v="Marketing"/>
    <n v="885"/>
    <n v="3"/>
    <x v="1"/>
    <n v="87"/>
    <n v="2"/>
    <n v="2"/>
    <x v="0"/>
    <n v="1"/>
    <s v="Married"/>
    <x v="610"/>
    <n v="18154"/>
    <n v="1"/>
    <x v="1"/>
    <n v="12"/>
    <n v="3"/>
    <n v="1"/>
    <n v="0"/>
    <n v="5"/>
    <n v="1"/>
    <n v="4"/>
    <n v="5"/>
    <n v="2"/>
    <n v="0"/>
    <n v="3"/>
    <x v="3"/>
    <s v="Mid"/>
    <n v="6959.17264573991"/>
    <s v="Below salary"/>
    <s v="Medium Risk"/>
  </r>
  <r>
    <n v="49"/>
    <x v="1"/>
    <s v="Travel_Rarely"/>
    <n v="1418"/>
    <x v="1"/>
    <n v="1"/>
    <n v="3"/>
    <s v="Technical Degree"/>
    <n v="887"/>
    <n v="3"/>
    <x v="0"/>
    <n v="36"/>
    <n v="3"/>
    <n v="1"/>
    <x v="1"/>
    <n v="1"/>
    <s v="Married"/>
    <x v="611"/>
    <n v="10554"/>
    <n v="2"/>
    <x v="1"/>
    <n v="16"/>
    <n v="3"/>
    <n v="2"/>
    <n v="1"/>
    <n v="7"/>
    <n v="2"/>
    <n v="3"/>
    <n v="4"/>
    <n v="2"/>
    <n v="0"/>
    <n v="2"/>
    <x v="1"/>
    <s v="Mid"/>
    <n v="6281.2528616024974"/>
    <s v="Below salary"/>
    <s v="Medium Risk"/>
  </r>
  <r>
    <n v="24"/>
    <x v="1"/>
    <s v="Non-Travel"/>
    <n v="1269"/>
    <x v="1"/>
    <n v="4"/>
    <n v="1"/>
    <s v="Life Sciences"/>
    <n v="888"/>
    <n v="1"/>
    <x v="1"/>
    <n v="46"/>
    <n v="2"/>
    <n v="1"/>
    <x v="2"/>
    <n v="4"/>
    <s v="Married"/>
    <x v="612"/>
    <n v="10778"/>
    <n v="0"/>
    <x v="1"/>
    <n v="17"/>
    <n v="3"/>
    <n v="4"/>
    <n v="0"/>
    <n v="6"/>
    <n v="2"/>
    <n v="2"/>
    <n v="5"/>
    <n v="2"/>
    <n v="3"/>
    <n v="4"/>
    <x v="3"/>
    <s v="Mid"/>
    <n v="6281.2528616024974"/>
    <s v="Below salary"/>
    <s v="Low Risk"/>
  </r>
  <r>
    <n v="32"/>
    <x v="1"/>
    <s v="Travel_Frequently"/>
    <n v="379"/>
    <x v="0"/>
    <n v="5"/>
    <n v="2"/>
    <s v="Life Sciences"/>
    <n v="889"/>
    <n v="2"/>
    <x v="1"/>
    <n v="48"/>
    <n v="3"/>
    <n v="2"/>
    <x v="0"/>
    <n v="2"/>
    <s v="Married"/>
    <x v="613"/>
    <n v="8891"/>
    <n v="1"/>
    <x v="1"/>
    <n v="14"/>
    <n v="3"/>
    <n v="4"/>
    <n v="1"/>
    <n v="10"/>
    <n v="3"/>
    <n v="3"/>
    <n v="10"/>
    <n v="8"/>
    <n v="5"/>
    <n v="3"/>
    <x v="2"/>
    <s v="Mid"/>
    <n v="6959.17264573991"/>
    <s v="Below salary"/>
    <s v="Medium Risk"/>
  </r>
  <r>
    <n v="38"/>
    <x v="1"/>
    <s v="Travel_Rarely"/>
    <n v="395"/>
    <x v="0"/>
    <n v="9"/>
    <n v="3"/>
    <s v="Marketing"/>
    <n v="893"/>
    <n v="2"/>
    <x v="1"/>
    <n v="98"/>
    <n v="2"/>
    <n v="1"/>
    <x v="6"/>
    <n v="2"/>
    <s v="Married"/>
    <x v="614"/>
    <n v="12102"/>
    <n v="0"/>
    <x v="1"/>
    <n v="19"/>
    <n v="3"/>
    <n v="4"/>
    <n v="1"/>
    <n v="3"/>
    <n v="3"/>
    <n v="3"/>
    <n v="2"/>
    <n v="2"/>
    <n v="1"/>
    <n v="2"/>
    <x v="0"/>
    <s v="Low"/>
    <n v="6959.17264573991"/>
    <s v="Below salary"/>
    <s v="Medium Risk"/>
  </r>
  <r>
    <n v="42"/>
    <x v="1"/>
    <s v="Travel_Rarely"/>
    <n v="1265"/>
    <x v="1"/>
    <n v="3"/>
    <n v="3"/>
    <s v="Life Sciences"/>
    <n v="894"/>
    <n v="3"/>
    <x v="0"/>
    <n v="95"/>
    <n v="4"/>
    <n v="2"/>
    <x v="2"/>
    <n v="4"/>
    <s v="Married"/>
    <x v="615"/>
    <n v="23726"/>
    <n v="2"/>
    <x v="0"/>
    <n v="13"/>
    <n v="3"/>
    <n v="2"/>
    <n v="1"/>
    <n v="17"/>
    <n v="1"/>
    <n v="2"/>
    <n v="5"/>
    <n v="3"/>
    <n v="1"/>
    <n v="3"/>
    <x v="0"/>
    <s v="Mid"/>
    <n v="6281.2528616024974"/>
    <s v="Below salary"/>
    <s v="Medium Risk"/>
  </r>
  <r>
    <n v="31"/>
    <x v="1"/>
    <s v="Travel_Rarely"/>
    <n v="1222"/>
    <x v="1"/>
    <n v="11"/>
    <n v="4"/>
    <s v="Life Sciences"/>
    <n v="895"/>
    <n v="4"/>
    <x v="1"/>
    <n v="48"/>
    <n v="3"/>
    <n v="1"/>
    <x v="1"/>
    <n v="4"/>
    <s v="Married"/>
    <x v="616"/>
    <n v="14871"/>
    <n v="3"/>
    <x v="0"/>
    <n v="19"/>
    <n v="3"/>
    <n v="2"/>
    <n v="1"/>
    <n v="8"/>
    <n v="2"/>
    <n v="3"/>
    <n v="6"/>
    <n v="4"/>
    <n v="0"/>
    <n v="2"/>
    <x v="2"/>
    <s v="Low"/>
    <n v="6281.2528616024974"/>
    <s v="Below salary"/>
    <s v="Medium Risk"/>
  </r>
  <r>
    <n v="29"/>
    <x v="0"/>
    <s v="Travel_Rarely"/>
    <n v="341"/>
    <x v="0"/>
    <n v="1"/>
    <n v="3"/>
    <s v="Medical"/>
    <n v="896"/>
    <n v="2"/>
    <x v="0"/>
    <n v="48"/>
    <n v="2"/>
    <n v="1"/>
    <x v="6"/>
    <n v="3"/>
    <s v="Divorced"/>
    <x v="617"/>
    <n v="23522"/>
    <n v="6"/>
    <x v="0"/>
    <n v="19"/>
    <n v="3"/>
    <n v="3"/>
    <n v="3"/>
    <n v="5"/>
    <n v="3"/>
    <n v="3"/>
    <n v="3"/>
    <n v="2"/>
    <n v="0"/>
    <n v="2"/>
    <x v="2"/>
    <s v="Low"/>
    <n v="6959.17264573991"/>
    <s v="Below salary"/>
    <s v="Medium Risk"/>
  </r>
  <r>
    <n v="53"/>
    <x v="1"/>
    <s v="Travel_Rarely"/>
    <n v="868"/>
    <x v="0"/>
    <n v="8"/>
    <n v="3"/>
    <s v="Marketing"/>
    <n v="897"/>
    <n v="1"/>
    <x v="1"/>
    <n v="73"/>
    <n v="3"/>
    <n v="4"/>
    <x v="0"/>
    <n v="4"/>
    <s v="Married"/>
    <x v="618"/>
    <n v="22789"/>
    <n v="5"/>
    <x v="1"/>
    <n v="14"/>
    <n v="3"/>
    <n v="3"/>
    <n v="1"/>
    <n v="28"/>
    <n v="3"/>
    <n v="3"/>
    <n v="2"/>
    <n v="0"/>
    <n v="2"/>
    <n v="2"/>
    <x v="1"/>
    <s v="High"/>
    <n v="6959.17264573991"/>
    <s v="Above salary"/>
    <s v="Low Risk"/>
  </r>
  <r>
    <n v="35"/>
    <x v="1"/>
    <s v="Travel_Rarely"/>
    <n v="672"/>
    <x v="1"/>
    <n v="25"/>
    <n v="3"/>
    <s v="Technical Degree"/>
    <n v="899"/>
    <n v="4"/>
    <x v="1"/>
    <n v="78"/>
    <n v="2"/>
    <n v="3"/>
    <x v="3"/>
    <n v="2"/>
    <s v="Married"/>
    <x v="619"/>
    <n v="9129"/>
    <n v="3"/>
    <x v="1"/>
    <n v="16"/>
    <n v="3"/>
    <n v="1"/>
    <n v="0"/>
    <n v="16"/>
    <n v="2"/>
    <n v="3"/>
    <n v="13"/>
    <n v="10"/>
    <n v="4"/>
    <n v="8"/>
    <x v="2"/>
    <s v="High"/>
    <n v="6281.2528616024974"/>
    <s v="Above salary"/>
    <s v="Medium Risk"/>
  </r>
  <r>
    <n v="37"/>
    <x v="1"/>
    <s v="Travel_Frequently"/>
    <n v="1231"/>
    <x v="0"/>
    <n v="21"/>
    <n v="2"/>
    <s v="Medical"/>
    <n v="900"/>
    <n v="3"/>
    <x v="0"/>
    <n v="54"/>
    <n v="3"/>
    <n v="1"/>
    <x v="6"/>
    <n v="4"/>
    <s v="Married"/>
    <x v="620"/>
    <n v="21222"/>
    <n v="5"/>
    <x v="1"/>
    <n v="15"/>
    <n v="3"/>
    <n v="2"/>
    <n v="1"/>
    <n v="10"/>
    <n v="3"/>
    <n v="3"/>
    <n v="5"/>
    <n v="4"/>
    <n v="0"/>
    <n v="0"/>
    <x v="0"/>
    <s v="Low"/>
    <n v="6959.17264573991"/>
    <s v="Below salary"/>
    <s v="Low Risk"/>
  </r>
  <r>
    <n v="53"/>
    <x v="1"/>
    <s v="Travel_Rarely"/>
    <n v="102"/>
    <x v="1"/>
    <n v="23"/>
    <n v="4"/>
    <s v="Life Sciences"/>
    <n v="901"/>
    <n v="4"/>
    <x v="0"/>
    <n v="72"/>
    <n v="3"/>
    <n v="4"/>
    <x v="7"/>
    <n v="4"/>
    <s v="Single"/>
    <x v="621"/>
    <n v="20206"/>
    <n v="6"/>
    <x v="1"/>
    <n v="18"/>
    <n v="3"/>
    <n v="3"/>
    <n v="0"/>
    <n v="33"/>
    <n v="0"/>
    <n v="3"/>
    <n v="12"/>
    <n v="9"/>
    <n v="3"/>
    <n v="8"/>
    <x v="1"/>
    <s v="Very High"/>
    <n v="6281.2528616024974"/>
    <s v="Above salary"/>
    <s v="Low Risk"/>
  </r>
  <r>
    <n v="43"/>
    <x v="1"/>
    <s v="Travel_Frequently"/>
    <n v="422"/>
    <x v="1"/>
    <n v="1"/>
    <n v="3"/>
    <s v="Life Sciences"/>
    <n v="902"/>
    <n v="4"/>
    <x v="0"/>
    <n v="33"/>
    <n v="3"/>
    <n v="2"/>
    <x v="4"/>
    <n v="4"/>
    <s v="Married"/>
    <x v="622"/>
    <n v="21782"/>
    <n v="4"/>
    <x v="1"/>
    <n v="13"/>
    <n v="3"/>
    <n v="2"/>
    <n v="1"/>
    <n v="12"/>
    <n v="2"/>
    <n v="2"/>
    <n v="5"/>
    <n v="2"/>
    <n v="2"/>
    <n v="2"/>
    <x v="0"/>
    <s v="Mid"/>
    <n v="6281.2528616024974"/>
    <s v="Below salary"/>
    <s v="Low Risk"/>
  </r>
  <r>
    <n v="47"/>
    <x v="1"/>
    <s v="Travel_Rarely"/>
    <n v="249"/>
    <x v="0"/>
    <n v="2"/>
    <n v="2"/>
    <s v="Marketing"/>
    <n v="903"/>
    <n v="3"/>
    <x v="0"/>
    <n v="35"/>
    <n v="3"/>
    <n v="2"/>
    <x v="0"/>
    <n v="4"/>
    <s v="Married"/>
    <x v="623"/>
    <n v="17783"/>
    <n v="0"/>
    <x v="0"/>
    <n v="22"/>
    <n v="4"/>
    <n v="1"/>
    <n v="1"/>
    <n v="8"/>
    <n v="2"/>
    <n v="3"/>
    <n v="7"/>
    <n v="6"/>
    <n v="7"/>
    <n v="7"/>
    <x v="1"/>
    <s v="Mid"/>
    <n v="6959.17264573991"/>
    <s v="Below salary"/>
    <s v="Medium Risk"/>
  </r>
  <r>
    <n v="37"/>
    <x v="1"/>
    <s v="Non-Travel"/>
    <n v="1252"/>
    <x v="0"/>
    <n v="19"/>
    <n v="2"/>
    <s v="Medical"/>
    <n v="904"/>
    <n v="1"/>
    <x v="1"/>
    <n v="32"/>
    <n v="3"/>
    <n v="3"/>
    <x v="0"/>
    <n v="2"/>
    <s v="Single"/>
    <x v="624"/>
    <n v="4814"/>
    <n v="1"/>
    <x v="0"/>
    <n v="13"/>
    <n v="3"/>
    <n v="4"/>
    <n v="0"/>
    <n v="10"/>
    <n v="2"/>
    <n v="3"/>
    <n v="10"/>
    <n v="0"/>
    <n v="0"/>
    <n v="9"/>
    <x v="0"/>
    <s v="High"/>
    <n v="6959.17264573991"/>
    <s v="Above salary"/>
    <s v="High Risk"/>
  </r>
  <r>
    <n v="50"/>
    <x v="1"/>
    <s v="Non-Travel"/>
    <n v="881"/>
    <x v="1"/>
    <n v="2"/>
    <n v="4"/>
    <s v="Life Sciences"/>
    <n v="905"/>
    <n v="1"/>
    <x v="1"/>
    <n v="98"/>
    <n v="3"/>
    <n v="4"/>
    <x v="5"/>
    <n v="1"/>
    <s v="Divorced"/>
    <x v="625"/>
    <n v="4544"/>
    <n v="1"/>
    <x v="1"/>
    <n v="11"/>
    <n v="3"/>
    <n v="4"/>
    <n v="1"/>
    <n v="31"/>
    <n v="3"/>
    <n v="3"/>
    <n v="31"/>
    <n v="6"/>
    <n v="14"/>
    <n v="7"/>
    <x v="1"/>
    <s v="Very High"/>
    <n v="6281.2528616024974"/>
    <s v="Above salary"/>
    <s v="Medium Risk"/>
  </r>
  <r>
    <n v="39"/>
    <x v="1"/>
    <s v="Travel_Rarely"/>
    <n v="1383"/>
    <x v="2"/>
    <n v="2"/>
    <n v="3"/>
    <s v="Life Sciences"/>
    <n v="909"/>
    <n v="4"/>
    <x v="0"/>
    <n v="42"/>
    <n v="2"/>
    <n v="2"/>
    <x v="8"/>
    <n v="4"/>
    <s v="Married"/>
    <x v="626"/>
    <n v="7790"/>
    <n v="8"/>
    <x v="1"/>
    <n v="11"/>
    <n v="3"/>
    <n v="3"/>
    <n v="2"/>
    <n v="13"/>
    <n v="2"/>
    <n v="3"/>
    <n v="5"/>
    <n v="4"/>
    <n v="0"/>
    <n v="4"/>
    <x v="0"/>
    <s v="Mid"/>
    <n v="6654.5079365079364"/>
    <s v="Below salary"/>
    <s v="Low Risk"/>
  </r>
  <r>
    <n v="33"/>
    <x v="1"/>
    <s v="Travel_Rarely"/>
    <n v="1075"/>
    <x v="2"/>
    <n v="3"/>
    <n v="2"/>
    <s v="Human Resources"/>
    <n v="910"/>
    <n v="4"/>
    <x v="1"/>
    <n v="57"/>
    <n v="3"/>
    <n v="1"/>
    <x v="8"/>
    <n v="2"/>
    <s v="Divorced"/>
    <x v="627"/>
    <n v="22650"/>
    <n v="3"/>
    <x v="0"/>
    <n v="11"/>
    <n v="3"/>
    <n v="3"/>
    <n v="1"/>
    <n v="7"/>
    <n v="4"/>
    <n v="4"/>
    <n v="4"/>
    <n v="3"/>
    <n v="0"/>
    <n v="3"/>
    <x v="2"/>
    <s v="Low"/>
    <n v="6654.5079365079364"/>
    <s v="Below salary"/>
    <s v="High Risk"/>
  </r>
  <r>
    <n v="32"/>
    <x v="0"/>
    <s v="Travel_Rarely"/>
    <n v="374"/>
    <x v="1"/>
    <n v="25"/>
    <n v="4"/>
    <s v="Life Sciences"/>
    <n v="911"/>
    <n v="1"/>
    <x v="1"/>
    <n v="87"/>
    <n v="3"/>
    <n v="1"/>
    <x v="2"/>
    <n v="4"/>
    <s v="Single"/>
    <x v="628"/>
    <n v="18016"/>
    <n v="1"/>
    <x v="0"/>
    <n v="24"/>
    <n v="4"/>
    <n v="3"/>
    <n v="0"/>
    <n v="1"/>
    <n v="2"/>
    <n v="1"/>
    <n v="1"/>
    <n v="0"/>
    <n v="0"/>
    <n v="1"/>
    <x v="2"/>
    <s v="Low"/>
    <n v="6281.2528616024974"/>
    <s v="Below salary"/>
    <s v="Medium Risk"/>
  </r>
  <r>
    <n v="29"/>
    <x v="1"/>
    <s v="Travel_Rarely"/>
    <n v="1086"/>
    <x v="1"/>
    <n v="7"/>
    <n v="1"/>
    <s v="Medical"/>
    <n v="912"/>
    <n v="1"/>
    <x v="0"/>
    <n v="62"/>
    <n v="2"/>
    <n v="1"/>
    <x v="2"/>
    <n v="4"/>
    <s v="Divorced"/>
    <x v="629"/>
    <n v="6054"/>
    <n v="6"/>
    <x v="1"/>
    <n v="14"/>
    <n v="3"/>
    <n v="3"/>
    <n v="3"/>
    <n v="8"/>
    <n v="5"/>
    <n v="3"/>
    <n v="4"/>
    <n v="3"/>
    <n v="0"/>
    <n v="3"/>
    <x v="2"/>
    <s v="Low"/>
    <n v="6281.2528616024974"/>
    <s v="Below salary"/>
    <s v="Low Risk"/>
  </r>
  <r>
    <n v="44"/>
    <x v="1"/>
    <s v="Travel_Rarely"/>
    <n v="661"/>
    <x v="1"/>
    <n v="9"/>
    <n v="2"/>
    <s v="Life Sciences"/>
    <n v="913"/>
    <n v="2"/>
    <x v="1"/>
    <n v="61"/>
    <n v="3"/>
    <n v="1"/>
    <x v="1"/>
    <n v="1"/>
    <s v="Married"/>
    <x v="594"/>
    <n v="7508"/>
    <n v="1"/>
    <x v="0"/>
    <n v="13"/>
    <n v="3"/>
    <n v="4"/>
    <n v="0"/>
    <n v="8"/>
    <n v="0"/>
    <n v="3"/>
    <n v="8"/>
    <n v="7"/>
    <n v="7"/>
    <n v="1"/>
    <x v="0"/>
    <s v="Low"/>
    <n v="6281.2528616024974"/>
    <s v="Below salary"/>
    <s v="High Risk"/>
  </r>
  <r>
    <n v="28"/>
    <x v="1"/>
    <s v="Travel_Rarely"/>
    <n v="821"/>
    <x v="0"/>
    <n v="5"/>
    <n v="4"/>
    <s v="Medical"/>
    <n v="916"/>
    <n v="1"/>
    <x v="1"/>
    <n v="98"/>
    <n v="3"/>
    <n v="2"/>
    <x v="0"/>
    <n v="4"/>
    <s v="Single"/>
    <x v="630"/>
    <n v="24252"/>
    <n v="1"/>
    <x v="1"/>
    <n v="14"/>
    <n v="3"/>
    <n v="2"/>
    <n v="0"/>
    <n v="4"/>
    <n v="3"/>
    <n v="3"/>
    <n v="4"/>
    <n v="2"/>
    <n v="0"/>
    <n v="2"/>
    <x v="2"/>
    <s v="Mid"/>
    <n v="6959.17264573991"/>
    <s v="Below salary"/>
    <s v="Low Risk"/>
  </r>
  <r>
    <n v="58"/>
    <x v="0"/>
    <s v="Travel_Frequently"/>
    <n v="781"/>
    <x v="1"/>
    <n v="2"/>
    <n v="1"/>
    <s v="Life Sciences"/>
    <n v="918"/>
    <n v="4"/>
    <x v="1"/>
    <n v="57"/>
    <n v="2"/>
    <n v="1"/>
    <x v="2"/>
    <n v="4"/>
    <s v="Divorced"/>
    <x v="631"/>
    <n v="13384"/>
    <n v="9"/>
    <x v="0"/>
    <n v="14"/>
    <n v="3"/>
    <n v="4"/>
    <n v="1"/>
    <n v="3"/>
    <n v="3"/>
    <n v="2"/>
    <n v="1"/>
    <n v="0"/>
    <n v="0"/>
    <n v="0"/>
    <x v="1"/>
    <s v="Low"/>
    <n v="6281.2528616024974"/>
    <s v="Below salary"/>
    <s v="Medium Risk"/>
  </r>
  <r>
    <n v="43"/>
    <x v="1"/>
    <s v="Travel_Rarely"/>
    <n v="177"/>
    <x v="1"/>
    <n v="8"/>
    <n v="3"/>
    <s v="Life Sciences"/>
    <n v="920"/>
    <n v="1"/>
    <x v="0"/>
    <n v="55"/>
    <n v="3"/>
    <n v="2"/>
    <x v="3"/>
    <n v="2"/>
    <s v="Divorced"/>
    <x v="632"/>
    <n v="23814"/>
    <n v="4"/>
    <x v="1"/>
    <n v="21"/>
    <n v="4"/>
    <n v="3"/>
    <n v="1"/>
    <n v="4"/>
    <n v="2"/>
    <n v="4"/>
    <n v="1"/>
    <n v="0"/>
    <n v="0"/>
    <n v="0"/>
    <x v="0"/>
    <s v="Mid"/>
    <n v="6281.2528616024974"/>
    <s v="Below salary"/>
    <s v="Medium Risk"/>
  </r>
  <r>
    <n v="20"/>
    <x v="0"/>
    <s v="Travel_Rarely"/>
    <n v="500"/>
    <x v="0"/>
    <n v="2"/>
    <n v="3"/>
    <s v="Medical"/>
    <n v="922"/>
    <n v="3"/>
    <x v="0"/>
    <n v="49"/>
    <n v="2"/>
    <n v="1"/>
    <x v="6"/>
    <n v="3"/>
    <s v="Single"/>
    <x v="633"/>
    <n v="22052"/>
    <n v="1"/>
    <x v="1"/>
    <n v="13"/>
    <n v="3"/>
    <n v="4"/>
    <n v="0"/>
    <n v="2"/>
    <n v="3"/>
    <n v="2"/>
    <n v="2"/>
    <n v="2"/>
    <n v="0"/>
    <n v="2"/>
    <x v="3"/>
    <s v="Low"/>
    <n v="6959.17264573991"/>
    <s v="Below salary"/>
    <s v="Low Risk"/>
  </r>
  <r>
    <n v="21"/>
    <x v="0"/>
    <s v="Travel_Rarely"/>
    <n v="1427"/>
    <x v="1"/>
    <n v="18"/>
    <n v="1"/>
    <s v="Other"/>
    <n v="923"/>
    <n v="4"/>
    <x v="0"/>
    <n v="65"/>
    <n v="3"/>
    <n v="1"/>
    <x v="1"/>
    <n v="4"/>
    <s v="Single"/>
    <x v="7"/>
    <n v="8870"/>
    <n v="1"/>
    <x v="1"/>
    <n v="19"/>
    <n v="3"/>
    <n v="1"/>
    <n v="0"/>
    <n v="1"/>
    <n v="3"/>
    <n v="2"/>
    <n v="1"/>
    <n v="0"/>
    <n v="0"/>
    <n v="0"/>
    <x v="3"/>
    <s v="Low"/>
    <n v="6281.2528616024974"/>
    <s v="Below salary"/>
    <s v="Low Risk"/>
  </r>
  <r>
    <n v="36"/>
    <x v="1"/>
    <s v="Travel_Rarely"/>
    <n v="1425"/>
    <x v="1"/>
    <n v="14"/>
    <n v="1"/>
    <s v="Life Sciences"/>
    <n v="924"/>
    <n v="3"/>
    <x v="1"/>
    <n v="68"/>
    <n v="3"/>
    <n v="2"/>
    <x v="4"/>
    <n v="4"/>
    <s v="Married"/>
    <x v="634"/>
    <n v="4821"/>
    <n v="0"/>
    <x v="0"/>
    <n v="17"/>
    <n v="3"/>
    <n v="1"/>
    <n v="1"/>
    <n v="17"/>
    <n v="2"/>
    <n v="2"/>
    <n v="16"/>
    <n v="8"/>
    <n v="4"/>
    <n v="11"/>
    <x v="0"/>
    <s v="Mid"/>
    <n v="6281.2528616024974"/>
    <s v="Above salary"/>
    <s v="Medium Risk"/>
  </r>
  <r>
    <n v="47"/>
    <x v="1"/>
    <s v="Travel_Rarely"/>
    <n v="1454"/>
    <x v="0"/>
    <n v="2"/>
    <n v="4"/>
    <s v="Life Sciences"/>
    <n v="925"/>
    <n v="4"/>
    <x v="0"/>
    <n v="65"/>
    <n v="2"/>
    <n v="1"/>
    <x v="6"/>
    <n v="4"/>
    <s v="Single"/>
    <x v="635"/>
    <n v="13137"/>
    <n v="1"/>
    <x v="0"/>
    <n v="18"/>
    <n v="3"/>
    <n v="1"/>
    <n v="0"/>
    <n v="3"/>
    <n v="3"/>
    <n v="2"/>
    <n v="3"/>
    <n v="2"/>
    <n v="1"/>
    <n v="2"/>
    <x v="1"/>
    <s v="Mid"/>
    <n v="6959.17264573991"/>
    <s v="Below salary"/>
    <s v="Medium Risk"/>
  </r>
  <r>
    <n v="22"/>
    <x v="0"/>
    <s v="Travel_Rarely"/>
    <n v="617"/>
    <x v="1"/>
    <n v="3"/>
    <n v="1"/>
    <s v="Life Sciences"/>
    <n v="926"/>
    <n v="2"/>
    <x v="0"/>
    <n v="34"/>
    <n v="3"/>
    <n v="2"/>
    <x v="3"/>
    <n v="3"/>
    <s v="Married"/>
    <x v="636"/>
    <n v="10022"/>
    <n v="0"/>
    <x v="0"/>
    <n v="19"/>
    <n v="3"/>
    <n v="1"/>
    <n v="1"/>
    <n v="4"/>
    <n v="3"/>
    <n v="4"/>
    <n v="3"/>
    <n v="2"/>
    <n v="0"/>
    <n v="2"/>
    <x v="3"/>
    <s v="Mid"/>
    <n v="6281.2528616024974"/>
    <s v="Below salary"/>
    <s v="Medium Risk"/>
  </r>
  <r>
    <n v="41"/>
    <x v="0"/>
    <s v="Travel_Rarely"/>
    <n v="1085"/>
    <x v="1"/>
    <n v="2"/>
    <n v="4"/>
    <s v="Life Sciences"/>
    <n v="927"/>
    <n v="2"/>
    <x v="0"/>
    <n v="57"/>
    <n v="1"/>
    <n v="1"/>
    <x v="2"/>
    <n v="4"/>
    <s v="Divorced"/>
    <x v="637"/>
    <n v="17725"/>
    <n v="4"/>
    <x v="0"/>
    <n v="13"/>
    <n v="3"/>
    <n v="3"/>
    <n v="1"/>
    <n v="10"/>
    <n v="1"/>
    <n v="2"/>
    <n v="7"/>
    <n v="7"/>
    <n v="1"/>
    <n v="0"/>
    <x v="0"/>
    <s v="Low"/>
    <n v="6281.2528616024974"/>
    <s v="Below salary"/>
    <s v="Medium Risk"/>
  </r>
  <r>
    <n v="28"/>
    <x v="1"/>
    <s v="Travel_Rarely"/>
    <n v="995"/>
    <x v="1"/>
    <n v="9"/>
    <n v="3"/>
    <s v="Medical"/>
    <n v="930"/>
    <n v="3"/>
    <x v="0"/>
    <n v="77"/>
    <n v="3"/>
    <n v="1"/>
    <x v="1"/>
    <n v="3"/>
    <s v="Divorced"/>
    <x v="638"/>
    <n v="9834"/>
    <n v="5"/>
    <x v="1"/>
    <n v="18"/>
    <n v="3"/>
    <n v="2"/>
    <n v="1"/>
    <n v="6"/>
    <n v="2"/>
    <n v="3"/>
    <n v="2"/>
    <n v="2"/>
    <n v="2"/>
    <n v="2"/>
    <x v="2"/>
    <s v="Low"/>
    <n v="6281.2528616024974"/>
    <s v="Below salary"/>
    <s v="Low Risk"/>
  </r>
  <r>
    <n v="39"/>
    <x v="0"/>
    <s v="Travel_Rarely"/>
    <n v="1122"/>
    <x v="1"/>
    <n v="6"/>
    <n v="3"/>
    <s v="Medical"/>
    <n v="932"/>
    <n v="4"/>
    <x v="1"/>
    <n v="70"/>
    <n v="3"/>
    <n v="1"/>
    <x v="2"/>
    <n v="1"/>
    <s v="Married"/>
    <x v="639"/>
    <n v="4303"/>
    <n v="7"/>
    <x v="0"/>
    <n v="21"/>
    <n v="4"/>
    <n v="4"/>
    <n v="0"/>
    <n v="8"/>
    <n v="2"/>
    <n v="1"/>
    <n v="2"/>
    <n v="2"/>
    <n v="2"/>
    <n v="2"/>
    <x v="0"/>
    <s v="Low"/>
    <n v="6281.2528616024974"/>
    <s v="Below salary"/>
    <s v="High Risk"/>
  </r>
  <r>
    <n v="27"/>
    <x v="1"/>
    <s v="Travel_Rarely"/>
    <n v="618"/>
    <x v="1"/>
    <n v="4"/>
    <n v="3"/>
    <s v="Life Sciences"/>
    <n v="933"/>
    <n v="2"/>
    <x v="0"/>
    <n v="76"/>
    <n v="3"/>
    <n v="1"/>
    <x v="1"/>
    <n v="3"/>
    <s v="Single"/>
    <x v="640"/>
    <n v="17808"/>
    <n v="1"/>
    <x v="1"/>
    <n v="19"/>
    <n v="3"/>
    <n v="3"/>
    <n v="0"/>
    <n v="1"/>
    <n v="2"/>
    <n v="3"/>
    <n v="1"/>
    <n v="1"/>
    <n v="0"/>
    <n v="0"/>
    <x v="2"/>
    <s v="Low"/>
    <n v="6281.2528616024974"/>
    <s v="Below salary"/>
    <s v="Low Risk"/>
  </r>
  <r>
    <n v="34"/>
    <x v="1"/>
    <s v="Travel_Rarely"/>
    <n v="546"/>
    <x v="1"/>
    <n v="10"/>
    <n v="3"/>
    <s v="Life Sciences"/>
    <n v="934"/>
    <n v="2"/>
    <x v="1"/>
    <n v="83"/>
    <n v="3"/>
    <n v="1"/>
    <x v="2"/>
    <n v="2"/>
    <s v="Divorced"/>
    <x v="641"/>
    <n v="6896"/>
    <n v="1"/>
    <x v="1"/>
    <n v="14"/>
    <n v="3"/>
    <n v="2"/>
    <n v="2"/>
    <n v="1"/>
    <n v="3"/>
    <n v="3"/>
    <n v="1"/>
    <n v="0"/>
    <n v="1"/>
    <n v="0"/>
    <x v="2"/>
    <s v="Low"/>
    <n v="6281.2528616024974"/>
    <s v="Below salary"/>
    <s v="Medium Risk"/>
  </r>
  <r>
    <n v="42"/>
    <x v="1"/>
    <s v="Travel_Rarely"/>
    <n v="462"/>
    <x v="0"/>
    <n v="14"/>
    <n v="2"/>
    <s v="Medical"/>
    <n v="936"/>
    <n v="3"/>
    <x v="0"/>
    <n v="68"/>
    <n v="2"/>
    <n v="2"/>
    <x v="0"/>
    <n v="3"/>
    <s v="Single"/>
    <x v="642"/>
    <n v="7824"/>
    <n v="7"/>
    <x v="1"/>
    <n v="17"/>
    <n v="3"/>
    <n v="1"/>
    <n v="0"/>
    <n v="10"/>
    <n v="6"/>
    <n v="3"/>
    <n v="5"/>
    <n v="4"/>
    <n v="0"/>
    <n v="3"/>
    <x v="0"/>
    <s v="Mid"/>
    <n v="6959.17264573991"/>
    <s v="Below salary"/>
    <s v="Low Risk"/>
  </r>
  <r>
    <n v="33"/>
    <x v="1"/>
    <s v="Travel_Rarely"/>
    <n v="1198"/>
    <x v="1"/>
    <n v="1"/>
    <n v="4"/>
    <s v="Other"/>
    <n v="939"/>
    <n v="3"/>
    <x v="1"/>
    <n v="100"/>
    <n v="2"/>
    <n v="1"/>
    <x v="1"/>
    <n v="1"/>
    <s v="Single"/>
    <x v="643"/>
    <n v="3339"/>
    <n v="3"/>
    <x v="0"/>
    <n v="11"/>
    <n v="3"/>
    <n v="2"/>
    <n v="0"/>
    <n v="6"/>
    <n v="1"/>
    <n v="3"/>
    <n v="3"/>
    <n v="2"/>
    <n v="0"/>
    <n v="2"/>
    <x v="2"/>
    <s v="Low"/>
    <n v="6281.2528616024974"/>
    <s v="Below salary"/>
    <s v="High Risk"/>
  </r>
  <r>
    <n v="58"/>
    <x v="1"/>
    <s v="Travel_Rarely"/>
    <n v="1272"/>
    <x v="1"/>
    <n v="5"/>
    <n v="3"/>
    <s v="Technical Degree"/>
    <n v="940"/>
    <n v="3"/>
    <x v="0"/>
    <n v="37"/>
    <n v="2"/>
    <n v="3"/>
    <x v="4"/>
    <n v="2"/>
    <s v="Divorced"/>
    <x v="644"/>
    <n v="9255"/>
    <n v="2"/>
    <x v="0"/>
    <n v="13"/>
    <n v="3"/>
    <n v="4"/>
    <n v="1"/>
    <n v="24"/>
    <n v="3"/>
    <n v="3"/>
    <n v="6"/>
    <n v="0"/>
    <n v="0"/>
    <n v="4"/>
    <x v="1"/>
    <s v="High"/>
    <n v="6281.2528616024974"/>
    <s v="Above salary"/>
    <s v="High Risk"/>
  </r>
  <r>
    <n v="31"/>
    <x v="1"/>
    <s v="Travel_Rarely"/>
    <n v="154"/>
    <x v="0"/>
    <n v="7"/>
    <n v="4"/>
    <s v="Life Sciences"/>
    <n v="941"/>
    <n v="2"/>
    <x v="1"/>
    <n v="41"/>
    <n v="2"/>
    <n v="1"/>
    <x v="6"/>
    <n v="3"/>
    <s v="Married"/>
    <x v="645"/>
    <n v="11737"/>
    <n v="3"/>
    <x v="1"/>
    <n v="15"/>
    <n v="3"/>
    <n v="2"/>
    <n v="0"/>
    <n v="13"/>
    <n v="2"/>
    <n v="4"/>
    <n v="7"/>
    <n v="7"/>
    <n v="5"/>
    <n v="2"/>
    <x v="2"/>
    <s v="Low"/>
    <n v="6959.17264573991"/>
    <s v="Below salary"/>
    <s v="Low Risk"/>
  </r>
  <r>
    <n v="35"/>
    <x v="1"/>
    <s v="Travel_Rarely"/>
    <n v="1137"/>
    <x v="1"/>
    <n v="21"/>
    <n v="1"/>
    <s v="Life Sciences"/>
    <n v="942"/>
    <n v="4"/>
    <x v="0"/>
    <n v="51"/>
    <n v="3"/>
    <n v="2"/>
    <x v="4"/>
    <n v="4"/>
    <s v="Married"/>
    <x v="55"/>
    <n v="19170"/>
    <n v="1"/>
    <x v="0"/>
    <n v="25"/>
    <n v="4"/>
    <n v="4"/>
    <n v="1"/>
    <n v="10"/>
    <n v="2"/>
    <n v="1"/>
    <n v="10"/>
    <n v="6"/>
    <n v="0"/>
    <n v="7"/>
    <x v="2"/>
    <s v="Mid"/>
    <n v="6281.2528616024974"/>
    <s v="Below salary"/>
    <s v="Medium Risk"/>
  </r>
  <r>
    <n v="49"/>
    <x v="1"/>
    <s v="Travel_Rarely"/>
    <n v="527"/>
    <x v="1"/>
    <n v="8"/>
    <n v="2"/>
    <s v="Other"/>
    <n v="944"/>
    <n v="1"/>
    <x v="0"/>
    <n v="51"/>
    <n v="3"/>
    <n v="3"/>
    <x v="2"/>
    <n v="2"/>
    <s v="Married"/>
    <x v="646"/>
    <n v="22477"/>
    <n v="4"/>
    <x v="1"/>
    <n v="11"/>
    <n v="3"/>
    <n v="3"/>
    <n v="1"/>
    <n v="29"/>
    <n v="3"/>
    <n v="2"/>
    <n v="26"/>
    <n v="9"/>
    <n v="1"/>
    <n v="7"/>
    <x v="1"/>
    <s v="High"/>
    <n v="6281.2528616024974"/>
    <s v="Above salary"/>
    <s v="Medium Risk"/>
  </r>
  <r>
    <n v="48"/>
    <x v="1"/>
    <s v="Travel_Rarely"/>
    <n v="1469"/>
    <x v="1"/>
    <n v="20"/>
    <n v="4"/>
    <s v="Medical"/>
    <n v="945"/>
    <n v="4"/>
    <x v="1"/>
    <n v="51"/>
    <n v="3"/>
    <n v="1"/>
    <x v="1"/>
    <n v="3"/>
    <s v="Married"/>
    <x v="647"/>
    <n v="5543"/>
    <n v="4"/>
    <x v="1"/>
    <n v="17"/>
    <n v="3"/>
    <n v="1"/>
    <n v="2"/>
    <n v="13"/>
    <n v="2"/>
    <n v="2"/>
    <n v="0"/>
    <n v="0"/>
    <n v="0"/>
    <n v="0"/>
    <x v="1"/>
    <s v="Low"/>
    <n v="6281.2528616024974"/>
    <s v="Below salary"/>
    <s v="Low Risk"/>
  </r>
  <r>
    <n v="31"/>
    <x v="1"/>
    <s v="Non-Travel"/>
    <n v="1188"/>
    <x v="0"/>
    <n v="20"/>
    <n v="2"/>
    <s v="Marketing"/>
    <n v="947"/>
    <n v="4"/>
    <x v="0"/>
    <n v="45"/>
    <n v="3"/>
    <n v="2"/>
    <x v="0"/>
    <n v="3"/>
    <s v="Married"/>
    <x v="648"/>
    <n v="24406"/>
    <n v="1"/>
    <x v="1"/>
    <n v="13"/>
    <n v="3"/>
    <n v="4"/>
    <n v="1"/>
    <n v="9"/>
    <n v="2"/>
    <n v="2"/>
    <n v="9"/>
    <n v="8"/>
    <n v="0"/>
    <n v="0"/>
    <x v="2"/>
    <s v="Mid"/>
    <n v="6959.17264573991"/>
    <s v="Below salary"/>
    <s v="Low Risk"/>
  </r>
  <r>
    <n v="36"/>
    <x v="1"/>
    <s v="Travel_Rarely"/>
    <n v="188"/>
    <x v="1"/>
    <n v="7"/>
    <n v="4"/>
    <s v="Other"/>
    <n v="949"/>
    <n v="2"/>
    <x v="1"/>
    <n v="65"/>
    <n v="3"/>
    <n v="1"/>
    <x v="1"/>
    <n v="4"/>
    <s v="Single"/>
    <x v="649"/>
    <n v="23293"/>
    <n v="2"/>
    <x v="1"/>
    <n v="18"/>
    <n v="3"/>
    <n v="3"/>
    <n v="0"/>
    <n v="8"/>
    <n v="6"/>
    <n v="3"/>
    <n v="6"/>
    <n v="2"/>
    <n v="0"/>
    <n v="1"/>
    <x v="0"/>
    <s v="Mid"/>
    <n v="6281.2528616024974"/>
    <s v="Below salary"/>
    <s v="Low Risk"/>
  </r>
  <r>
    <n v="38"/>
    <x v="1"/>
    <s v="Travel_Rarely"/>
    <n v="1333"/>
    <x v="1"/>
    <n v="1"/>
    <n v="3"/>
    <s v="Technical Degree"/>
    <n v="950"/>
    <n v="4"/>
    <x v="0"/>
    <n v="80"/>
    <n v="3"/>
    <n v="3"/>
    <x v="7"/>
    <n v="1"/>
    <s v="Married"/>
    <x v="650"/>
    <n v="16292"/>
    <n v="1"/>
    <x v="1"/>
    <n v="13"/>
    <n v="3"/>
    <n v="2"/>
    <n v="1"/>
    <n v="15"/>
    <n v="3"/>
    <n v="3"/>
    <n v="15"/>
    <n v="12"/>
    <n v="5"/>
    <n v="11"/>
    <x v="0"/>
    <s v="Very High"/>
    <n v="6281.2528616024974"/>
    <s v="Above salary"/>
    <s v="Medium Risk"/>
  </r>
  <r>
    <n v="32"/>
    <x v="1"/>
    <s v="Non-Travel"/>
    <n v="1184"/>
    <x v="1"/>
    <n v="1"/>
    <n v="3"/>
    <s v="Life Sciences"/>
    <n v="951"/>
    <n v="3"/>
    <x v="0"/>
    <n v="70"/>
    <n v="2"/>
    <n v="1"/>
    <x v="2"/>
    <n v="2"/>
    <s v="Married"/>
    <x v="651"/>
    <n v="3974"/>
    <n v="6"/>
    <x v="1"/>
    <n v="20"/>
    <n v="4"/>
    <n v="3"/>
    <n v="0"/>
    <n v="5"/>
    <n v="3"/>
    <n v="3"/>
    <n v="3"/>
    <n v="0"/>
    <n v="0"/>
    <n v="2"/>
    <x v="2"/>
    <s v="Low"/>
    <n v="6281.2528616024974"/>
    <s v="Below salary"/>
    <s v="Medium Risk"/>
  </r>
  <r>
    <n v="25"/>
    <x v="0"/>
    <s v="Travel_Rarely"/>
    <n v="867"/>
    <x v="0"/>
    <n v="19"/>
    <n v="2"/>
    <s v="Marketing"/>
    <n v="952"/>
    <n v="3"/>
    <x v="1"/>
    <n v="36"/>
    <n v="2"/>
    <n v="1"/>
    <x v="6"/>
    <n v="2"/>
    <s v="Married"/>
    <x v="652"/>
    <n v="18798"/>
    <n v="1"/>
    <x v="0"/>
    <n v="18"/>
    <n v="3"/>
    <n v="3"/>
    <n v="3"/>
    <n v="1"/>
    <n v="2"/>
    <n v="3"/>
    <n v="1"/>
    <n v="0"/>
    <n v="0"/>
    <n v="0"/>
    <x v="3"/>
    <s v="Low"/>
    <n v="6959.17264573991"/>
    <s v="Below salary"/>
    <s v="High Risk"/>
  </r>
  <r>
    <n v="40"/>
    <x v="1"/>
    <s v="Travel_Rarely"/>
    <n v="658"/>
    <x v="0"/>
    <n v="10"/>
    <n v="4"/>
    <s v="Marketing"/>
    <n v="954"/>
    <n v="1"/>
    <x v="1"/>
    <n v="67"/>
    <n v="2"/>
    <n v="3"/>
    <x v="0"/>
    <n v="2"/>
    <s v="Divorced"/>
    <x v="653"/>
    <n v="20652"/>
    <n v="2"/>
    <x v="1"/>
    <n v="12"/>
    <n v="3"/>
    <n v="2"/>
    <n v="1"/>
    <n v="11"/>
    <n v="2"/>
    <n v="2"/>
    <n v="1"/>
    <n v="0"/>
    <n v="0"/>
    <n v="0"/>
    <x v="0"/>
    <s v="High"/>
    <n v="6959.17264573991"/>
    <s v="Above salary"/>
    <s v="Medium Risk"/>
  </r>
  <r>
    <n v="26"/>
    <x v="1"/>
    <s v="Travel_Frequently"/>
    <n v="1283"/>
    <x v="0"/>
    <n v="1"/>
    <n v="3"/>
    <s v="Medical"/>
    <n v="956"/>
    <n v="3"/>
    <x v="1"/>
    <n v="52"/>
    <n v="2"/>
    <n v="2"/>
    <x v="0"/>
    <n v="1"/>
    <s v="Single"/>
    <x v="654"/>
    <n v="11148"/>
    <n v="1"/>
    <x v="1"/>
    <n v="12"/>
    <n v="3"/>
    <n v="2"/>
    <n v="0"/>
    <n v="7"/>
    <n v="2"/>
    <n v="3"/>
    <n v="7"/>
    <n v="7"/>
    <n v="0"/>
    <n v="7"/>
    <x v="2"/>
    <s v="Mid"/>
    <n v="6959.17264573991"/>
    <s v="Below salary"/>
    <s v="Medium Risk"/>
  </r>
  <r>
    <n v="41"/>
    <x v="1"/>
    <s v="Travel_Rarely"/>
    <n v="263"/>
    <x v="1"/>
    <n v="6"/>
    <n v="3"/>
    <s v="Medical"/>
    <n v="957"/>
    <n v="4"/>
    <x v="1"/>
    <n v="59"/>
    <n v="3"/>
    <n v="1"/>
    <x v="2"/>
    <n v="1"/>
    <s v="Single"/>
    <x v="655"/>
    <n v="3119"/>
    <n v="2"/>
    <x v="0"/>
    <n v="13"/>
    <n v="3"/>
    <n v="3"/>
    <n v="0"/>
    <n v="20"/>
    <n v="3"/>
    <n v="3"/>
    <n v="18"/>
    <n v="13"/>
    <n v="2"/>
    <n v="17"/>
    <x v="0"/>
    <s v="Mid"/>
    <n v="6281.2528616024974"/>
    <s v="Below salary"/>
    <s v="High Risk"/>
  </r>
  <r>
    <n v="36"/>
    <x v="1"/>
    <s v="Travel_Rarely"/>
    <n v="938"/>
    <x v="1"/>
    <n v="2"/>
    <n v="4"/>
    <s v="Medical"/>
    <n v="958"/>
    <n v="3"/>
    <x v="1"/>
    <n v="79"/>
    <n v="3"/>
    <n v="1"/>
    <x v="2"/>
    <n v="3"/>
    <s v="Single"/>
    <x v="656"/>
    <n v="12287"/>
    <n v="4"/>
    <x v="1"/>
    <n v="21"/>
    <n v="4"/>
    <n v="3"/>
    <n v="0"/>
    <n v="16"/>
    <n v="6"/>
    <n v="3"/>
    <n v="11"/>
    <n v="8"/>
    <n v="3"/>
    <n v="9"/>
    <x v="0"/>
    <s v="Low"/>
    <n v="6281.2528616024974"/>
    <s v="Below salary"/>
    <s v="Low Risk"/>
  </r>
  <r>
    <n v="19"/>
    <x v="0"/>
    <s v="Travel_Rarely"/>
    <n v="419"/>
    <x v="0"/>
    <n v="21"/>
    <n v="3"/>
    <s v="Other"/>
    <n v="959"/>
    <n v="4"/>
    <x v="1"/>
    <n v="37"/>
    <n v="2"/>
    <n v="1"/>
    <x v="6"/>
    <n v="2"/>
    <s v="Single"/>
    <x v="657"/>
    <n v="9947"/>
    <n v="1"/>
    <x v="0"/>
    <n v="13"/>
    <n v="3"/>
    <n v="2"/>
    <n v="0"/>
    <n v="1"/>
    <n v="3"/>
    <n v="4"/>
    <n v="1"/>
    <n v="0"/>
    <n v="0"/>
    <n v="0"/>
    <x v="3"/>
    <s v="Low"/>
    <n v="6959.17264573991"/>
    <s v="Below salary"/>
    <s v="High Risk"/>
  </r>
  <r>
    <n v="20"/>
    <x v="0"/>
    <s v="Travel_Rarely"/>
    <n v="129"/>
    <x v="1"/>
    <n v="4"/>
    <n v="3"/>
    <s v="Technical Degree"/>
    <n v="960"/>
    <n v="1"/>
    <x v="1"/>
    <n v="84"/>
    <n v="3"/>
    <n v="1"/>
    <x v="2"/>
    <n v="1"/>
    <s v="Single"/>
    <x v="620"/>
    <n v="13008"/>
    <n v="1"/>
    <x v="1"/>
    <n v="19"/>
    <n v="3"/>
    <n v="2"/>
    <n v="0"/>
    <n v="1"/>
    <n v="2"/>
    <n v="3"/>
    <n v="1"/>
    <n v="0"/>
    <n v="0"/>
    <n v="0"/>
    <x v="3"/>
    <s v="Low"/>
    <n v="6281.2528616024974"/>
    <s v="Below salary"/>
    <s v="Medium Risk"/>
  </r>
  <r>
    <n v="31"/>
    <x v="1"/>
    <s v="Travel_Rarely"/>
    <n v="616"/>
    <x v="1"/>
    <n v="12"/>
    <n v="3"/>
    <s v="Medical"/>
    <n v="961"/>
    <n v="4"/>
    <x v="0"/>
    <n v="41"/>
    <n v="3"/>
    <n v="2"/>
    <x v="4"/>
    <n v="4"/>
    <s v="Married"/>
    <x v="658"/>
    <n v="17369"/>
    <n v="0"/>
    <x v="0"/>
    <n v="11"/>
    <n v="3"/>
    <n v="3"/>
    <n v="2"/>
    <n v="10"/>
    <n v="2"/>
    <n v="1"/>
    <n v="9"/>
    <n v="7"/>
    <n v="8"/>
    <n v="5"/>
    <x v="2"/>
    <s v="Mid"/>
    <n v="6281.2528616024974"/>
    <s v="Below salary"/>
    <s v="Medium Risk"/>
  </r>
  <r>
    <n v="40"/>
    <x v="1"/>
    <s v="Travel_Frequently"/>
    <n v="1469"/>
    <x v="1"/>
    <n v="9"/>
    <n v="4"/>
    <s v="Medical"/>
    <n v="964"/>
    <n v="4"/>
    <x v="1"/>
    <n v="35"/>
    <n v="3"/>
    <n v="1"/>
    <x v="1"/>
    <n v="2"/>
    <s v="Divorced"/>
    <x v="659"/>
    <n v="25063"/>
    <n v="8"/>
    <x v="0"/>
    <n v="14"/>
    <n v="3"/>
    <n v="4"/>
    <n v="1"/>
    <n v="3"/>
    <n v="2"/>
    <n v="3"/>
    <n v="1"/>
    <n v="1"/>
    <n v="0"/>
    <n v="0"/>
    <x v="0"/>
    <s v="Mid"/>
    <n v="6281.2528616024974"/>
    <s v="Below salary"/>
    <s v="High Risk"/>
  </r>
  <r>
    <n v="32"/>
    <x v="1"/>
    <s v="Travel_Rarely"/>
    <n v="498"/>
    <x v="1"/>
    <n v="3"/>
    <n v="4"/>
    <s v="Medical"/>
    <n v="966"/>
    <n v="3"/>
    <x v="0"/>
    <n v="93"/>
    <n v="3"/>
    <n v="2"/>
    <x v="3"/>
    <n v="1"/>
    <s v="Married"/>
    <x v="660"/>
    <n v="13554"/>
    <n v="1"/>
    <x v="1"/>
    <n v="12"/>
    <n v="3"/>
    <n v="3"/>
    <n v="1"/>
    <n v="8"/>
    <n v="2"/>
    <n v="4"/>
    <n v="8"/>
    <n v="7"/>
    <n v="6"/>
    <n v="3"/>
    <x v="2"/>
    <s v="Mid"/>
    <n v="6281.2528616024974"/>
    <s v="Above salary"/>
    <s v="Medium Risk"/>
  </r>
  <r>
    <n v="36"/>
    <x v="0"/>
    <s v="Travel_Rarely"/>
    <n v="530"/>
    <x v="0"/>
    <n v="3"/>
    <n v="1"/>
    <s v="Life Sciences"/>
    <n v="967"/>
    <n v="3"/>
    <x v="1"/>
    <n v="51"/>
    <n v="2"/>
    <n v="3"/>
    <x v="0"/>
    <n v="4"/>
    <s v="Married"/>
    <x v="661"/>
    <n v="5518"/>
    <n v="1"/>
    <x v="0"/>
    <n v="11"/>
    <n v="3"/>
    <n v="1"/>
    <n v="1"/>
    <n v="16"/>
    <n v="6"/>
    <n v="3"/>
    <n v="16"/>
    <n v="7"/>
    <n v="3"/>
    <n v="7"/>
    <x v="0"/>
    <s v="High"/>
    <n v="6959.17264573991"/>
    <s v="Above salary"/>
    <s v="Medium Risk"/>
  </r>
  <r>
    <n v="33"/>
    <x v="1"/>
    <s v="Travel_Rarely"/>
    <n v="1069"/>
    <x v="1"/>
    <n v="1"/>
    <n v="3"/>
    <s v="Life Sciences"/>
    <n v="969"/>
    <n v="2"/>
    <x v="0"/>
    <n v="42"/>
    <n v="2"/>
    <n v="2"/>
    <x v="4"/>
    <n v="4"/>
    <s v="Single"/>
    <x v="662"/>
    <n v="12291"/>
    <n v="0"/>
    <x v="1"/>
    <n v="14"/>
    <n v="3"/>
    <n v="1"/>
    <n v="0"/>
    <n v="6"/>
    <n v="3"/>
    <n v="3"/>
    <n v="5"/>
    <n v="0"/>
    <n v="1"/>
    <n v="4"/>
    <x v="2"/>
    <s v="Mid"/>
    <n v="6281.2528616024974"/>
    <s v="Above salary"/>
    <s v="Low Risk"/>
  </r>
  <r>
    <n v="37"/>
    <x v="0"/>
    <s v="Travel_Rarely"/>
    <n v="625"/>
    <x v="0"/>
    <n v="1"/>
    <n v="4"/>
    <s v="Life Sciences"/>
    <n v="970"/>
    <n v="1"/>
    <x v="1"/>
    <n v="46"/>
    <n v="2"/>
    <n v="3"/>
    <x v="0"/>
    <n v="3"/>
    <s v="Married"/>
    <x v="219"/>
    <n v="14922"/>
    <n v="5"/>
    <x v="1"/>
    <n v="11"/>
    <n v="3"/>
    <n v="3"/>
    <n v="0"/>
    <n v="17"/>
    <n v="2"/>
    <n v="1"/>
    <n v="14"/>
    <n v="1"/>
    <n v="11"/>
    <n v="7"/>
    <x v="0"/>
    <s v="High"/>
    <n v="6959.17264573991"/>
    <s v="Above salary"/>
    <s v="Low Risk"/>
  </r>
  <r>
    <n v="45"/>
    <x v="1"/>
    <s v="Non-Travel"/>
    <n v="805"/>
    <x v="1"/>
    <n v="4"/>
    <n v="2"/>
    <s v="Life Sciences"/>
    <n v="972"/>
    <n v="3"/>
    <x v="1"/>
    <n v="57"/>
    <n v="3"/>
    <n v="2"/>
    <x v="2"/>
    <n v="2"/>
    <s v="Married"/>
    <x v="663"/>
    <n v="23163"/>
    <n v="1"/>
    <x v="1"/>
    <n v="12"/>
    <n v="3"/>
    <n v="2"/>
    <n v="0"/>
    <n v="9"/>
    <n v="5"/>
    <n v="2"/>
    <n v="9"/>
    <n v="7"/>
    <n v="0"/>
    <n v="8"/>
    <x v="0"/>
    <s v="Mid"/>
    <n v="6281.2528616024974"/>
    <s v="Below salary"/>
    <s v="Medium Risk"/>
  </r>
  <r>
    <n v="29"/>
    <x v="1"/>
    <s v="Travel_Frequently"/>
    <n v="1404"/>
    <x v="0"/>
    <n v="20"/>
    <n v="3"/>
    <s v="Technical Degree"/>
    <n v="974"/>
    <n v="3"/>
    <x v="0"/>
    <n v="84"/>
    <n v="3"/>
    <n v="1"/>
    <x v="6"/>
    <n v="4"/>
    <s v="Married"/>
    <x v="664"/>
    <n v="18203"/>
    <n v="1"/>
    <x v="1"/>
    <n v="15"/>
    <n v="3"/>
    <n v="2"/>
    <n v="1"/>
    <n v="3"/>
    <n v="5"/>
    <n v="3"/>
    <n v="3"/>
    <n v="1"/>
    <n v="0"/>
    <n v="2"/>
    <x v="2"/>
    <s v="Low"/>
    <n v="6959.17264573991"/>
    <s v="Below salary"/>
    <s v="Low Risk"/>
  </r>
  <r>
    <n v="35"/>
    <x v="1"/>
    <s v="Travel_Rarely"/>
    <n v="1219"/>
    <x v="0"/>
    <n v="18"/>
    <n v="3"/>
    <s v="Medical"/>
    <n v="975"/>
    <n v="3"/>
    <x v="0"/>
    <n v="86"/>
    <n v="3"/>
    <n v="2"/>
    <x v="0"/>
    <n v="3"/>
    <s v="Married"/>
    <x v="665"/>
    <n v="6179"/>
    <n v="1"/>
    <x v="1"/>
    <n v="16"/>
    <n v="3"/>
    <n v="2"/>
    <n v="0"/>
    <n v="5"/>
    <n v="3"/>
    <n v="3"/>
    <n v="5"/>
    <n v="2"/>
    <n v="1"/>
    <n v="0"/>
    <x v="2"/>
    <s v="Mid"/>
    <n v="6959.17264573991"/>
    <s v="Below salary"/>
    <s v="Low Risk"/>
  </r>
  <r>
    <n v="52"/>
    <x v="1"/>
    <s v="Travel_Rarely"/>
    <n v="1053"/>
    <x v="1"/>
    <n v="1"/>
    <n v="2"/>
    <s v="Life Sciences"/>
    <n v="976"/>
    <n v="4"/>
    <x v="1"/>
    <n v="70"/>
    <n v="3"/>
    <n v="4"/>
    <x v="5"/>
    <n v="4"/>
    <s v="Married"/>
    <x v="666"/>
    <n v="13829"/>
    <n v="2"/>
    <x v="1"/>
    <n v="15"/>
    <n v="3"/>
    <n v="2"/>
    <n v="1"/>
    <n v="26"/>
    <n v="2"/>
    <n v="2"/>
    <n v="9"/>
    <n v="8"/>
    <n v="7"/>
    <n v="8"/>
    <x v="1"/>
    <s v="Very High"/>
    <n v="6281.2528616024974"/>
    <s v="Above salary"/>
    <s v="Low Risk"/>
  </r>
  <r>
    <n v="58"/>
    <x v="0"/>
    <s v="Travel_Rarely"/>
    <n v="289"/>
    <x v="1"/>
    <n v="2"/>
    <n v="3"/>
    <s v="Technical Degree"/>
    <n v="977"/>
    <n v="4"/>
    <x v="1"/>
    <n v="51"/>
    <n v="3"/>
    <n v="1"/>
    <x v="1"/>
    <n v="3"/>
    <s v="Single"/>
    <x v="667"/>
    <n v="26227"/>
    <n v="4"/>
    <x v="1"/>
    <n v="24"/>
    <n v="4"/>
    <n v="1"/>
    <n v="0"/>
    <n v="7"/>
    <n v="4"/>
    <n v="3"/>
    <n v="1"/>
    <n v="0"/>
    <n v="0"/>
    <n v="0"/>
    <x v="1"/>
    <s v="Low"/>
    <n v="6281.2528616024974"/>
    <s v="Below salary"/>
    <s v="Low Risk"/>
  </r>
  <r>
    <n v="53"/>
    <x v="1"/>
    <s v="Travel_Rarely"/>
    <n v="1376"/>
    <x v="0"/>
    <n v="2"/>
    <n v="2"/>
    <s v="Medical"/>
    <n v="981"/>
    <n v="3"/>
    <x v="1"/>
    <n v="45"/>
    <n v="3"/>
    <n v="4"/>
    <x v="5"/>
    <n v="3"/>
    <s v="Divorced"/>
    <x v="668"/>
    <n v="13938"/>
    <n v="6"/>
    <x v="1"/>
    <n v="13"/>
    <n v="3"/>
    <n v="3"/>
    <n v="1"/>
    <n v="22"/>
    <n v="3"/>
    <n v="4"/>
    <n v="17"/>
    <n v="13"/>
    <n v="15"/>
    <n v="2"/>
    <x v="1"/>
    <s v="Very High"/>
    <n v="6959.17264573991"/>
    <s v="Above salary"/>
    <s v="Low Risk"/>
  </r>
  <r>
    <n v="30"/>
    <x v="1"/>
    <s v="Travel_Rarely"/>
    <n v="231"/>
    <x v="0"/>
    <n v="8"/>
    <n v="2"/>
    <s v="Other"/>
    <n v="982"/>
    <n v="3"/>
    <x v="1"/>
    <n v="62"/>
    <n v="3"/>
    <n v="3"/>
    <x v="0"/>
    <n v="3"/>
    <s v="Divorced"/>
    <x v="669"/>
    <n v="9977"/>
    <n v="5"/>
    <x v="1"/>
    <n v="11"/>
    <n v="3"/>
    <n v="1"/>
    <n v="1"/>
    <n v="10"/>
    <n v="2"/>
    <n v="4"/>
    <n v="8"/>
    <n v="4"/>
    <n v="7"/>
    <n v="7"/>
    <x v="2"/>
    <s v="High"/>
    <n v="6959.17264573991"/>
    <s v="Above salary"/>
    <s v="Low Risk"/>
  </r>
  <r>
    <n v="38"/>
    <x v="1"/>
    <s v="Non-Travel"/>
    <n v="152"/>
    <x v="0"/>
    <n v="10"/>
    <n v="3"/>
    <s v="Technical Degree"/>
    <n v="983"/>
    <n v="3"/>
    <x v="0"/>
    <n v="85"/>
    <n v="3"/>
    <n v="2"/>
    <x v="0"/>
    <n v="4"/>
    <s v="Single"/>
    <x v="670"/>
    <n v="19899"/>
    <n v="1"/>
    <x v="0"/>
    <n v="13"/>
    <n v="3"/>
    <n v="2"/>
    <n v="0"/>
    <n v="6"/>
    <n v="1"/>
    <n v="3"/>
    <n v="5"/>
    <n v="3"/>
    <n v="1"/>
    <n v="3"/>
    <x v="0"/>
    <s v="Mid"/>
    <n v="6959.17264573991"/>
    <s v="Below salary"/>
    <s v="Medium Risk"/>
  </r>
  <r>
    <n v="35"/>
    <x v="1"/>
    <s v="Travel_Rarely"/>
    <n v="882"/>
    <x v="0"/>
    <n v="3"/>
    <n v="4"/>
    <s v="Life Sciences"/>
    <n v="984"/>
    <n v="4"/>
    <x v="1"/>
    <n v="92"/>
    <n v="3"/>
    <n v="3"/>
    <x v="0"/>
    <n v="4"/>
    <s v="Divorced"/>
    <x v="671"/>
    <n v="6812"/>
    <n v="6"/>
    <x v="1"/>
    <n v="13"/>
    <n v="3"/>
    <n v="2"/>
    <n v="1"/>
    <n v="12"/>
    <n v="2"/>
    <n v="3"/>
    <n v="10"/>
    <n v="9"/>
    <n v="0"/>
    <n v="8"/>
    <x v="2"/>
    <s v="High"/>
    <n v="6959.17264573991"/>
    <s v="Above salary"/>
    <s v="Low Risk"/>
  </r>
  <r>
    <n v="39"/>
    <x v="1"/>
    <s v="Travel_Rarely"/>
    <n v="903"/>
    <x v="0"/>
    <n v="2"/>
    <n v="5"/>
    <s v="Life Sciences"/>
    <n v="985"/>
    <n v="1"/>
    <x v="1"/>
    <n v="41"/>
    <n v="4"/>
    <n v="3"/>
    <x v="0"/>
    <n v="3"/>
    <s v="Single"/>
    <x v="672"/>
    <n v="2560"/>
    <n v="0"/>
    <x v="1"/>
    <n v="18"/>
    <n v="3"/>
    <n v="4"/>
    <n v="0"/>
    <n v="9"/>
    <n v="3"/>
    <n v="3"/>
    <n v="8"/>
    <n v="7"/>
    <n v="0"/>
    <n v="7"/>
    <x v="0"/>
    <s v="High"/>
    <n v="6959.17264573991"/>
    <s v="Above salary"/>
    <s v="Low Risk"/>
  </r>
  <r>
    <n v="40"/>
    <x v="0"/>
    <s v="Non-Travel"/>
    <n v="1479"/>
    <x v="0"/>
    <n v="24"/>
    <n v="3"/>
    <s v="Life Sciences"/>
    <n v="986"/>
    <n v="2"/>
    <x v="0"/>
    <n v="100"/>
    <n v="4"/>
    <n v="4"/>
    <x v="0"/>
    <n v="2"/>
    <s v="Single"/>
    <x v="673"/>
    <n v="17071"/>
    <n v="4"/>
    <x v="0"/>
    <n v="16"/>
    <n v="3"/>
    <n v="4"/>
    <n v="0"/>
    <n v="22"/>
    <n v="2"/>
    <n v="2"/>
    <n v="1"/>
    <n v="0"/>
    <n v="0"/>
    <n v="0"/>
    <x v="0"/>
    <s v="Very High"/>
    <n v="6959.17264573991"/>
    <s v="Above salary"/>
    <s v="High Risk"/>
  </r>
  <r>
    <n v="47"/>
    <x v="1"/>
    <s v="Travel_Frequently"/>
    <n v="1379"/>
    <x v="1"/>
    <n v="16"/>
    <n v="4"/>
    <s v="Medical"/>
    <n v="987"/>
    <n v="3"/>
    <x v="1"/>
    <n v="64"/>
    <n v="4"/>
    <n v="2"/>
    <x v="3"/>
    <n v="3"/>
    <s v="Divorced"/>
    <x v="674"/>
    <n v="6759"/>
    <n v="1"/>
    <x v="0"/>
    <n v="19"/>
    <n v="3"/>
    <n v="3"/>
    <n v="0"/>
    <n v="20"/>
    <n v="3"/>
    <n v="4"/>
    <n v="19"/>
    <n v="10"/>
    <n v="2"/>
    <n v="7"/>
    <x v="1"/>
    <s v="Mid"/>
    <n v="6281.2528616024974"/>
    <s v="Below salary"/>
    <s v="Medium Risk"/>
  </r>
  <r>
    <n v="36"/>
    <x v="1"/>
    <s v="Non-Travel"/>
    <n v="1229"/>
    <x v="0"/>
    <n v="8"/>
    <n v="4"/>
    <s v="Technical Degree"/>
    <n v="990"/>
    <n v="1"/>
    <x v="1"/>
    <n v="84"/>
    <n v="3"/>
    <n v="2"/>
    <x v="0"/>
    <n v="4"/>
    <s v="Divorced"/>
    <x v="675"/>
    <n v="25952"/>
    <n v="4"/>
    <x v="1"/>
    <n v="13"/>
    <n v="3"/>
    <n v="4"/>
    <n v="2"/>
    <n v="12"/>
    <n v="3"/>
    <n v="3"/>
    <n v="7"/>
    <n v="7"/>
    <n v="0"/>
    <n v="7"/>
    <x v="0"/>
    <s v="Mid"/>
    <n v="6959.17264573991"/>
    <s v="Below salary"/>
    <s v="Low Risk"/>
  </r>
  <r>
    <n v="31"/>
    <x v="0"/>
    <s v="Non-Travel"/>
    <n v="335"/>
    <x v="1"/>
    <n v="9"/>
    <n v="2"/>
    <s v="Medical"/>
    <n v="991"/>
    <n v="3"/>
    <x v="1"/>
    <n v="46"/>
    <n v="2"/>
    <n v="1"/>
    <x v="1"/>
    <n v="1"/>
    <s v="Single"/>
    <x v="676"/>
    <n v="10322"/>
    <n v="0"/>
    <x v="0"/>
    <n v="22"/>
    <n v="4"/>
    <n v="1"/>
    <n v="0"/>
    <n v="4"/>
    <n v="0"/>
    <n v="3"/>
    <n v="3"/>
    <n v="2"/>
    <n v="1"/>
    <n v="2"/>
    <x v="2"/>
    <s v="Low"/>
    <n v="6281.2528616024974"/>
    <s v="Below salary"/>
    <s v="High Risk"/>
  </r>
  <r>
    <n v="33"/>
    <x v="1"/>
    <s v="Non-Travel"/>
    <n v="722"/>
    <x v="0"/>
    <n v="17"/>
    <n v="3"/>
    <s v="Life Sciences"/>
    <n v="992"/>
    <n v="4"/>
    <x v="1"/>
    <n v="38"/>
    <n v="3"/>
    <n v="4"/>
    <x v="5"/>
    <n v="3"/>
    <s v="Single"/>
    <x v="677"/>
    <n v="20489"/>
    <n v="1"/>
    <x v="1"/>
    <n v="11"/>
    <n v="3"/>
    <n v="4"/>
    <n v="0"/>
    <n v="10"/>
    <n v="2"/>
    <n v="3"/>
    <n v="10"/>
    <n v="8"/>
    <n v="6"/>
    <n v="0"/>
    <x v="2"/>
    <s v="Very High"/>
    <n v="6959.17264573991"/>
    <s v="Above salary"/>
    <s v="Low Risk"/>
  </r>
  <r>
    <n v="29"/>
    <x v="0"/>
    <s v="Travel_Rarely"/>
    <n v="906"/>
    <x v="1"/>
    <n v="10"/>
    <n v="3"/>
    <s v="Life Sciences"/>
    <n v="994"/>
    <n v="4"/>
    <x v="0"/>
    <n v="92"/>
    <n v="2"/>
    <n v="1"/>
    <x v="1"/>
    <n v="1"/>
    <s v="Single"/>
    <x v="639"/>
    <n v="11479"/>
    <n v="6"/>
    <x v="0"/>
    <n v="20"/>
    <n v="4"/>
    <n v="3"/>
    <n v="0"/>
    <n v="3"/>
    <n v="5"/>
    <n v="3"/>
    <n v="0"/>
    <n v="0"/>
    <n v="0"/>
    <n v="0"/>
    <x v="2"/>
    <s v="Low"/>
    <n v="6281.2528616024974"/>
    <s v="Below salary"/>
    <s v="High Risk"/>
  </r>
  <r>
    <n v="33"/>
    <x v="1"/>
    <s v="Travel_Rarely"/>
    <n v="461"/>
    <x v="1"/>
    <n v="13"/>
    <n v="1"/>
    <s v="Life Sciences"/>
    <n v="995"/>
    <n v="2"/>
    <x v="0"/>
    <n v="53"/>
    <n v="3"/>
    <n v="1"/>
    <x v="1"/>
    <n v="4"/>
    <s v="Single"/>
    <x v="138"/>
    <n v="17241"/>
    <n v="3"/>
    <x v="1"/>
    <n v="18"/>
    <n v="3"/>
    <n v="1"/>
    <n v="0"/>
    <n v="5"/>
    <n v="4"/>
    <n v="3"/>
    <n v="3"/>
    <n v="2"/>
    <n v="0"/>
    <n v="2"/>
    <x v="2"/>
    <s v="Mid"/>
    <n v="6281.2528616024974"/>
    <s v="Below salary"/>
    <s v="Low Risk"/>
  </r>
  <r>
    <n v="45"/>
    <x v="1"/>
    <s v="Travel_Rarely"/>
    <n v="974"/>
    <x v="1"/>
    <n v="1"/>
    <n v="4"/>
    <s v="Medical"/>
    <n v="996"/>
    <n v="4"/>
    <x v="0"/>
    <n v="91"/>
    <n v="3"/>
    <n v="1"/>
    <x v="2"/>
    <n v="4"/>
    <s v="Divorced"/>
    <x v="678"/>
    <n v="11005"/>
    <n v="3"/>
    <x v="1"/>
    <n v="14"/>
    <n v="3"/>
    <n v="4"/>
    <n v="2"/>
    <n v="8"/>
    <n v="2"/>
    <n v="3"/>
    <n v="5"/>
    <n v="3"/>
    <n v="0"/>
    <n v="2"/>
    <x v="0"/>
    <s v="Low"/>
    <n v="6281.2528616024974"/>
    <s v="Below salary"/>
    <s v="Low Risk"/>
  </r>
  <r>
    <n v="50"/>
    <x v="1"/>
    <s v="Travel_Rarely"/>
    <n v="1126"/>
    <x v="1"/>
    <n v="1"/>
    <n v="2"/>
    <s v="Medical"/>
    <n v="997"/>
    <n v="4"/>
    <x v="1"/>
    <n v="66"/>
    <n v="3"/>
    <n v="4"/>
    <x v="7"/>
    <n v="4"/>
    <s v="Divorced"/>
    <x v="679"/>
    <n v="6615"/>
    <n v="9"/>
    <x v="1"/>
    <n v="22"/>
    <n v="4"/>
    <n v="3"/>
    <n v="1"/>
    <n v="32"/>
    <n v="1"/>
    <n v="2"/>
    <n v="5"/>
    <n v="4"/>
    <n v="1"/>
    <n v="3"/>
    <x v="1"/>
    <s v="Very High"/>
    <n v="6281.2528616024974"/>
    <s v="Above salary"/>
    <s v="Low Risk"/>
  </r>
  <r>
    <n v="33"/>
    <x v="1"/>
    <s v="Travel_Frequently"/>
    <n v="827"/>
    <x v="1"/>
    <n v="1"/>
    <n v="4"/>
    <s v="Other"/>
    <n v="998"/>
    <n v="3"/>
    <x v="0"/>
    <n v="84"/>
    <n v="4"/>
    <n v="2"/>
    <x v="4"/>
    <n v="2"/>
    <s v="Married"/>
    <x v="680"/>
    <n v="20161"/>
    <n v="1"/>
    <x v="0"/>
    <n v="13"/>
    <n v="3"/>
    <n v="1"/>
    <n v="1"/>
    <n v="6"/>
    <n v="2"/>
    <n v="3"/>
    <n v="6"/>
    <n v="5"/>
    <n v="1"/>
    <n v="2"/>
    <x v="2"/>
    <s v="Mid"/>
    <n v="6281.2528616024974"/>
    <s v="Below salary"/>
    <s v="High Risk"/>
  </r>
  <r>
    <n v="41"/>
    <x v="1"/>
    <s v="Travel_Frequently"/>
    <n v="840"/>
    <x v="1"/>
    <n v="9"/>
    <n v="3"/>
    <s v="Medical"/>
    <n v="999"/>
    <n v="1"/>
    <x v="1"/>
    <n v="64"/>
    <n v="3"/>
    <n v="5"/>
    <x v="7"/>
    <n v="3"/>
    <s v="Divorced"/>
    <x v="681"/>
    <n v="3735"/>
    <n v="2"/>
    <x v="1"/>
    <n v="17"/>
    <n v="3"/>
    <n v="2"/>
    <n v="1"/>
    <n v="21"/>
    <n v="2"/>
    <n v="4"/>
    <n v="18"/>
    <n v="16"/>
    <n v="0"/>
    <n v="11"/>
    <x v="0"/>
    <s v="Very High"/>
    <n v="6281.2528616024974"/>
    <s v="Above salary"/>
    <s v="Low Risk"/>
  </r>
  <r>
    <n v="27"/>
    <x v="1"/>
    <s v="Travel_Rarely"/>
    <n v="1134"/>
    <x v="1"/>
    <n v="16"/>
    <n v="4"/>
    <s v="Technical Degree"/>
    <n v="1001"/>
    <n v="3"/>
    <x v="0"/>
    <n v="37"/>
    <n v="3"/>
    <n v="1"/>
    <x v="2"/>
    <n v="2"/>
    <s v="Married"/>
    <x v="682"/>
    <n v="12086"/>
    <n v="9"/>
    <x v="1"/>
    <n v="14"/>
    <n v="3"/>
    <n v="2"/>
    <n v="1"/>
    <n v="4"/>
    <n v="2"/>
    <n v="3"/>
    <n v="2"/>
    <n v="2"/>
    <n v="2"/>
    <n v="2"/>
    <x v="2"/>
    <s v="Low"/>
    <n v="6281.2528616024974"/>
    <s v="Below salary"/>
    <s v="Medium Risk"/>
  </r>
  <r>
    <n v="45"/>
    <x v="1"/>
    <s v="Non-Travel"/>
    <n v="248"/>
    <x v="1"/>
    <n v="23"/>
    <n v="2"/>
    <s v="Life Sciences"/>
    <n v="1002"/>
    <n v="4"/>
    <x v="1"/>
    <n v="42"/>
    <n v="3"/>
    <n v="2"/>
    <x v="2"/>
    <n v="1"/>
    <s v="Married"/>
    <x v="683"/>
    <n v="14039"/>
    <n v="1"/>
    <x v="0"/>
    <n v="15"/>
    <n v="3"/>
    <n v="3"/>
    <n v="1"/>
    <n v="9"/>
    <n v="2"/>
    <n v="3"/>
    <n v="9"/>
    <n v="8"/>
    <n v="0"/>
    <n v="8"/>
    <x v="0"/>
    <s v="Mid"/>
    <n v="6281.2528616024974"/>
    <s v="Below salary"/>
    <s v="High Risk"/>
  </r>
  <r>
    <n v="47"/>
    <x v="1"/>
    <s v="Travel_Rarely"/>
    <n v="955"/>
    <x v="0"/>
    <n v="4"/>
    <n v="2"/>
    <s v="Life Sciences"/>
    <n v="1003"/>
    <n v="4"/>
    <x v="0"/>
    <n v="83"/>
    <n v="3"/>
    <n v="2"/>
    <x v="0"/>
    <n v="4"/>
    <s v="Single"/>
    <x v="684"/>
    <n v="8571"/>
    <n v="1"/>
    <x v="0"/>
    <n v="17"/>
    <n v="3"/>
    <n v="3"/>
    <n v="0"/>
    <n v="9"/>
    <n v="0"/>
    <n v="3"/>
    <n v="9"/>
    <n v="0"/>
    <n v="0"/>
    <n v="7"/>
    <x v="1"/>
    <s v="Mid"/>
    <n v="6959.17264573991"/>
    <s v="Below salary"/>
    <s v="Medium Risk"/>
  </r>
  <r>
    <n v="30"/>
    <x v="0"/>
    <s v="Travel_Rarely"/>
    <n v="138"/>
    <x v="1"/>
    <n v="22"/>
    <n v="3"/>
    <s v="Life Sciences"/>
    <n v="1004"/>
    <n v="1"/>
    <x v="0"/>
    <n v="48"/>
    <n v="3"/>
    <n v="1"/>
    <x v="1"/>
    <n v="3"/>
    <s v="Married"/>
    <x v="685"/>
    <n v="11539"/>
    <n v="4"/>
    <x v="0"/>
    <n v="11"/>
    <n v="3"/>
    <n v="2"/>
    <n v="0"/>
    <n v="7"/>
    <n v="2"/>
    <n v="3"/>
    <n v="5"/>
    <n v="2"/>
    <n v="0"/>
    <n v="1"/>
    <x v="2"/>
    <s v="Low"/>
    <n v="6281.2528616024974"/>
    <s v="Below salary"/>
    <s v="Medium Risk"/>
  </r>
  <r>
    <n v="50"/>
    <x v="1"/>
    <s v="Travel_Rarely"/>
    <n v="939"/>
    <x v="1"/>
    <n v="24"/>
    <n v="3"/>
    <s v="Life Sciences"/>
    <n v="1005"/>
    <n v="4"/>
    <x v="1"/>
    <n v="95"/>
    <n v="3"/>
    <n v="4"/>
    <x v="3"/>
    <n v="3"/>
    <s v="Married"/>
    <x v="686"/>
    <n v="4161"/>
    <n v="3"/>
    <x v="0"/>
    <n v="18"/>
    <n v="3"/>
    <n v="4"/>
    <n v="1"/>
    <n v="22"/>
    <n v="2"/>
    <n v="3"/>
    <n v="12"/>
    <n v="11"/>
    <n v="1"/>
    <n v="5"/>
    <x v="1"/>
    <s v="Very High"/>
    <n v="6281.2528616024974"/>
    <s v="Above salary"/>
    <s v="Medium Risk"/>
  </r>
  <r>
    <n v="38"/>
    <x v="1"/>
    <s v="Travel_Frequently"/>
    <n v="1391"/>
    <x v="1"/>
    <n v="10"/>
    <n v="1"/>
    <s v="Medical"/>
    <n v="1006"/>
    <n v="3"/>
    <x v="1"/>
    <n v="66"/>
    <n v="3"/>
    <n v="1"/>
    <x v="1"/>
    <n v="3"/>
    <s v="Married"/>
    <x v="687"/>
    <n v="12127"/>
    <n v="0"/>
    <x v="1"/>
    <n v="17"/>
    <n v="3"/>
    <n v="2"/>
    <n v="1"/>
    <n v="3"/>
    <n v="0"/>
    <n v="2"/>
    <n v="2"/>
    <n v="1"/>
    <n v="0"/>
    <n v="2"/>
    <x v="0"/>
    <s v="Low"/>
    <n v="6281.2528616024974"/>
    <s v="Below salary"/>
    <s v="Low Risk"/>
  </r>
  <r>
    <n v="46"/>
    <x v="1"/>
    <s v="Travel_Rarely"/>
    <n v="566"/>
    <x v="1"/>
    <n v="7"/>
    <n v="2"/>
    <s v="Medical"/>
    <n v="1007"/>
    <n v="4"/>
    <x v="1"/>
    <n v="75"/>
    <n v="3"/>
    <n v="3"/>
    <x v="3"/>
    <n v="3"/>
    <s v="Divorced"/>
    <x v="688"/>
    <n v="24208"/>
    <n v="6"/>
    <x v="1"/>
    <n v="13"/>
    <n v="3"/>
    <n v="2"/>
    <n v="1"/>
    <n v="13"/>
    <n v="3"/>
    <n v="3"/>
    <n v="8"/>
    <n v="7"/>
    <n v="0"/>
    <n v="7"/>
    <x v="1"/>
    <s v="High"/>
    <n v="6281.2528616024974"/>
    <s v="Above salary"/>
    <s v="Low Risk"/>
  </r>
  <r>
    <n v="24"/>
    <x v="1"/>
    <s v="Travel_Rarely"/>
    <n v="1206"/>
    <x v="1"/>
    <n v="17"/>
    <n v="1"/>
    <s v="Medical"/>
    <n v="1009"/>
    <n v="4"/>
    <x v="0"/>
    <n v="41"/>
    <n v="2"/>
    <n v="2"/>
    <x v="3"/>
    <n v="3"/>
    <s v="Divorced"/>
    <x v="689"/>
    <n v="24117"/>
    <n v="1"/>
    <x v="1"/>
    <n v="15"/>
    <n v="3"/>
    <n v="2"/>
    <n v="2"/>
    <n v="5"/>
    <n v="6"/>
    <n v="3"/>
    <n v="4"/>
    <n v="2"/>
    <n v="3"/>
    <n v="2"/>
    <x v="3"/>
    <s v="Mid"/>
    <n v="6281.2528616024974"/>
    <s v="Below salary"/>
    <s v="Low Risk"/>
  </r>
  <r>
    <n v="35"/>
    <x v="0"/>
    <s v="Travel_Rarely"/>
    <n v="622"/>
    <x v="1"/>
    <n v="14"/>
    <n v="4"/>
    <s v="Other"/>
    <n v="1010"/>
    <n v="3"/>
    <x v="1"/>
    <n v="39"/>
    <n v="2"/>
    <n v="1"/>
    <x v="2"/>
    <n v="2"/>
    <s v="Divorced"/>
    <x v="690"/>
    <n v="10074"/>
    <n v="1"/>
    <x v="0"/>
    <n v="24"/>
    <n v="4"/>
    <n v="4"/>
    <n v="1"/>
    <n v="5"/>
    <n v="2"/>
    <n v="1"/>
    <n v="4"/>
    <n v="2"/>
    <n v="0"/>
    <n v="2"/>
    <x v="2"/>
    <s v="Mid"/>
    <n v="6281.2528616024974"/>
    <s v="Below salary"/>
    <s v="High Risk"/>
  </r>
  <r>
    <n v="31"/>
    <x v="1"/>
    <s v="Travel_Frequently"/>
    <n v="853"/>
    <x v="1"/>
    <n v="1"/>
    <n v="1"/>
    <s v="Life Sciences"/>
    <n v="1011"/>
    <n v="3"/>
    <x v="0"/>
    <n v="96"/>
    <n v="3"/>
    <n v="2"/>
    <x v="3"/>
    <n v="1"/>
    <s v="Married"/>
    <x v="691"/>
    <n v="11275"/>
    <n v="1"/>
    <x v="1"/>
    <n v="12"/>
    <n v="3"/>
    <n v="3"/>
    <n v="1"/>
    <n v="4"/>
    <n v="1"/>
    <n v="3"/>
    <n v="4"/>
    <n v="3"/>
    <n v="0"/>
    <n v="3"/>
    <x v="2"/>
    <s v="Mid"/>
    <n v="6281.2528616024974"/>
    <s v="Below salary"/>
    <s v="Medium Risk"/>
  </r>
  <r>
    <n v="18"/>
    <x v="1"/>
    <s v="Non-Travel"/>
    <n v="287"/>
    <x v="1"/>
    <n v="5"/>
    <n v="2"/>
    <s v="Life Sciences"/>
    <n v="1012"/>
    <n v="2"/>
    <x v="1"/>
    <n v="73"/>
    <n v="3"/>
    <n v="1"/>
    <x v="1"/>
    <n v="4"/>
    <s v="Single"/>
    <x v="692"/>
    <n v="13493"/>
    <n v="1"/>
    <x v="1"/>
    <n v="15"/>
    <n v="3"/>
    <n v="4"/>
    <n v="0"/>
    <n v="0"/>
    <n v="2"/>
    <n v="3"/>
    <n v="0"/>
    <n v="0"/>
    <n v="0"/>
    <n v="0"/>
    <x v="3"/>
    <s v="Low"/>
    <n v="6281.2528616024974"/>
    <s v="Below salary"/>
    <s v="Low Risk"/>
  </r>
  <r>
    <n v="54"/>
    <x v="1"/>
    <s v="Travel_Rarely"/>
    <n v="1441"/>
    <x v="1"/>
    <n v="17"/>
    <n v="3"/>
    <s v="Technical Degree"/>
    <n v="1013"/>
    <n v="3"/>
    <x v="0"/>
    <n v="56"/>
    <n v="3"/>
    <n v="3"/>
    <x v="3"/>
    <n v="3"/>
    <s v="Married"/>
    <x v="693"/>
    <n v="13943"/>
    <n v="8"/>
    <x v="1"/>
    <n v="11"/>
    <n v="3"/>
    <n v="3"/>
    <n v="1"/>
    <n v="22"/>
    <n v="2"/>
    <n v="3"/>
    <n v="10"/>
    <n v="7"/>
    <n v="0"/>
    <n v="8"/>
    <x v="1"/>
    <s v="High"/>
    <n v="6281.2528616024974"/>
    <s v="Above salary"/>
    <s v="Low Risk"/>
  </r>
  <r>
    <n v="35"/>
    <x v="1"/>
    <s v="Travel_Rarely"/>
    <n v="583"/>
    <x v="1"/>
    <n v="25"/>
    <n v="4"/>
    <s v="Medical"/>
    <n v="1014"/>
    <n v="3"/>
    <x v="0"/>
    <n v="57"/>
    <n v="3"/>
    <n v="3"/>
    <x v="4"/>
    <n v="3"/>
    <s v="Divorced"/>
    <x v="694"/>
    <n v="6975"/>
    <n v="1"/>
    <x v="0"/>
    <n v="11"/>
    <n v="3"/>
    <n v="3"/>
    <n v="1"/>
    <n v="16"/>
    <n v="3"/>
    <n v="2"/>
    <n v="16"/>
    <n v="10"/>
    <n v="10"/>
    <n v="1"/>
    <x v="2"/>
    <s v="High"/>
    <n v="6281.2528616024974"/>
    <s v="Above salary"/>
    <s v="Medium Risk"/>
  </r>
  <r>
    <n v="30"/>
    <x v="1"/>
    <s v="Travel_Rarely"/>
    <n v="153"/>
    <x v="1"/>
    <n v="8"/>
    <n v="2"/>
    <s v="Life Sciences"/>
    <n v="1015"/>
    <n v="2"/>
    <x v="0"/>
    <n v="73"/>
    <n v="4"/>
    <n v="3"/>
    <x v="7"/>
    <n v="1"/>
    <s v="Married"/>
    <x v="695"/>
    <n v="17802"/>
    <n v="0"/>
    <x v="0"/>
    <n v="12"/>
    <n v="3"/>
    <n v="3"/>
    <n v="3"/>
    <n v="9"/>
    <n v="4"/>
    <n v="2"/>
    <n v="8"/>
    <n v="7"/>
    <n v="1"/>
    <n v="7"/>
    <x v="2"/>
    <s v="High"/>
    <n v="6281.2528616024974"/>
    <s v="Above salary"/>
    <s v="High Risk"/>
  </r>
  <r>
    <n v="20"/>
    <x v="0"/>
    <s v="Travel_Rarely"/>
    <n v="1097"/>
    <x v="1"/>
    <n v="11"/>
    <n v="3"/>
    <s v="Medical"/>
    <n v="1016"/>
    <n v="4"/>
    <x v="0"/>
    <n v="98"/>
    <n v="2"/>
    <n v="1"/>
    <x v="1"/>
    <n v="1"/>
    <s v="Single"/>
    <x v="696"/>
    <n v="18275"/>
    <n v="1"/>
    <x v="0"/>
    <n v="15"/>
    <n v="3"/>
    <n v="1"/>
    <n v="0"/>
    <n v="1"/>
    <n v="2"/>
    <n v="3"/>
    <n v="1"/>
    <n v="0"/>
    <n v="0"/>
    <n v="0"/>
    <x v="3"/>
    <s v="Low"/>
    <n v="6281.2528616024974"/>
    <s v="Below salary"/>
    <s v="High Risk"/>
  </r>
  <r>
    <n v="30"/>
    <x v="0"/>
    <s v="Travel_Frequently"/>
    <n v="109"/>
    <x v="1"/>
    <n v="5"/>
    <n v="3"/>
    <s v="Medical"/>
    <n v="1017"/>
    <n v="2"/>
    <x v="0"/>
    <n v="60"/>
    <n v="3"/>
    <n v="1"/>
    <x v="2"/>
    <n v="2"/>
    <s v="Single"/>
    <x v="697"/>
    <n v="25725"/>
    <n v="0"/>
    <x v="1"/>
    <n v="17"/>
    <n v="3"/>
    <n v="1"/>
    <n v="0"/>
    <n v="4"/>
    <n v="3"/>
    <n v="3"/>
    <n v="3"/>
    <n v="2"/>
    <n v="1"/>
    <n v="2"/>
    <x v="2"/>
    <s v="Low"/>
    <n v="6281.2528616024974"/>
    <s v="Below salary"/>
    <s v="Medium Risk"/>
  </r>
  <r>
    <n v="26"/>
    <x v="1"/>
    <s v="Travel_Rarely"/>
    <n v="1066"/>
    <x v="1"/>
    <n v="2"/>
    <n v="2"/>
    <s v="Medical"/>
    <n v="1018"/>
    <n v="4"/>
    <x v="1"/>
    <n v="32"/>
    <n v="4"/>
    <n v="2"/>
    <x v="3"/>
    <n v="4"/>
    <s v="Married"/>
    <x v="698"/>
    <n v="3334"/>
    <n v="1"/>
    <x v="1"/>
    <n v="12"/>
    <n v="3"/>
    <n v="2"/>
    <n v="0"/>
    <n v="8"/>
    <n v="2"/>
    <n v="3"/>
    <n v="8"/>
    <n v="7"/>
    <n v="1"/>
    <n v="3"/>
    <x v="2"/>
    <s v="Mid"/>
    <n v="6281.2528616024974"/>
    <s v="Below salary"/>
    <s v="Low Risk"/>
  </r>
  <r>
    <n v="22"/>
    <x v="1"/>
    <s v="Travel_Rarely"/>
    <n v="217"/>
    <x v="1"/>
    <n v="8"/>
    <n v="1"/>
    <s v="Life Sciences"/>
    <n v="1019"/>
    <n v="2"/>
    <x v="1"/>
    <n v="94"/>
    <n v="1"/>
    <n v="1"/>
    <x v="2"/>
    <n v="1"/>
    <s v="Married"/>
    <x v="163"/>
    <n v="6881"/>
    <n v="1"/>
    <x v="1"/>
    <n v="15"/>
    <n v="3"/>
    <n v="1"/>
    <n v="1"/>
    <n v="4"/>
    <n v="3"/>
    <n v="2"/>
    <n v="4"/>
    <n v="3"/>
    <n v="1"/>
    <n v="1"/>
    <x v="3"/>
    <s v="Low"/>
    <n v="6281.2528616024974"/>
    <s v="Below salary"/>
    <s v="Medium Risk"/>
  </r>
  <r>
    <n v="48"/>
    <x v="1"/>
    <s v="Travel_Rarely"/>
    <n v="277"/>
    <x v="1"/>
    <n v="6"/>
    <n v="3"/>
    <s v="Life Sciences"/>
    <n v="1022"/>
    <n v="1"/>
    <x v="1"/>
    <n v="97"/>
    <n v="2"/>
    <n v="2"/>
    <x v="4"/>
    <n v="3"/>
    <s v="Single"/>
    <x v="699"/>
    <n v="13119"/>
    <n v="2"/>
    <x v="1"/>
    <n v="13"/>
    <n v="3"/>
    <n v="4"/>
    <n v="0"/>
    <n v="19"/>
    <n v="0"/>
    <n v="3"/>
    <n v="2"/>
    <n v="2"/>
    <n v="2"/>
    <n v="2"/>
    <x v="1"/>
    <s v="Mid"/>
    <n v="6281.2528616024974"/>
    <s v="Below salary"/>
    <s v="Low Risk"/>
  </r>
  <r>
    <n v="48"/>
    <x v="1"/>
    <s v="Travel_Rarely"/>
    <n v="1355"/>
    <x v="1"/>
    <n v="4"/>
    <n v="4"/>
    <s v="Life Sciences"/>
    <n v="1024"/>
    <n v="3"/>
    <x v="1"/>
    <n v="78"/>
    <n v="2"/>
    <n v="3"/>
    <x v="4"/>
    <n v="3"/>
    <s v="Single"/>
    <x v="700"/>
    <n v="22245"/>
    <n v="7"/>
    <x v="1"/>
    <n v="14"/>
    <n v="3"/>
    <n v="2"/>
    <n v="0"/>
    <n v="27"/>
    <n v="3"/>
    <n v="3"/>
    <n v="15"/>
    <n v="11"/>
    <n v="4"/>
    <n v="8"/>
    <x v="1"/>
    <s v="High"/>
    <n v="6281.2528616024974"/>
    <s v="Above salary"/>
    <s v="Low Risk"/>
  </r>
  <r>
    <n v="41"/>
    <x v="1"/>
    <s v="Travel_Rarely"/>
    <n v="549"/>
    <x v="1"/>
    <n v="7"/>
    <n v="2"/>
    <s v="Medical"/>
    <n v="1025"/>
    <n v="4"/>
    <x v="0"/>
    <n v="42"/>
    <n v="3"/>
    <n v="2"/>
    <x v="3"/>
    <n v="3"/>
    <s v="Single"/>
    <x v="701"/>
    <n v="23371"/>
    <n v="6"/>
    <x v="1"/>
    <n v="14"/>
    <n v="3"/>
    <n v="2"/>
    <n v="0"/>
    <n v="8"/>
    <n v="6"/>
    <n v="3"/>
    <n v="2"/>
    <n v="2"/>
    <n v="2"/>
    <n v="1"/>
    <x v="0"/>
    <s v="Mid"/>
    <n v="6281.2528616024974"/>
    <s v="Below salary"/>
    <s v="Low Risk"/>
  </r>
  <r>
    <n v="39"/>
    <x v="1"/>
    <s v="Travel_Rarely"/>
    <n v="466"/>
    <x v="1"/>
    <n v="1"/>
    <n v="1"/>
    <s v="Life Sciences"/>
    <n v="1026"/>
    <n v="4"/>
    <x v="0"/>
    <n v="65"/>
    <n v="2"/>
    <n v="4"/>
    <x v="3"/>
    <n v="4"/>
    <s v="Married"/>
    <x v="702"/>
    <n v="7060"/>
    <n v="1"/>
    <x v="1"/>
    <n v="16"/>
    <n v="3"/>
    <n v="3"/>
    <n v="1"/>
    <n v="21"/>
    <n v="3"/>
    <n v="3"/>
    <n v="21"/>
    <n v="6"/>
    <n v="11"/>
    <n v="8"/>
    <x v="0"/>
    <s v="Very High"/>
    <n v="6281.2528616024974"/>
    <s v="Above salary"/>
    <s v="Low Risk"/>
  </r>
  <r>
    <n v="27"/>
    <x v="1"/>
    <s v="Travel_Rarely"/>
    <n v="1055"/>
    <x v="1"/>
    <n v="2"/>
    <n v="4"/>
    <s v="Life Sciences"/>
    <n v="1027"/>
    <n v="1"/>
    <x v="0"/>
    <n v="47"/>
    <n v="3"/>
    <n v="2"/>
    <x v="3"/>
    <n v="4"/>
    <s v="Married"/>
    <x v="703"/>
    <n v="4658"/>
    <n v="0"/>
    <x v="1"/>
    <n v="18"/>
    <n v="3"/>
    <n v="2"/>
    <n v="1"/>
    <n v="4"/>
    <n v="2"/>
    <n v="3"/>
    <n v="3"/>
    <n v="2"/>
    <n v="2"/>
    <n v="2"/>
    <x v="2"/>
    <s v="Mid"/>
    <n v="6281.2528616024974"/>
    <s v="Below salary"/>
    <s v="Low Risk"/>
  </r>
  <r>
    <n v="35"/>
    <x v="1"/>
    <s v="Travel_Rarely"/>
    <n v="802"/>
    <x v="1"/>
    <n v="10"/>
    <n v="3"/>
    <s v="Other"/>
    <n v="1028"/>
    <n v="2"/>
    <x v="1"/>
    <n v="45"/>
    <n v="3"/>
    <n v="1"/>
    <x v="2"/>
    <n v="4"/>
    <s v="Divorced"/>
    <x v="704"/>
    <n v="9541"/>
    <n v="1"/>
    <x v="1"/>
    <n v="20"/>
    <n v="4"/>
    <n v="1"/>
    <n v="1"/>
    <n v="3"/>
    <n v="4"/>
    <n v="2"/>
    <n v="3"/>
    <n v="2"/>
    <n v="1"/>
    <n v="2"/>
    <x v="2"/>
    <s v="Mid"/>
    <n v="6281.2528616024974"/>
    <s v="Below salary"/>
    <s v="Low Risk"/>
  </r>
  <r>
    <n v="42"/>
    <x v="1"/>
    <s v="Travel_Rarely"/>
    <n v="265"/>
    <x v="0"/>
    <n v="5"/>
    <n v="2"/>
    <s v="Marketing"/>
    <n v="1029"/>
    <n v="4"/>
    <x v="1"/>
    <n v="90"/>
    <n v="3"/>
    <n v="5"/>
    <x v="5"/>
    <n v="3"/>
    <s v="Married"/>
    <x v="705"/>
    <n v="7770"/>
    <n v="6"/>
    <x v="1"/>
    <n v="13"/>
    <n v="3"/>
    <n v="2"/>
    <n v="0"/>
    <n v="21"/>
    <n v="3"/>
    <n v="4"/>
    <n v="1"/>
    <n v="0"/>
    <n v="0"/>
    <n v="0"/>
    <x v="0"/>
    <s v="Very High"/>
    <n v="6959.17264573991"/>
    <s v="Above salary"/>
    <s v="Low Risk"/>
  </r>
  <r>
    <n v="50"/>
    <x v="1"/>
    <s v="Travel_Rarely"/>
    <n v="804"/>
    <x v="1"/>
    <n v="9"/>
    <n v="3"/>
    <s v="Life Sciences"/>
    <n v="1030"/>
    <n v="1"/>
    <x v="1"/>
    <n v="64"/>
    <n v="3"/>
    <n v="1"/>
    <x v="2"/>
    <n v="4"/>
    <s v="Married"/>
    <x v="631"/>
    <n v="20165"/>
    <n v="4"/>
    <x v="1"/>
    <n v="18"/>
    <n v="3"/>
    <n v="2"/>
    <n v="0"/>
    <n v="8"/>
    <n v="5"/>
    <n v="3"/>
    <n v="1"/>
    <n v="0"/>
    <n v="0"/>
    <n v="0"/>
    <x v="1"/>
    <s v="Low"/>
    <n v="6281.2528616024974"/>
    <s v="Below salary"/>
    <s v="Low Risk"/>
  </r>
  <r>
    <n v="59"/>
    <x v="1"/>
    <s v="Travel_Rarely"/>
    <n v="715"/>
    <x v="1"/>
    <n v="2"/>
    <n v="3"/>
    <s v="Life Sciences"/>
    <n v="1032"/>
    <n v="3"/>
    <x v="0"/>
    <n v="69"/>
    <n v="2"/>
    <n v="4"/>
    <x v="3"/>
    <n v="4"/>
    <s v="Single"/>
    <x v="706"/>
    <n v="21829"/>
    <n v="3"/>
    <x v="0"/>
    <n v="13"/>
    <n v="3"/>
    <n v="1"/>
    <n v="0"/>
    <n v="30"/>
    <n v="4"/>
    <n v="3"/>
    <n v="5"/>
    <n v="3"/>
    <n v="4"/>
    <n v="3"/>
    <x v="1"/>
    <s v="Very High"/>
    <n v="6281.2528616024974"/>
    <s v="Above salary"/>
    <s v="Medium Risk"/>
  </r>
  <r>
    <n v="37"/>
    <x v="0"/>
    <s v="Travel_Rarely"/>
    <n v="1141"/>
    <x v="1"/>
    <n v="11"/>
    <n v="2"/>
    <s v="Medical"/>
    <n v="1033"/>
    <n v="1"/>
    <x v="0"/>
    <n v="61"/>
    <n v="1"/>
    <n v="2"/>
    <x v="4"/>
    <n v="2"/>
    <s v="Married"/>
    <x v="707"/>
    <n v="14382"/>
    <n v="5"/>
    <x v="1"/>
    <n v="15"/>
    <n v="3"/>
    <n v="1"/>
    <n v="0"/>
    <n v="15"/>
    <n v="2"/>
    <n v="1"/>
    <n v="1"/>
    <n v="0"/>
    <n v="0"/>
    <n v="0"/>
    <x v="0"/>
    <s v="Mid"/>
    <n v="6281.2528616024974"/>
    <s v="Below salary"/>
    <s v="Medium Risk"/>
  </r>
  <r>
    <n v="55"/>
    <x v="1"/>
    <s v="Travel_Frequently"/>
    <n v="135"/>
    <x v="1"/>
    <n v="18"/>
    <n v="4"/>
    <s v="Medical"/>
    <n v="1034"/>
    <n v="3"/>
    <x v="1"/>
    <n v="62"/>
    <n v="3"/>
    <n v="2"/>
    <x v="4"/>
    <n v="2"/>
    <s v="Married"/>
    <x v="708"/>
    <n v="12992"/>
    <n v="3"/>
    <x v="0"/>
    <n v="14"/>
    <n v="3"/>
    <n v="4"/>
    <n v="2"/>
    <n v="17"/>
    <n v="3"/>
    <n v="3"/>
    <n v="8"/>
    <n v="7"/>
    <n v="6"/>
    <n v="7"/>
    <x v="1"/>
    <s v="Mid"/>
    <n v="6281.2528616024974"/>
    <s v="Above salary"/>
    <s v="High Risk"/>
  </r>
  <r>
    <n v="41"/>
    <x v="1"/>
    <s v="Non-Travel"/>
    <n v="247"/>
    <x v="1"/>
    <n v="7"/>
    <n v="1"/>
    <s v="Life Sciences"/>
    <n v="1035"/>
    <n v="2"/>
    <x v="0"/>
    <n v="55"/>
    <n v="1"/>
    <n v="5"/>
    <x v="7"/>
    <n v="3"/>
    <s v="Divorced"/>
    <x v="709"/>
    <n v="20284"/>
    <n v="1"/>
    <x v="1"/>
    <n v="22"/>
    <n v="4"/>
    <n v="2"/>
    <n v="2"/>
    <n v="21"/>
    <n v="3"/>
    <n v="3"/>
    <n v="21"/>
    <n v="16"/>
    <n v="5"/>
    <n v="10"/>
    <x v="0"/>
    <s v="Very High"/>
    <n v="6281.2528616024974"/>
    <s v="Above salary"/>
    <s v="Low Risk"/>
  </r>
  <r>
    <n v="38"/>
    <x v="1"/>
    <s v="Travel_Rarely"/>
    <n v="1035"/>
    <x v="0"/>
    <n v="3"/>
    <n v="4"/>
    <s v="Life Sciences"/>
    <n v="1036"/>
    <n v="2"/>
    <x v="1"/>
    <n v="42"/>
    <n v="3"/>
    <n v="2"/>
    <x v="0"/>
    <n v="4"/>
    <s v="Single"/>
    <x v="710"/>
    <n v="4981"/>
    <n v="8"/>
    <x v="0"/>
    <n v="12"/>
    <n v="3"/>
    <n v="3"/>
    <n v="0"/>
    <n v="19"/>
    <n v="1"/>
    <n v="3"/>
    <n v="1"/>
    <n v="0"/>
    <n v="0"/>
    <n v="0"/>
    <x v="0"/>
    <s v="Mid"/>
    <n v="6959.17264573991"/>
    <s v="Below salary"/>
    <s v="Medium Risk"/>
  </r>
  <r>
    <n v="26"/>
    <x v="0"/>
    <s v="Non-Travel"/>
    <n v="265"/>
    <x v="0"/>
    <n v="29"/>
    <n v="2"/>
    <s v="Medical"/>
    <n v="1037"/>
    <n v="2"/>
    <x v="1"/>
    <n v="79"/>
    <n v="1"/>
    <n v="2"/>
    <x v="0"/>
    <n v="1"/>
    <s v="Single"/>
    <x v="711"/>
    <n v="21813"/>
    <n v="8"/>
    <x v="1"/>
    <n v="18"/>
    <n v="3"/>
    <n v="4"/>
    <n v="0"/>
    <n v="7"/>
    <n v="6"/>
    <n v="3"/>
    <n v="2"/>
    <n v="2"/>
    <n v="2"/>
    <n v="2"/>
    <x v="2"/>
    <s v="Mid"/>
    <n v="6959.17264573991"/>
    <s v="Below salary"/>
    <s v="Medium Risk"/>
  </r>
  <r>
    <n v="52"/>
    <x v="0"/>
    <s v="Travel_Rarely"/>
    <n v="266"/>
    <x v="0"/>
    <n v="2"/>
    <n v="1"/>
    <s v="Marketing"/>
    <n v="1038"/>
    <n v="1"/>
    <x v="0"/>
    <n v="57"/>
    <n v="1"/>
    <n v="5"/>
    <x v="5"/>
    <n v="4"/>
    <s v="Married"/>
    <x v="712"/>
    <n v="25846"/>
    <n v="1"/>
    <x v="1"/>
    <n v="15"/>
    <n v="3"/>
    <n v="4"/>
    <n v="1"/>
    <n v="33"/>
    <n v="3"/>
    <n v="3"/>
    <n v="32"/>
    <n v="14"/>
    <n v="6"/>
    <n v="9"/>
    <x v="1"/>
    <s v="Very High"/>
    <n v="6959.17264573991"/>
    <s v="Above salary"/>
    <s v="Low Risk"/>
  </r>
  <r>
    <n v="44"/>
    <x v="1"/>
    <s v="Travel_Rarely"/>
    <n v="1448"/>
    <x v="0"/>
    <n v="28"/>
    <n v="3"/>
    <s v="Medical"/>
    <n v="1039"/>
    <n v="4"/>
    <x v="0"/>
    <n v="53"/>
    <n v="4"/>
    <n v="4"/>
    <x v="0"/>
    <n v="4"/>
    <s v="Married"/>
    <x v="713"/>
    <n v="11737"/>
    <n v="3"/>
    <x v="0"/>
    <n v="18"/>
    <n v="3"/>
    <n v="3"/>
    <n v="1"/>
    <n v="23"/>
    <n v="2"/>
    <n v="3"/>
    <n v="12"/>
    <n v="11"/>
    <n v="11"/>
    <n v="11"/>
    <x v="0"/>
    <s v="Very High"/>
    <n v="6959.17264573991"/>
    <s v="Above salary"/>
    <s v="Medium Risk"/>
  </r>
  <r>
    <n v="50"/>
    <x v="1"/>
    <s v="Non-Travel"/>
    <n v="145"/>
    <x v="0"/>
    <n v="1"/>
    <n v="3"/>
    <s v="Life Sciences"/>
    <n v="1040"/>
    <n v="4"/>
    <x v="0"/>
    <n v="95"/>
    <n v="3"/>
    <n v="2"/>
    <x v="0"/>
    <n v="3"/>
    <s v="Married"/>
    <x v="136"/>
    <n v="24920"/>
    <n v="0"/>
    <x v="1"/>
    <n v="12"/>
    <n v="3"/>
    <n v="1"/>
    <n v="1"/>
    <n v="19"/>
    <n v="3"/>
    <n v="3"/>
    <n v="18"/>
    <n v="7"/>
    <n v="0"/>
    <n v="13"/>
    <x v="1"/>
    <s v="Mid"/>
    <n v="6959.17264573991"/>
    <s v="Below salary"/>
    <s v="Low Risk"/>
  </r>
  <r>
    <n v="36"/>
    <x v="0"/>
    <s v="Travel_Rarely"/>
    <n v="885"/>
    <x v="1"/>
    <n v="16"/>
    <n v="4"/>
    <s v="Life Sciences"/>
    <n v="1042"/>
    <n v="3"/>
    <x v="0"/>
    <n v="43"/>
    <n v="4"/>
    <n v="1"/>
    <x v="2"/>
    <n v="1"/>
    <s v="Single"/>
    <x v="714"/>
    <n v="8269"/>
    <n v="1"/>
    <x v="1"/>
    <n v="16"/>
    <n v="3"/>
    <n v="3"/>
    <n v="0"/>
    <n v="18"/>
    <n v="1"/>
    <n v="3"/>
    <n v="17"/>
    <n v="13"/>
    <n v="15"/>
    <n v="14"/>
    <x v="0"/>
    <s v="Low"/>
    <n v="6281.2528616024974"/>
    <s v="Below salary"/>
    <s v="Medium Risk"/>
  </r>
  <r>
    <n v="39"/>
    <x v="1"/>
    <s v="Travel_Frequently"/>
    <n v="945"/>
    <x v="1"/>
    <n v="22"/>
    <n v="3"/>
    <s v="Medical"/>
    <n v="1043"/>
    <n v="4"/>
    <x v="0"/>
    <n v="82"/>
    <n v="3"/>
    <n v="3"/>
    <x v="3"/>
    <n v="1"/>
    <s v="Single"/>
    <x v="715"/>
    <n v="5083"/>
    <n v="1"/>
    <x v="0"/>
    <n v="13"/>
    <n v="3"/>
    <n v="3"/>
    <n v="0"/>
    <n v="21"/>
    <n v="2"/>
    <n v="3"/>
    <n v="21"/>
    <n v="6"/>
    <n v="2"/>
    <n v="8"/>
    <x v="0"/>
    <s v="High"/>
    <n v="6281.2528616024974"/>
    <s v="Above salary"/>
    <s v="High Risk"/>
  </r>
  <r>
    <n v="33"/>
    <x v="1"/>
    <s v="Non-Travel"/>
    <n v="1038"/>
    <x v="0"/>
    <n v="8"/>
    <n v="1"/>
    <s v="Life Sciences"/>
    <n v="1044"/>
    <n v="2"/>
    <x v="0"/>
    <n v="88"/>
    <n v="2"/>
    <n v="1"/>
    <x v="6"/>
    <n v="4"/>
    <s v="Single"/>
    <x v="531"/>
    <n v="21437"/>
    <n v="0"/>
    <x v="1"/>
    <n v="19"/>
    <n v="3"/>
    <n v="4"/>
    <n v="0"/>
    <n v="3"/>
    <n v="2"/>
    <n v="2"/>
    <n v="2"/>
    <n v="2"/>
    <n v="2"/>
    <n v="2"/>
    <x v="2"/>
    <s v="Low"/>
    <n v="6959.17264573991"/>
    <s v="Below salary"/>
    <s v="Low Risk"/>
  </r>
  <r>
    <n v="45"/>
    <x v="1"/>
    <s v="Travel_Rarely"/>
    <n v="1234"/>
    <x v="0"/>
    <n v="11"/>
    <n v="2"/>
    <s v="Life Sciences"/>
    <n v="1045"/>
    <n v="4"/>
    <x v="0"/>
    <n v="90"/>
    <n v="3"/>
    <n v="4"/>
    <x v="5"/>
    <n v="4"/>
    <s v="Married"/>
    <x v="716"/>
    <n v="5404"/>
    <n v="3"/>
    <x v="1"/>
    <n v="13"/>
    <n v="3"/>
    <n v="2"/>
    <n v="1"/>
    <n v="26"/>
    <n v="4"/>
    <n v="4"/>
    <n v="9"/>
    <n v="3"/>
    <n v="1"/>
    <n v="1"/>
    <x v="0"/>
    <s v="Very High"/>
    <n v="6959.17264573991"/>
    <s v="Above salary"/>
    <s v="Low Risk"/>
  </r>
  <r>
    <n v="32"/>
    <x v="1"/>
    <s v="Non-Travel"/>
    <n v="1109"/>
    <x v="1"/>
    <n v="29"/>
    <n v="4"/>
    <s v="Medical"/>
    <n v="1046"/>
    <n v="4"/>
    <x v="0"/>
    <n v="69"/>
    <n v="3"/>
    <n v="1"/>
    <x v="2"/>
    <n v="3"/>
    <s v="Single"/>
    <x v="717"/>
    <n v="11135"/>
    <n v="9"/>
    <x v="1"/>
    <n v="12"/>
    <n v="3"/>
    <n v="2"/>
    <n v="0"/>
    <n v="10"/>
    <n v="2"/>
    <n v="3"/>
    <n v="8"/>
    <n v="7"/>
    <n v="7"/>
    <n v="7"/>
    <x v="2"/>
    <s v="Mid"/>
    <n v="6281.2528616024974"/>
    <s v="Below salary"/>
    <s v="Low Risk"/>
  </r>
  <r>
    <n v="34"/>
    <x v="1"/>
    <s v="Travel_Rarely"/>
    <n v="216"/>
    <x v="0"/>
    <n v="1"/>
    <n v="4"/>
    <s v="Marketing"/>
    <n v="1047"/>
    <n v="2"/>
    <x v="1"/>
    <n v="75"/>
    <n v="4"/>
    <n v="2"/>
    <x v="0"/>
    <n v="4"/>
    <s v="Divorced"/>
    <x v="718"/>
    <n v="12278"/>
    <n v="0"/>
    <x v="1"/>
    <n v="11"/>
    <n v="3"/>
    <n v="4"/>
    <n v="1"/>
    <n v="16"/>
    <n v="2"/>
    <n v="2"/>
    <n v="15"/>
    <n v="1"/>
    <n v="0"/>
    <n v="9"/>
    <x v="2"/>
    <s v="High"/>
    <n v="6959.17264573991"/>
    <s v="Above salary"/>
    <s v="Low Risk"/>
  </r>
  <r>
    <n v="59"/>
    <x v="1"/>
    <s v="Travel_Rarely"/>
    <n v="1089"/>
    <x v="0"/>
    <n v="1"/>
    <n v="2"/>
    <s v="Technical Degree"/>
    <n v="1048"/>
    <n v="2"/>
    <x v="1"/>
    <n v="66"/>
    <n v="3"/>
    <n v="3"/>
    <x v="5"/>
    <n v="4"/>
    <s v="Married"/>
    <x v="719"/>
    <n v="11038"/>
    <n v="3"/>
    <x v="0"/>
    <n v="14"/>
    <n v="3"/>
    <n v="3"/>
    <n v="1"/>
    <n v="14"/>
    <n v="1"/>
    <n v="1"/>
    <n v="6"/>
    <n v="4"/>
    <n v="0"/>
    <n v="4"/>
    <x v="1"/>
    <s v="High"/>
    <n v="6959.17264573991"/>
    <s v="Above salary"/>
    <s v="Medium Risk"/>
  </r>
  <r>
    <n v="45"/>
    <x v="1"/>
    <s v="Travel_Rarely"/>
    <n v="788"/>
    <x v="2"/>
    <n v="24"/>
    <n v="4"/>
    <s v="Medical"/>
    <n v="1049"/>
    <n v="2"/>
    <x v="1"/>
    <n v="36"/>
    <n v="3"/>
    <n v="1"/>
    <x v="8"/>
    <n v="2"/>
    <s v="Single"/>
    <x v="221"/>
    <n v="8318"/>
    <n v="1"/>
    <x v="1"/>
    <n v="16"/>
    <n v="3"/>
    <n v="1"/>
    <n v="0"/>
    <n v="6"/>
    <n v="3"/>
    <n v="3"/>
    <n v="6"/>
    <n v="3"/>
    <n v="0"/>
    <n v="4"/>
    <x v="0"/>
    <s v="Low"/>
    <n v="6654.5079365079364"/>
    <s v="Below salary"/>
    <s v="Medium Risk"/>
  </r>
  <r>
    <n v="53"/>
    <x v="1"/>
    <s v="Travel_Frequently"/>
    <n v="124"/>
    <x v="0"/>
    <n v="2"/>
    <n v="3"/>
    <s v="Marketing"/>
    <n v="1050"/>
    <n v="3"/>
    <x v="0"/>
    <n v="38"/>
    <n v="2"/>
    <n v="3"/>
    <x v="0"/>
    <n v="2"/>
    <s v="Married"/>
    <x v="720"/>
    <n v="23537"/>
    <n v="2"/>
    <x v="1"/>
    <n v="12"/>
    <n v="3"/>
    <n v="1"/>
    <n v="1"/>
    <n v="30"/>
    <n v="2"/>
    <n v="3"/>
    <n v="15"/>
    <n v="7"/>
    <n v="6"/>
    <n v="12"/>
    <x v="1"/>
    <s v="High"/>
    <n v="6959.17264573991"/>
    <s v="Above salary"/>
    <s v="Medium Risk"/>
  </r>
  <r>
    <n v="36"/>
    <x v="0"/>
    <s v="Travel_Rarely"/>
    <n v="660"/>
    <x v="1"/>
    <n v="15"/>
    <n v="3"/>
    <s v="Other"/>
    <n v="1052"/>
    <n v="1"/>
    <x v="1"/>
    <n v="81"/>
    <n v="3"/>
    <n v="2"/>
    <x v="2"/>
    <n v="3"/>
    <s v="Divorced"/>
    <x v="721"/>
    <n v="7858"/>
    <n v="7"/>
    <x v="1"/>
    <n v="14"/>
    <n v="3"/>
    <n v="2"/>
    <n v="1"/>
    <n v="9"/>
    <n v="3"/>
    <n v="2"/>
    <n v="1"/>
    <n v="0"/>
    <n v="0"/>
    <n v="0"/>
    <x v="0"/>
    <s v="Mid"/>
    <n v="6281.2528616024974"/>
    <s v="Below salary"/>
    <s v="Low Risk"/>
  </r>
  <r>
    <n v="26"/>
    <x v="0"/>
    <s v="Travel_Frequently"/>
    <n v="342"/>
    <x v="1"/>
    <n v="2"/>
    <n v="3"/>
    <s v="Life Sciences"/>
    <n v="1053"/>
    <n v="1"/>
    <x v="1"/>
    <n v="57"/>
    <n v="3"/>
    <n v="1"/>
    <x v="1"/>
    <n v="1"/>
    <s v="Married"/>
    <x v="96"/>
    <n v="15346"/>
    <n v="6"/>
    <x v="0"/>
    <n v="14"/>
    <n v="3"/>
    <n v="2"/>
    <n v="1"/>
    <n v="6"/>
    <n v="2"/>
    <n v="3"/>
    <n v="3"/>
    <n v="2"/>
    <n v="1"/>
    <n v="2"/>
    <x v="2"/>
    <s v="Low"/>
    <n v="6281.2528616024974"/>
    <s v="Below salary"/>
    <s v="High Risk"/>
  </r>
  <r>
    <n v="34"/>
    <x v="1"/>
    <s v="Travel_Rarely"/>
    <n v="1333"/>
    <x v="0"/>
    <n v="10"/>
    <n v="4"/>
    <s v="Life Sciences"/>
    <n v="1055"/>
    <n v="3"/>
    <x v="0"/>
    <n v="87"/>
    <n v="3"/>
    <n v="1"/>
    <x v="6"/>
    <n v="3"/>
    <s v="Married"/>
    <x v="722"/>
    <n v="18410"/>
    <n v="1"/>
    <x v="0"/>
    <n v="19"/>
    <n v="3"/>
    <n v="4"/>
    <n v="1"/>
    <n v="1"/>
    <n v="2"/>
    <n v="3"/>
    <n v="1"/>
    <n v="1"/>
    <n v="0"/>
    <n v="0"/>
    <x v="2"/>
    <s v="Low"/>
    <n v="6959.17264573991"/>
    <s v="Below salary"/>
    <s v="Medium Risk"/>
  </r>
  <r>
    <n v="28"/>
    <x v="1"/>
    <s v="Travel_Rarely"/>
    <n v="1144"/>
    <x v="0"/>
    <n v="10"/>
    <n v="1"/>
    <s v="Medical"/>
    <n v="1056"/>
    <n v="4"/>
    <x v="1"/>
    <n v="74"/>
    <n v="3"/>
    <n v="1"/>
    <x v="6"/>
    <n v="2"/>
    <s v="Married"/>
    <x v="723"/>
    <n v="23384"/>
    <n v="1"/>
    <x v="1"/>
    <n v="22"/>
    <n v="4"/>
    <n v="2"/>
    <n v="0"/>
    <n v="1"/>
    <n v="5"/>
    <n v="3"/>
    <n v="1"/>
    <n v="0"/>
    <n v="0"/>
    <n v="0"/>
    <x v="2"/>
    <s v="Low"/>
    <n v="6959.17264573991"/>
    <s v="Below salary"/>
    <s v="Medium Risk"/>
  </r>
  <r>
    <n v="38"/>
    <x v="1"/>
    <s v="Travel_Frequently"/>
    <n v="1186"/>
    <x v="1"/>
    <n v="3"/>
    <n v="4"/>
    <s v="Other"/>
    <n v="1060"/>
    <n v="3"/>
    <x v="1"/>
    <n v="44"/>
    <n v="3"/>
    <n v="1"/>
    <x v="1"/>
    <n v="3"/>
    <s v="Married"/>
    <x v="724"/>
    <n v="2997"/>
    <n v="3"/>
    <x v="1"/>
    <n v="16"/>
    <n v="3"/>
    <n v="1"/>
    <n v="1"/>
    <n v="8"/>
    <n v="2"/>
    <n v="3"/>
    <n v="2"/>
    <n v="2"/>
    <n v="2"/>
    <n v="2"/>
    <x v="0"/>
    <s v="Low"/>
    <n v="6281.2528616024974"/>
    <s v="Below salary"/>
    <s v="Low Risk"/>
  </r>
  <r>
    <n v="50"/>
    <x v="1"/>
    <s v="Travel_Rarely"/>
    <n v="1464"/>
    <x v="1"/>
    <n v="2"/>
    <n v="4"/>
    <s v="Medical"/>
    <n v="1061"/>
    <n v="2"/>
    <x v="1"/>
    <n v="62"/>
    <n v="3"/>
    <n v="5"/>
    <x v="7"/>
    <n v="3"/>
    <s v="Married"/>
    <x v="725"/>
    <n v="12853"/>
    <n v="2"/>
    <x v="0"/>
    <n v="11"/>
    <n v="3"/>
    <n v="4"/>
    <n v="1"/>
    <n v="29"/>
    <n v="2"/>
    <n v="2"/>
    <n v="8"/>
    <n v="1"/>
    <n v="7"/>
    <n v="7"/>
    <x v="1"/>
    <s v="Very High"/>
    <n v="6281.2528616024974"/>
    <s v="Above salary"/>
    <s v="Medium Risk"/>
  </r>
  <r>
    <n v="37"/>
    <x v="1"/>
    <s v="Travel_Rarely"/>
    <n v="124"/>
    <x v="1"/>
    <n v="3"/>
    <n v="3"/>
    <s v="Other"/>
    <n v="1062"/>
    <n v="4"/>
    <x v="0"/>
    <n v="35"/>
    <n v="3"/>
    <n v="2"/>
    <x v="4"/>
    <n v="2"/>
    <s v="Single"/>
    <x v="726"/>
    <n v="13848"/>
    <n v="3"/>
    <x v="1"/>
    <n v="15"/>
    <n v="3"/>
    <n v="1"/>
    <n v="0"/>
    <n v="8"/>
    <n v="3"/>
    <n v="2"/>
    <n v="4"/>
    <n v="3"/>
    <n v="0"/>
    <n v="1"/>
    <x v="0"/>
    <s v="Mid"/>
    <n v="6281.2528616024974"/>
    <s v="Below salary"/>
    <s v="Medium Risk"/>
  </r>
  <r>
    <n v="40"/>
    <x v="1"/>
    <s v="Travel_Rarely"/>
    <n v="300"/>
    <x v="0"/>
    <n v="26"/>
    <n v="3"/>
    <s v="Marketing"/>
    <n v="1066"/>
    <n v="3"/>
    <x v="1"/>
    <n v="74"/>
    <n v="3"/>
    <n v="2"/>
    <x v="0"/>
    <n v="1"/>
    <s v="Married"/>
    <x v="727"/>
    <n v="22217"/>
    <n v="1"/>
    <x v="1"/>
    <n v="14"/>
    <n v="3"/>
    <n v="2"/>
    <n v="1"/>
    <n v="8"/>
    <n v="3"/>
    <n v="2"/>
    <n v="7"/>
    <n v="7"/>
    <n v="7"/>
    <n v="5"/>
    <x v="0"/>
    <s v="High"/>
    <n v="6959.17264573991"/>
    <s v="Above salary"/>
    <s v="Medium Risk"/>
  </r>
  <r>
    <n v="26"/>
    <x v="1"/>
    <s v="Travel_Frequently"/>
    <n v="921"/>
    <x v="1"/>
    <n v="1"/>
    <n v="1"/>
    <s v="Medical"/>
    <n v="1068"/>
    <n v="1"/>
    <x v="0"/>
    <n v="66"/>
    <n v="2"/>
    <n v="1"/>
    <x v="1"/>
    <n v="3"/>
    <s v="Divorced"/>
    <x v="728"/>
    <n v="25265"/>
    <n v="1"/>
    <x v="1"/>
    <n v="13"/>
    <n v="3"/>
    <n v="3"/>
    <n v="2"/>
    <n v="5"/>
    <n v="5"/>
    <n v="3"/>
    <n v="5"/>
    <n v="3"/>
    <n v="1"/>
    <n v="3"/>
    <x v="2"/>
    <s v="Low"/>
    <n v="6281.2528616024974"/>
    <s v="Below salary"/>
    <s v="Low Risk"/>
  </r>
  <r>
    <n v="46"/>
    <x v="1"/>
    <s v="Travel_Rarely"/>
    <n v="430"/>
    <x v="1"/>
    <n v="1"/>
    <n v="4"/>
    <s v="Medical"/>
    <n v="1069"/>
    <n v="4"/>
    <x v="1"/>
    <n v="40"/>
    <n v="3"/>
    <n v="5"/>
    <x v="7"/>
    <n v="4"/>
    <s v="Divorced"/>
    <x v="729"/>
    <n v="21445"/>
    <n v="9"/>
    <x v="1"/>
    <n v="17"/>
    <n v="3"/>
    <n v="4"/>
    <n v="2"/>
    <n v="23"/>
    <n v="0"/>
    <n v="3"/>
    <n v="2"/>
    <n v="2"/>
    <n v="2"/>
    <n v="2"/>
    <x v="1"/>
    <s v="Very High"/>
    <n v="6281.2528616024974"/>
    <s v="Above salary"/>
    <s v="Low Risk"/>
  </r>
  <r>
    <n v="54"/>
    <x v="1"/>
    <s v="Travel_Rarely"/>
    <n v="1082"/>
    <x v="0"/>
    <n v="2"/>
    <n v="4"/>
    <s v="Life Sciences"/>
    <n v="1070"/>
    <n v="3"/>
    <x v="0"/>
    <n v="41"/>
    <n v="2"/>
    <n v="3"/>
    <x v="0"/>
    <n v="3"/>
    <s v="Married"/>
    <x v="730"/>
    <n v="8392"/>
    <n v="6"/>
    <x v="1"/>
    <n v="11"/>
    <n v="3"/>
    <n v="2"/>
    <n v="1"/>
    <n v="13"/>
    <n v="4"/>
    <n v="3"/>
    <n v="9"/>
    <n v="4"/>
    <n v="7"/>
    <n v="0"/>
    <x v="1"/>
    <s v="High"/>
    <n v="6959.17264573991"/>
    <s v="Above salary"/>
    <s v="Low Risk"/>
  </r>
  <r>
    <n v="56"/>
    <x v="1"/>
    <s v="Travel_Frequently"/>
    <n v="1240"/>
    <x v="1"/>
    <n v="9"/>
    <n v="3"/>
    <s v="Medical"/>
    <n v="1071"/>
    <n v="1"/>
    <x v="0"/>
    <n v="63"/>
    <n v="3"/>
    <n v="1"/>
    <x v="1"/>
    <n v="3"/>
    <s v="Married"/>
    <x v="131"/>
    <n v="12154"/>
    <n v="2"/>
    <x v="1"/>
    <n v="19"/>
    <n v="3"/>
    <n v="2"/>
    <n v="1"/>
    <n v="18"/>
    <n v="4"/>
    <n v="3"/>
    <n v="5"/>
    <n v="4"/>
    <n v="0"/>
    <n v="3"/>
    <x v="1"/>
    <s v="Low"/>
    <n v="6281.2528616024974"/>
    <s v="Below salary"/>
    <s v="Low Risk"/>
  </r>
  <r>
    <n v="36"/>
    <x v="1"/>
    <s v="Travel_Rarely"/>
    <n v="796"/>
    <x v="1"/>
    <n v="12"/>
    <n v="5"/>
    <s v="Medical"/>
    <n v="1073"/>
    <n v="4"/>
    <x v="0"/>
    <n v="51"/>
    <n v="2"/>
    <n v="3"/>
    <x v="3"/>
    <n v="4"/>
    <s v="Single"/>
    <x v="731"/>
    <n v="15669"/>
    <n v="0"/>
    <x v="1"/>
    <n v="11"/>
    <n v="3"/>
    <n v="2"/>
    <n v="0"/>
    <n v="15"/>
    <n v="2"/>
    <n v="2"/>
    <n v="14"/>
    <n v="8"/>
    <n v="7"/>
    <n v="8"/>
    <x v="0"/>
    <s v="High"/>
    <n v="6281.2528616024974"/>
    <s v="Above salary"/>
    <s v="Low Risk"/>
  </r>
  <r>
    <n v="55"/>
    <x v="1"/>
    <s v="Non-Travel"/>
    <n v="444"/>
    <x v="1"/>
    <n v="2"/>
    <n v="1"/>
    <s v="Medical"/>
    <n v="1074"/>
    <n v="3"/>
    <x v="1"/>
    <n v="40"/>
    <n v="2"/>
    <n v="4"/>
    <x v="5"/>
    <n v="1"/>
    <s v="Single"/>
    <x v="732"/>
    <n v="17323"/>
    <n v="7"/>
    <x v="1"/>
    <n v="15"/>
    <n v="3"/>
    <n v="2"/>
    <n v="0"/>
    <n v="31"/>
    <n v="3"/>
    <n v="4"/>
    <n v="9"/>
    <n v="7"/>
    <n v="6"/>
    <n v="2"/>
    <x v="1"/>
    <s v="Very High"/>
    <n v="6281.2528616024974"/>
    <s v="Above salary"/>
    <s v="Medium Risk"/>
  </r>
  <r>
    <n v="43"/>
    <x v="1"/>
    <s v="Travel_Rarely"/>
    <n v="415"/>
    <x v="0"/>
    <n v="25"/>
    <n v="3"/>
    <s v="Medical"/>
    <n v="1076"/>
    <n v="3"/>
    <x v="1"/>
    <n v="79"/>
    <n v="2"/>
    <n v="3"/>
    <x v="0"/>
    <n v="4"/>
    <s v="Divorced"/>
    <x v="733"/>
    <n v="5268"/>
    <n v="5"/>
    <x v="1"/>
    <n v="13"/>
    <n v="3"/>
    <n v="3"/>
    <n v="1"/>
    <n v="18"/>
    <n v="5"/>
    <n v="3"/>
    <n v="1"/>
    <n v="0"/>
    <n v="0"/>
    <n v="0"/>
    <x v="0"/>
    <s v="High"/>
    <n v="6959.17264573991"/>
    <s v="Above salary"/>
    <s v="Low Risk"/>
  </r>
  <r>
    <n v="20"/>
    <x v="0"/>
    <s v="Travel_Frequently"/>
    <n v="769"/>
    <x v="0"/>
    <n v="9"/>
    <n v="3"/>
    <s v="Marketing"/>
    <n v="1077"/>
    <n v="4"/>
    <x v="0"/>
    <n v="54"/>
    <n v="3"/>
    <n v="1"/>
    <x v="6"/>
    <n v="4"/>
    <s v="Single"/>
    <x v="157"/>
    <n v="17205"/>
    <n v="1"/>
    <x v="0"/>
    <n v="14"/>
    <n v="3"/>
    <n v="2"/>
    <n v="0"/>
    <n v="2"/>
    <n v="3"/>
    <n v="3"/>
    <n v="2"/>
    <n v="2"/>
    <n v="0"/>
    <n v="2"/>
    <x v="3"/>
    <s v="Low"/>
    <n v="6959.17264573991"/>
    <s v="Below salary"/>
    <s v="Medium Risk"/>
  </r>
  <r>
    <n v="21"/>
    <x v="0"/>
    <s v="Travel_Rarely"/>
    <n v="1334"/>
    <x v="1"/>
    <n v="10"/>
    <n v="3"/>
    <s v="Life Sciences"/>
    <n v="1079"/>
    <n v="3"/>
    <x v="0"/>
    <n v="36"/>
    <n v="2"/>
    <n v="1"/>
    <x v="2"/>
    <n v="1"/>
    <s v="Single"/>
    <x v="734"/>
    <n v="17258"/>
    <n v="1"/>
    <x v="1"/>
    <n v="13"/>
    <n v="3"/>
    <n v="1"/>
    <n v="0"/>
    <n v="1"/>
    <n v="6"/>
    <n v="2"/>
    <n v="1"/>
    <n v="0"/>
    <n v="1"/>
    <n v="0"/>
    <x v="3"/>
    <s v="Low"/>
    <n v="6281.2528616024974"/>
    <s v="Below salary"/>
    <s v="Medium Risk"/>
  </r>
  <r>
    <n v="46"/>
    <x v="1"/>
    <s v="Travel_Rarely"/>
    <n v="1003"/>
    <x v="1"/>
    <n v="8"/>
    <n v="4"/>
    <s v="Life Sciences"/>
    <n v="1080"/>
    <n v="4"/>
    <x v="0"/>
    <n v="74"/>
    <n v="2"/>
    <n v="2"/>
    <x v="1"/>
    <n v="1"/>
    <s v="Divorced"/>
    <x v="735"/>
    <n v="21029"/>
    <n v="8"/>
    <x v="0"/>
    <n v="23"/>
    <n v="4"/>
    <n v="1"/>
    <n v="3"/>
    <n v="19"/>
    <n v="2"/>
    <n v="3"/>
    <n v="16"/>
    <n v="13"/>
    <n v="1"/>
    <n v="7"/>
    <x v="1"/>
    <s v="Mid"/>
    <n v="6281.2528616024974"/>
    <s v="Below salary"/>
    <s v="High Risk"/>
  </r>
  <r>
    <n v="51"/>
    <x v="0"/>
    <s v="Travel_Rarely"/>
    <n v="1323"/>
    <x v="1"/>
    <n v="4"/>
    <n v="4"/>
    <s v="Life Sciences"/>
    <n v="1081"/>
    <n v="1"/>
    <x v="1"/>
    <n v="34"/>
    <n v="3"/>
    <n v="1"/>
    <x v="1"/>
    <n v="3"/>
    <s v="Married"/>
    <x v="736"/>
    <n v="10332"/>
    <n v="9"/>
    <x v="0"/>
    <n v="12"/>
    <n v="3"/>
    <n v="3"/>
    <n v="3"/>
    <n v="18"/>
    <n v="2"/>
    <n v="4"/>
    <n v="10"/>
    <n v="0"/>
    <n v="2"/>
    <n v="7"/>
    <x v="1"/>
    <s v="Low"/>
    <n v="6281.2528616024974"/>
    <s v="Below salary"/>
    <s v="Medium Risk"/>
  </r>
  <r>
    <n v="28"/>
    <x v="0"/>
    <s v="Non-Travel"/>
    <n v="1366"/>
    <x v="1"/>
    <n v="24"/>
    <n v="2"/>
    <s v="Technical Degree"/>
    <n v="1082"/>
    <n v="2"/>
    <x v="1"/>
    <n v="72"/>
    <n v="2"/>
    <n v="3"/>
    <x v="4"/>
    <n v="1"/>
    <s v="Single"/>
    <x v="737"/>
    <n v="12355"/>
    <n v="1"/>
    <x v="1"/>
    <n v="12"/>
    <n v="3"/>
    <n v="1"/>
    <n v="0"/>
    <n v="10"/>
    <n v="2"/>
    <n v="2"/>
    <n v="10"/>
    <n v="7"/>
    <n v="1"/>
    <n v="9"/>
    <x v="2"/>
    <s v="High"/>
    <n v="6281.2528616024974"/>
    <s v="Above salary"/>
    <s v="Medium Risk"/>
  </r>
  <r>
    <n v="26"/>
    <x v="1"/>
    <s v="Travel_Rarely"/>
    <n v="192"/>
    <x v="1"/>
    <n v="1"/>
    <n v="2"/>
    <s v="Medical"/>
    <n v="1083"/>
    <n v="1"/>
    <x v="1"/>
    <n v="59"/>
    <n v="2"/>
    <n v="1"/>
    <x v="2"/>
    <n v="1"/>
    <s v="Married"/>
    <x v="738"/>
    <n v="11141"/>
    <n v="1"/>
    <x v="1"/>
    <n v="16"/>
    <n v="3"/>
    <n v="1"/>
    <n v="2"/>
    <n v="6"/>
    <n v="2"/>
    <n v="3"/>
    <n v="5"/>
    <n v="3"/>
    <n v="1"/>
    <n v="3"/>
    <x v="2"/>
    <s v="Mid"/>
    <n v="6281.2528616024974"/>
    <s v="Below salary"/>
    <s v="Medium Risk"/>
  </r>
  <r>
    <n v="30"/>
    <x v="1"/>
    <s v="Travel_Rarely"/>
    <n v="1176"/>
    <x v="1"/>
    <n v="20"/>
    <n v="3"/>
    <s v="Other"/>
    <n v="1084"/>
    <n v="3"/>
    <x v="1"/>
    <n v="85"/>
    <n v="3"/>
    <n v="2"/>
    <x v="3"/>
    <n v="1"/>
    <s v="Married"/>
    <x v="739"/>
    <n v="9096"/>
    <n v="0"/>
    <x v="1"/>
    <n v="15"/>
    <n v="3"/>
    <n v="3"/>
    <n v="1"/>
    <n v="7"/>
    <n v="1"/>
    <n v="2"/>
    <n v="6"/>
    <n v="2"/>
    <n v="0"/>
    <n v="2"/>
    <x v="2"/>
    <s v="High"/>
    <n v="6281.2528616024974"/>
    <s v="Above salary"/>
    <s v="Medium Risk"/>
  </r>
  <r>
    <n v="41"/>
    <x v="1"/>
    <s v="Travel_Rarely"/>
    <n v="509"/>
    <x v="1"/>
    <n v="7"/>
    <n v="2"/>
    <s v="Technical Degree"/>
    <n v="1085"/>
    <n v="2"/>
    <x v="0"/>
    <n v="43"/>
    <n v="4"/>
    <n v="1"/>
    <x v="1"/>
    <n v="3"/>
    <s v="Married"/>
    <x v="740"/>
    <n v="18863"/>
    <n v="1"/>
    <x v="1"/>
    <n v="13"/>
    <n v="3"/>
    <n v="3"/>
    <n v="0"/>
    <n v="10"/>
    <n v="3"/>
    <n v="3"/>
    <n v="10"/>
    <n v="6"/>
    <n v="0"/>
    <n v="8"/>
    <x v="0"/>
    <s v="Mid"/>
    <n v="6281.2528616024974"/>
    <s v="Below salary"/>
    <s v="Low Risk"/>
  </r>
  <r>
    <n v="38"/>
    <x v="1"/>
    <s v="Travel_Rarely"/>
    <n v="330"/>
    <x v="1"/>
    <n v="17"/>
    <n v="1"/>
    <s v="Life Sciences"/>
    <n v="1088"/>
    <n v="3"/>
    <x v="0"/>
    <n v="65"/>
    <n v="2"/>
    <n v="3"/>
    <x v="4"/>
    <n v="3"/>
    <s v="Married"/>
    <x v="741"/>
    <n v="24608"/>
    <n v="0"/>
    <x v="1"/>
    <n v="18"/>
    <n v="3"/>
    <n v="1"/>
    <n v="1"/>
    <n v="20"/>
    <n v="4"/>
    <n v="2"/>
    <n v="19"/>
    <n v="9"/>
    <n v="1"/>
    <n v="9"/>
    <x v="0"/>
    <s v="High"/>
    <n v="6281.2528616024974"/>
    <s v="Above salary"/>
    <s v="Low Risk"/>
  </r>
  <r>
    <n v="40"/>
    <x v="1"/>
    <s v="Travel_Rarely"/>
    <n v="1492"/>
    <x v="1"/>
    <n v="20"/>
    <n v="4"/>
    <s v="Technical Degree"/>
    <n v="1092"/>
    <n v="1"/>
    <x v="1"/>
    <n v="61"/>
    <n v="3"/>
    <n v="3"/>
    <x v="4"/>
    <n v="4"/>
    <s v="Married"/>
    <x v="742"/>
    <n v="26542"/>
    <n v="4"/>
    <x v="1"/>
    <n v="20"/>
    <n v="4"/>
    <n v="4"/>
    <n v="1"/>
    <n v="14"/>
    <n v="6"/>
    <n v="3"/>
    <n v="11"/>
    <n v="10"/>
    <n v="11"/>
    <n v="1"/>
    <x v="0"/>
    <s v="High"/>
    <n v="6281.2528616024974"/>
    <s v="Above salary"/>
    <s v="Low Risk"/>
  </r>
  <r>
    <n v="27"/>
    <x v="1"/>
    <s v="Non-Travel"/>
    <n v="1277"/>
    <x v="1"/>
    <n v="8"/>
    <n v="5"/>
    <s v="Life Sciences"/>
    <n v="1094"/>
    <n v="1"/>
    <x v="1"/>
    <n v="87"/>
    <n v="1"/>
    <n v="1"/>
    <x v="2"/>
    <n v="3"/>
    <s v="Married"/>
    <x v="743"/>
    <n v="5869"/>
    <n v="1"/>
    <x v="1"/>
    <n v="19"/>
    <n v="3"/>
    <n v="4"/>
    <n v="3"/>
    <n v="3"/>
    <n v="4"/>
    <n v="3"/>
    <n v="3"/>
    <n v="2"/>
    <n v="1"/>
    <n v="2"/>
    <x v="2"/>
    <s v="Mid"/>
    <n v="6281.2528616024974"/>
    <s v="Below salary"/>
    <s v="Low Risk"/>
  </r>
  <r>
    <n v="55"/>
    <x v="1"/>
    <s v="Travel_Frequently"/>
    <n v="1091"/>
    <x v="1"/>
    <n v="2"/>
    <n v="1"/>
    <s v="Life Sciences"/>
    <n v="1096"/>
    <n v="4"/>
    <x v="1"/>
    <n v="65"/>
    <n v="3"/>
    <n v="3"/>
    <x v="3"/>
    <n v="2"/>
    <s v="Married"/>
    <x v="744"/>
    <n v="15813"/>
    <n v="3"/>
    <x v="1"/>
    <n v="18"/>
    <n v="3"/>
    <n v="2"/>
    <n v="1"/>
    <n v="23"/>
    <n v="4"/>
    <n v="3"/>
    <n v="3"/>
    <n v="2"/>
    <n v="1"/>
    <n v="2"/>
    <x v="1"/>
    <s v="High"/>
    <n v="6281.2528616024974"/>
    <s v="Above salary"/>
    <s v="Medium Risk"/>
  </r>
  <r>
    <n v="28"/>
    <x v="1"/>
    <s v="Travel_Rarely"/>
    <n v="857"/>
    <x v="1"/>
    <n v="10"/>
    <n v="3"/>
    <s v="Other"/>
    <n v="1097"/>
    <n v="3"/>
    <x v="0"/>
    <n v="59"/>
    <n v="3"/>
    <n v="2"/>
    <x v="1"/>
    <n v="3"/>
    <s v="Single"/>
    <x v="745"/>
    <n v="7909"/>
    <n v="3"/>
    <x v="1"/>
    <n v="13"/>
    <n v="3"/>
    <n v="4"/>
    <n v="0"/>
    <n v="10"/>
    <n v="4"/>
    <n v="4"/>
    <n v="8"/>
    <n v="7"/>
    <n v="1"/>
    <n v="7"/>
    <x v="2"/>
    <s v="Mid"/>
    <n v="6281.2528616024974"/>
    <s v="Below salary"/>
    <s v="Low Risk"/>
  </r>
  <r>
    <n v="44"/>
    <x v="0"/>
    <s v="Travel_Rarely"/>
    <n v="1376"/>
    <x v="2"/>
    <n v="1"/>
    <n v="2"/>
    <s v="Medical"/>
    <n v="1098"/>
    <n v="2"/>
    <x v="1"/>
    <n v="91"/>
    <n v="2"/>
    <n v="3"/>
    <x v="8"/>
    <n v="1"/>
    <s v="Married"/>
    <x v="746"/>
    <n v="2326"/>
    <n v="9"/>
    <x v="1"/>
    <n v="14"/>
    <n v="3"/>
    <n v="4"/>
    <n v="1"/>
    <n v="24"/>
    <n v="1"/>
    <n v="3"/>
    <n v="20"/>
    <n v="6"/>
    <n v="3"/>
    <n v="6"/>
    <x v="0"/>
    <s v="High"/>
    <n v="6654.5079365079364"/>
    <s v="Above salary"/>
    <s v="Medium Risk"/>
  </r>
  <r>
    <n v="33"/>
    <x v="1"/>
    <s v="Travel_Rarely"/>
    <n v="654"/>
    <x v="1"/>
    <n v="5"/>
    <n v="3"/>
    <s v="Life Sciences"/>
    <n v="1099"/>
    <n v="4"/>
    <x v="1"/>
    <n v="34"/>
    <n v="2"/>
    <n v="3"/>
    <x v="4"/>
    <n v="4"/>
    <s v="Divorced"/>
    <x v="747"/>
    <n v="21214"/>
    <n v="4"/>
    <x v="1"/>
    <n v="15"/>
    <n v="3"/>
    <n v="3"/>
    <n v="1"/>
    <n v="9"/>
    <n v="2"/>
    <n v="3"/>
    <n v="3"/>
    <n v="2"/>
    <n v="1"/>
    <n v="2"/>
    <x v="2"/>
    <s v="High"/>
    <n v="6281.2528616024974"/>
    <s v="Above salary"/>
    <s v="Low Risk"/>
  </r>
  <r>
    <n v="35"/>
    <x v="0"/>
    <s v="Travel_Rarely"/>
    <n v="1204"/>
    <x v="0"/>
    <n v="4"/>
    <n v="3"/>
    <s v="Technical Degree"/>
    <n v="1100"/>
    <n v="4"/>
    <x v="1"/>
    <n v="86"/>
    <n v="3"/>
    <n v="3"/>
    <x v="0"/>
    <n v="1"/>
    <s v="Single"/>
    <x v="748"/>
    <n v="10333"/>
    <n v="0"/>
    <x v="0"/>
    <n v="22"/>
    <n v="4"/>
    <n v="1"/>
    <n v="0"/>
    <n v="9"/>
    <n v="2"/>
    <n v="3"/>
    <n v="8"/>
    <n v="7"/>
    <n v="4"/>
    <n v="7"/>
    <x v="2"/>
    <s v="High"/>
    <n v="6959.17264573991"/>
    <s v="Above salary"/>
    <s v="High Risk"/>
  </r>
  <r>
    <n v="33"/>
    <x v="0"/>
    <s v="Travel_Frequently"/>
    <n v="827"/>
    <x v="1"/>
    <n v="29"/>
    <n v="4"/>
    <s v="Medical"/>
    <n v="1101"/>
    <n v="1"/>
    <x v="0"/>
    <n v="54"/>
    <n v="2"/>
    <n v="2"/>
    <x v="1"/>
    <n v="3"/>
    <s v="Single"/>
    <x v="749"/>
    <n v="3129"/>
    <n v="1"/>
    <x v="1"/>
    <n v="22"/>
    <n v="4"/>
    <n v="2"/>
    <n v="0"/>
    <n v="14"/>
    <n v="4"/>
    <n v="3"/>
    <n v="13"/>
    <n v="7"/>
    <n v="3"/>
    <n v="8"/>
    <x v="2"/>
    <s v="Mid"/>
    <n v="6281.2528616024974"/>
    <s v="Below salary"/>
    <s v="Low Risk"/>
  </r>
  <r>
    <n v="28"/>
    <x v="1"/>
    <s v="Travel_Rarely"/>
    <n v="895"/>
    <x v="1"/>
    <n v="15"/>
    <n v="2"/>
    <s v="Life Sciences"/>
    <n v="1102"/>
    <n v="1"/>
    <x v="1"/>
    <n v="50"/>
    <n v="3"/>
    <n v="1"/>
    <x v="2"/>
    <n v="3"/>
    <s v="Divorced"/>
    <x v="750"/>
    <n v="22482"/>
    <n v="1"/>
    <x v="1"/>
    <n v="16"/>
    <n v="3"/>
    <n v="4"/>
    <n v="1"/>
    <n v="4"/>
    <n v="5"/>
    <n v="2"/>
    <n v="4"/>
    <n v="2"/>
    <n v="2"/>
    <n v="2"/>
    <x v="2"/>
    <s v="Low"/>
    <n v="6281.2528616024974"/>
    <s v="Below salary"/>
    <s v="Low Risk"/>
  </r>
  <r>
    <n v="34"/>
    <x v="1"/>
    <s v="Travel_Frequently"/>
    <n v="618"/>
    <x v="1"/>
    <n v="3"/>
    <n v="1"/>
    <s v="Life Sciences"/>
    <n v="1103"/>
    <n v="1"/>
    <x v="1"/>
    <n v="45"/>
    <n v="3"/>
    <n v="2"/>
    <x v="4"/>
    <n v="4"/>
    <s v="Single"/>
    <x v="751"/>
    <n v="22266"/>
    <n v="0"/>
    <x v="1"/>
    <n v="17"/>
    <n v="3"/>
    <n v="3"/>
    <n v="0"/>
    <n v="7"/>
    <n v="1"/>
    <n v="2"/>
    <n v="6"/>
    <n v="2"/>
    <n v="0"/>
    <n v="4"/>
    <x v="2"/>
    <s v="High"/>
    <n v="6281.2528616024974"/>
    <s v="Above salary"/>
    <s v="Low Risk"/>
  </r>
  <r>
    <n v="37"/>
    <x v="1"/>
    <s v="Travel_Rarely"/>
    <n v="309"/>
    <x v="0"/>
    <n v="10"/>
    <n v="4"/>
    <s v="Life Sciences"/>
    <n v="1105"/>
    <n v="4"/>
    <x v="0"/>
    <n v="88"/>
    <n v="2"/>
    <n v="2"/>
    <x v="0"/>
    <n v="4"/>
    <s v="Divorced"/>
    <x v="752"/>
    <n v="24223"/>
    <n v="2"/>
    <x v="0"/>
    <n v="14"/>
    <n v="3"/>
    <n v="3"/>
    <n v="3"/>
    <n v="8"/>
    <n v="5"/>
    <n v="3"/>
    <n v="1"/>
    <n v="0"/>
    <n v="0"/>
    <n v="0"/>
    <x v="0"/>
    <s v="Mid"/>
    <n v="6959.17264573991"/>
    <s v="Below salary"/>
    <s v="Medium Risk"/>
  </r>
  <r>
    <n v="25"/>
    <x v="0"/>
    <s v="Travel_Rarely"/>
    <n v="1219"/>
    <x v="1"/>
    <n v="4"/>
    <n v="1"/>
    <s v="Technical Degree"/>
    <n v="1106"/>
    <n v="4"/>
    <x v="1"/>
    <n v="32"/>
    <n v="3"/>
    <n v="1"/>
    <x v="2"/>
    <n v="4"/>
    <s v="Married"/>
    <x v="753"/>
    <n v="4605"/>
    <n v="1"/>
    <x v="0"/>
    <n v="15"/>
    <n v="3"/>
    <n v="2"/>
    <n v="1"/>
    <n v="7"/>
    <n v="3"/>
    <n v="4"/>
    <n v="7"/>
    <n v="7"/>
    <n v="5"/>
    <n v="6"/>
    <x v="3"/>
    <s v="Mid"/>
    <n v="6281.2528616024974"/>
    <s v="Below salary"/>
    <s v="Medium Risk"/>
  </r>
  <r>
    <n v="26"/>
    <x v="0"/>
    <s v="Travel_Rarely"/>
    <n v="1330"/>
    <x v="1"/>
    <n v="21"/>
    <n v="3"/>
    <s v="Medical"/>
    <n v="1107"/>
    <n v="1"/>
    <x v="1"/>
    <n v="37"/>
    <n v="3"/>
    <n v="1"/>
    <x v="2"/>
    <n v="3"/>
    <s v="Divorced"/>
    <x v="638"/>
    <n v="19373"/>
    <n v="1"/>
    <x v="1"/>
    <n v="20"/>
    <n v="4"/>
    <n v="3"/>
    <n v="1"/>
    <n v="1"/>
    <n v="0"/>
    <n v="2"/>
    <n v="1"/>
    <n v="1"/>
    <n v="0"/>
    <n v="0"/>
    <x v="2"/>
    <s v="Low"/>
    <n v="6281.2528616024974"/>
    <s v="Below salary"/>
    <s v="Low Risk"/>
  </r>
  <r>
    <n v="33"/>
    <x v="0"/>
    <s v="Travel_Rarely"/>
    <n v="1017"/>
    <x v="1"/>
    <n v="25"/>
    <n v="3"/>
    <s v="Medical"/>
    <n v="1108"/>
    <n v="1"/>
    <x v="1"/>
    <n v="55"/>
    <n v="2"/>
    <n v="1"/>
    <x v="1"/>
    <n v="2"/>
    <s v="Single"/>
    <x v="754"/>
    <n v="2993"/>
    <n v="4"/>
    <x v="0"/>
    <n v="20"/>
    <n v="4"/>
    <n v="2"/>
    <n v="0"/>
    <n v="5"/>
    <n v="0"/>
    <n v="3"/>
    <n v="2"/>
    <n v="2"/>
    <n v="2"/>
    <n v="2"/>
    <x v="2"/>
    <s v="Low"/>
    <n v="6281.2528616024974"/>
    <s v="Below salary"/>
    <s v="High Risk"/>
  </r>
  <r>
    <n v="42"/>
    <x v="1"/>
    <s v="Travel_Rarely"/>
    <n v="469"/>
    <x v="1"/>
    <n v="2"/>
    <n v="2"/>
    <s v="Medical"/>
    <n v="1109"/>
    <n v="4"/>
    <x v="1"/>
    <n v="35"/>
    <n v="3"/>
    <n v="4"/>
    <x v="5"/>
    <n v="1"/>
    <s v="Married"/>
    <x v="755"/>
    <n v="14399"/>
    <n v="0"/>
    <x v="1"/>
    <n v="17"/>
    <n v="3"/>
    <n v="4"/>
    <n v="1"/>
    <n v="23"/>
    <n v="3"/>
    <n v="3"/>
    <n v="22"/>
    <n v="6"/>
    <n v="13"/>
    <n v="7"/>
    <x v="0"/>
    <s v="Very High"/>
    <n v="6281.2528616024974"/>
    <s v="Above salary"/>
    <s v="Medium Risk"/>
  </r>
  <r>
    <n v="28"/>
    <x v="0"/>
    <s v="Travel_Frequently"/>
    <n v="1009"/>
    <x v="1"/>
    <n v="1"/>
    <n v="3"/>
    <s v="Medical"/>
    <n v="1111"/>
    <n v="1"/>
    <x v="1"/>
    <n v="45"/>
    <n v="2"/>
    <n v="1"/>
    <x v="2"/>
    <n v="2"/>
    <s v="Divorced"/>
    <x v="756"/>
    <n v="7160"/>
    <n v="1"/>
    <x v="1"/>
    <n v="15"/>
    <n v="3"/>
    <n v="1"/>
    <n v="2"/>
    <n v="1"/>
    <n v="2"/>
    <n v="3"/>
    <n v="1"/>
    <n v="0"/>
    <n v="0"/>
    <n v="0"/>
    <x v="2"/>
    <s v="Low"/>
    <n v="6281.2528616024974"/>
    <s v="Below salary"/>
    <s v="Medium Risk"/>
  </r>
  <r>
    <n v="50"/>
    <x v="0"/>
    <s v="Travel_Frequently"/>
    <n v="959"/>
    <x v="0"/>
    <n v="1"/>
    <n v="4"/>
    <s v="Other"/>
    <n v="1113"/>
    <n v="4"/>
    <x v="1"/>
    <n v="81"/>
    <n v="3"/>
    <n v="2"/>
    <x v="0"/>
    <n v="3"/>
    <s v="Single"/>
    <x v="757"/>
    <n v="17251"/>
    <n v="3"/>
    <x v="0"/>
    <n v="14"/>
    <n v="3"/>
    <n v="4"/>
    <n v="0"/>
    <n v="5"/>
    <n v="4"/>
    <n v="3"/>
    <n v="0"/>
    <n v="0"/>
    <n v="0"/>
    <n v="0"/>
    <x v="1"/>
    <s v="Mid"/>
    <n v="6959.17264573991"/>
    <s v="Below salary"/>
    <s v="Medium Risk"/>
  </r>
  <r>
    <n v="33"/>
    <x v="1"/>
    <s v="Travel_Frequently"/>
    <n v="970"/>
    <x v="0"/>
    <n v="7"/>
    <n v="3"/>
    <s v="Life Sciences"/>
    <n v="1114"/>
    <n v="4"/>
    <x v="0"/>
    <n v="30"/>
    <n v="3"/>
    <n v="2"/>
    <x v="0"/>
    <n v="2"/>
    <s v="Married"/>
    <x v="758"/>
    <n v="13401"/>
    <n v="0"/>
    <x v="1"/>
    <n v="17"/>
    <n v="3"/>
    <n v="3"/>
    <n v="1"/>
    <n v="4"/>
    <n v="3"/>
    <n v="3"/>
    <n v="3"/>
    <n v="2"/>
    <n v="0"/>
    <n v="2"/>
    <x v="2"/>
    <s v="Mid"/>
    <n v="6959.17264573991"/>
    <s v="Below salary"/>
    <s v="Medium Risk"/>
  </r>
  <r>
    <n v="34"/>
    <x v="1"/>
    <s v="Non-Travel"/>
    <n v="697"/>
    <x v="1"/>
    <n v="3"/>
    <n v="4"/>
    <s v="Life Sciences"/>
    <n v="1115"/>
    <n v="3"/>
    <x v="1"/>
    <n v="40"/>
    <n v="2"/>
    <n v="1"/>
    <x v="1"/>
    <n v="4"/>
    <s v="Married"/>
    <x v="759"/>
    <n v="22478"/>
    <n v="3"/>
    <x v="1"/>
    <n v="17"/>
    <n v="3"/>
    <n v="4"/>
    <n v="3"/>
    <n v="6"/>
    <n v="2"/>
    <n v="3"/>
    <n v="0"/>
    <n v="0"/>
    <n v="0"/>
    <n v="0"/>
    <x v="2"/>
    <s v="Low"/>
    <n v="6281.2528616024974"/>
    <s v="Below salary"/>
    <s v="Low Risk"/>
  </r>
  <r>
    <n v="48"/>
    <x v="1"/>
    <s v="Non-Travel"/>
    <n v="1262"/>
    <x v="1"/>
    <n v="1"/>
    <n v="4"/>
    <s v="Medical"/>
    <n v="1116"/>
    <n v="1"/>
    <x v="1"/>
    <n v="35"/>
    <n v="4"/>
    <n v="4"/>
    <x v="5"/>
    <n v="4"/>
    <s v="Single"/>
    <x v="760"/>
    <n v="16154"/>
    <n v="2"/>
    <x v="1"/>
    <n v="22"/>
    <n v="4"/>
    <n v="3"/>
    <n v="0"/>
    <n v="27"/>
    <n v="3"/>
    <n v="2"/>
    <n v="5"/>
    <n v="4"/>
    <n v="2"/>
    <n v="1"/>
    <x v="1"/>
    <s v="Very High"/>
    <n v="6281.2528616024974"/>
    <s v="Above salary"/>
    <s v="Low Risk"/>
  </r>
  <r>
    <n v="45"/>
    <x v="1"/>
    <s v="Non-Travel"/>
    <n v="1050"/>
    <x v="0"/>
    <n v="9"/>
    <n v="4"/>
    <s v="Life Sciences"/>
    <n v="1117"/>
    <n v="2"/>
    <x v="0"/>
    <n v="65"/>
    <n v="2"/>
    <n v="2"/>
    <x v="0"/>
    <n v="3"/>
    <s v="Married"/>
    <x v="761"/>
    <n v="17970"/>
    <n v="1"/>
    <x v="1"/>
    <n v="13"/>
    <n v="3"/>
    <n v="4"/>
    <n v="1"/>
    <n v="15"/>
    <n v="2"/>
    <n v="3"/>
    <n v="15"/>
    <n v="10"/>
    <n v="4"/>
    <n v="12"/>
    <x v="0"/>
    <s v="Mid"/>
    <n v="6959.17264573991"/>
    <s v="Below salary"/>
    <s v="Low Risk"/>
  </r>
  <r>
    <n v="52"/>
    <x v="1"/>
    <s v="Travel_Rarely"/>
    <n v="994"/>
    <x v="1"/>
    <n v="7"/>
    <n v="4"/>
    <s v="Life Sciences"/>
    <n v="1118"/>
    <n v="2"/>
    <x v="1"/>
    <n v="87"/>
    <n v="3"/>
    <n v="3"/>
    <x v="4"/>
    <n v="2"/>
    <s v="Single"/>
    <x v="762"/>
    <n v="15322"/>
    <n v="7"/>
    <x v="1"/>
    <n v="19"/>
    <n v="3"/>
    <n v="4"/>
    <n v="0"/>
    <n v="18"/>
    <n v="4"/>
    <n v="3"/>
    <n v="8"/>
    <n v="6"/>
    <n v="4"/>
    <n v="0"/>
    <x v="1"/>
    <s v="High"/>
    <n v="6281.2528616024974"/>
    <s v="Above salary"/>
    <s v="Medium Risk"/>
  </r>
  <r>
    <n v="38"/>
    <x v="1"/>
    <s v="Travel_Rarely"/>
    <n v="770"/>
    <x v="0"/>
    <n v="10"/>
    <n v="4"/>
    <s v="Marketing"/>
    <n v="1119"/>
    <n v="3"/>
    <x v="1"/>
    <n v="73"/>
    <n v="2"/>
    <n v="3"/>
    <x v="0"/>
    <n v="3"/>
    <s v="Divorced"/>
    <x v="763"/>
    <n v="5569"/>
    <n v="0"/>
    <x v="0"/>
    <n v="14"/>
    <n v="3"/>
    <n v="2"/>
    <n v="2"/>
    <n v="9"/>
    <n v="2"/>
    <n v="3"/>
    <n v="8"/>
    <n v="7"/>
    <n v="2"/>
    <n v="7"/>
    <x v="0"/>
    <s v="High"/>
    <n v="6959.17264573991"/>
    <s v="Above salary"/>
    <s v="Medium Risk"/>
  </r>
  <r>
    <n v="29"/>
    <x v="1"/>
    <s v="Travel_Rarely"/>
    <n v="1107"/>
    <x v="1"/>
    <n v="28"/>
    <n v="4"/>
    <s v="Life Sciences"/>
    <n v="1120"/>
    <n v="3"/>
    <x v="0"/>
    <n v="93"/>
    <n v="3"/>
    <n v="1"/>
    <x v="1"/>
    <n v="4"/>
    <s v="Divorced"/>
    <x v="764"/>
    <n v="26968"/>
    <n v="4"/>
    <x v="1"/>
    <n v="22"/>
    <n v="4"/>
    <n v="1"/>
    <n v="1"/>
    <n v="11"/>
    <n v="1"/>
    <n v="3"/>
    <n v="7"/>
    <n v="5"/>
    <n v="1"/>
    <n v="7"/>
    <x v="2"/>
    <s v="Low"/>
    <n v="6281.2528616024974"/>
    <s v="Below salary"/>
    <s v="Low Risk"/>
  </r>
  <r>
    <n v="28"/>
    <x v="1"/>
    <s v="Travel_Rarely"/>
    <n v="950"/>
    <x v="1"/>
    <n v="3"/>
    <n v="3"/>
    <s v="Medical"/>
    <n v="1121"/>
    <n v="4"/>
    <x v="0"/>
    <n v="93"/>
    <n v="3"/>
    <n v="3"/>
    <x v="3"/>
    <n v="2"/>
    <s v="Divorced"/>
    <x v="765"/>
    <n v="8039"/>
    <n v="0"/>
    <x v="1"/>
    <n v="17"/>
    <n v="3"/>
    <n v="2"/>
    <n v="3"/>
    <n v="10"/>
    <n v="3"/>
    <n v="2"/>
    <n v="9"/>
    <n v="7"/>
    <n v="1"/>
    <n v="7"/>
    <x v="2"/>
    <s v="High"/>
    <n v="6281.2528616024974"/>
    <s v="Above salary"/>
    <s v="Medium Risk"/>
  </r>
  <r>
    <n v="46"/>
    <x v="1"/>
    <s v="Travel_Rarely"/>
    <n v="406"/>
    <x v="0"/>
    <n v="3"/>
    <n v="1"/>
    <s v="Marketing"/>
    <n v="1124"/>
    <n v="1"/>
    <x v="1"/>
    <n v="52"/>
    <n v="3"/>
    <n v="4"/>
    <x v="5"/>
    <n v="3"/>
    <s v="Married"/>
    <x v="766"/>
    <n v="15596"/>
    <n v="3"/>
    <x v="1"/>
    <n v="12"/>
    <n v="3"/>
    <n v="4"/>
    <n v="1"/>
    <n v="23"/>
    <n v="3"/>
    <n v="3"/>
    <n v="12"/>
    <n v="9"/>
    <n v="4"/>
    <n v="9"/>
    <x v="1"/>
    <s v="Very High"/>
    <n v="6959.17264573991"/>
    <s v="Above salary"/>
    <s v="Low Risk"/>
  </r>
  <r>
    <n v="38"/>
    <x v="1"/>
    <s v="Travel_Rarely"/>
    <n v="130"/>
    <x v="0"/>
    <n v="2"/>
    <n v="2"/>
    <s v="Marketing"/>
    <n v="1125"/>
    <n v="4"/>
    <x v="1"/>
    <n v="32"/>
    <n v="3"/>
    <n v="3"/>
    <x v="0"/>
    <n v="2"/>
    <s v="Single"/>
    <x v="767"/>
    <n v="20619"/>
    <n v="7"/>
    <x v="1"/>
    <n v="16"/>
    <n v="3"/>
    <n v="3"/>
    <n v="0"/>
    <n v="10"/>
    <n v="2"/>
    <n v="3"/>
    <n v="1"/>
    <n v="0"/>
    <n v="0"/>
    <n v="0"/>
    <x v="0"/>
    <s v="High"/>
    <n v="6959.17264573991"/>
    <s v="Above salary"/>
    <s v="Medium Risk"/>
  </r>
  <r>
    <n v="43"/>
    <x v="1"/>
    <s v="Travel_Frequently"/>
    <n v="1082"/>
    <x v="1"/>
    <n v="27"/>
    <n v="3"/>
    <s v="Life Sciences"/>
    <n v="1126"/>
    <n v="3"/>
    <x v="0"/>
    <n v="83"/>
    <n v="3"/>
    <n v="3"/>
    <x v="3"/>
    <n v="1"/>
    <s v="Married"/>
    <x v="768"/>
    <n v="11535"/>
    <n v="8"/>
    <x v="1"/>
    <n v="11"/>
    <n v="3"/>
    <n v="3"/>
    <n v="1"/>
    <n v="18"/>
    <n v="1"/>
    <n v="3"/>
    <n v="8"/>
    <n v="7"/>
    <n v="0"/>
    <n v="1"/>
    <x v="0"/>
    <s v="High"/>
    <n v="6281.2528616024974"/>
    <s v="Above salary"/>
    <s v="Medium Risk"/>
  </r>
  <r>
    <n v="39"/>
    <x v="0"/>
    <s v="Travel_Frequently"/>
    <n v="203"/>
    <x v="1"/>
    <n v="2"/>
    <n v="3"/>
    <s v="Life Sciences"/>
    <n v="1127"/>
    <n v="1"/>
    <x v="1"/>
    <n v="84"/>
    <n v="3"/>
    <n v="4"/>
    <x v="4"/>
    <n v="4"/>
    <s v="Divorced"/>
    <x v="769"/>
    <n v="13547"/>
    <n v="7"/>
    <x v="1"/>
    <n v="11"/>
    <n v="3"/>
    <n v="4"/>
    <n v="3"/>
    <n v="21"/>
    <n v="4"/>
    <n v="3"/>
    <n v="18"/>
    <n v="7"/>
    <n v="11"/>
    <n v="5"/>
    <x v="0"/>
    <s v="Very High"/>
    <n v="6281.2528616024974"/>
    <s v="Above salary"/>
    <s v="Low Risk"/>
  </r>
  <r>
    <n v="40"/>
    <x v="1"/>
    <s v="Travel_Rarely"/>
    <n v="1308"/>
    <x v="1"/>
    <n v="14"/>
    <n v="3"/>
    <s v="Medical"/>
    <n v="1128"/>
    <n v="3"/>
    <x v="1"/>
    <n v="44"/>
    <n v="2"/>
    <n v="5"/>
    <x v="7"/>
    <n v="3"/>
    <s v="Single"/>
    <x v="770"/>
    <n v="17544"/>
    <n v="1"/>
    <x v="1"/>
    <n v="14"/>
    <n v="3"/>
    <n v="1"/>
    <n v="0"/>
    <n v="21"/>
    <n v="2"/>
    <n v="4"/>
    <n v="20"/>
    <n v="7"/>
    <n v="4"/>
    <n v="9"/>
    <x v="0"/>
    <s v="Very High"/>
    <n v="6281.2528616024974"/>
    <s v="Above salary"/>
    <s v="Low Risk"/>
  </r>
  <r>
    <n v="21"/>
    <x v="1"/>
    <s v="Travel_Rarely"/>
    <n v="984"/>
    <x v="1"/>
    <n v="1"/>
    <n v="1"/>
    <s v="Technical Degree"/>
    <n v="1131"/>
    <n v="4"/>
    <x v="0"/>
    <n v="70"/>
    <n v="2"/>
    <n v="1"/>
    <x v="1"/>
    <n v="2"/>
    <s v="Single"/>
    <x v="266"/>
    <n v="25326"/>
    <n v="1"/>
    <x v="0"/>
    <n v="11"/>
    <n v="3"/>
    <n v="3"/>
    <n v="0"/>
    <n v="2"/>
    <n v="6"/>
    <n v="4"/>
    <n v="2"/>
    <n v="2"/>
    <n v="2"/>
    <n v="2"/>
    <x v="3"/>
    <s v="Low"/>
    <n v="6281.2528616024974"/>
    <s v="Below salary"/>
    <s v="High Risk"/>
  </r>
  <r>
    <n v="39"/>
    <x v="1"/>
    <s v="Non-Travel"/>
    <n v="439"/>
    <x v="1"/>
    <n v="9"/>
    <n v="3"/>
    <s v="Life Sciences"/>
    <n v="1132"/>
    <n v="3"/>
    <x v="1"/>
    <n v="70"/>
    <n v="3"/>
    <n v="2"/>
    <x v="2"/>
    <n v="2"/>
    <s v="Single"/>
    <x v="771"/>
    <n v="8770"/>
    <n v="9"/>
    <x v="1"/>
    <n v="15"/>
    <n v="3"/>
    <n v="3"/>
    <n v="0"/>
    <n v="9"/>
    <n v="2"/>
    <n v="2"/>
    <n v="5"/>
    <n v="4"/>
    <n v="0"/>
    <n v="3"/>
    <x v="0"/>
    <s v="Mid"/>
    <n v="6281.2528616024974"/>
    <s v="Above salary"/>
    <s v="Medium Risk"/>
  </r>
  <r>
    <n v="36"/>
    <x v="1"/>
    <s v="Non-Travel"/>
    <n v="217"/>
    <x v="1"/>
    <n v="18"/>
    <n v="4"/>
    <s v="Life Sciences"/>
    <n v="1133"/>
    <n v="1"/>
    <x v="1"/>
    <n v="78"/>
    <n v="3"/>
    <n v="2"/>
    <x v="3"/>
    <n v="4"/>
    <s v="Single"/>
    <x v="772"/>
    <n v="23238"/>
    <n v="2"/>
    <x v="1"/>
    <n v="20"/>
    <n v="4"/>
    <n v="1"/>
    <n v="0"/>
    <n v="18"/>
    <n v="0"/>
    <n v="3"/>
    <n v="11"/>
    <n v="9"/>
    <n v="0"/>
    <n v="9"/>
    <x v="0"/>
    <s v="High"/>
    <n v="6281.2528616024974"/>
    <s v="Above salary"/>
    <s v="Low Risk"/>
  </r>
  <r>
    <n v="31"/>
    <x v="1"/>
    <s v="Travel_Frequently"/>
    <n v="793"/>
    <x v="0"/>
    <n v="20"/>
    <n v="3"/>
    <s v="Life Sciences"/>
    <n v="1135"/>
    <n v="3"/>
    <x v="1"/>
    <n v="67"/>
    <n v="4"/>
    <n v="1"/>
    <x v="6"/>
    <n v="4"/>
    <s v="Married"/>
    <x v="773"/>
    <n v="21981"/>
    <n v="0"/>
    <x v="1"/>
    <n v="12"/>
    <n v="3"/>
    <n v="1"/>
    <n v="1"/>
    <n v="3"/>
    <n v="4"/>
    <n v="3"/>
    <n v="2"/>
    <n v="2"/>
    <n v="2"/>
    <n v="2"/>
    <x v="2"/>
    <s v="Low"/>
    <n v="6959.17264573991"/>
    <s v="Below salary"/>
    <s v="Low Risk"/>
  </r>
  <r>
    <n v="28"/>
    <x v="1"/>
    <s v="Travel_Rarely"/>
    <n v="1451"/>
    <x v="1"/>
    <n v="2"/>
    <n v="1"/>
    <s v="Life Sciences"/>
    <n v="1136"/>
    <n v="1"/>
    <x v="1"/>
    <n v="67"/>
    <n v="2"/>
    <n v="1"/>
    <x v="1"/>
    <n v="2"/>
    <s v="Married"/>
    <x v="774"/>
    <n v="19911"/>
    <n v="0"/>
    <x v="1"/>
    <n v="17"/>
    <n v="3"/>
    <n v="1"/>
    <n v="0"/>
    <n v="6"/>
    <n v="2"/>
    <n v="1"/>
    <n v="5"/>
    <n v="3"/>
    <n v="0"/>
    <n v="4"/>
    <x v="2"/>
    <s v="Mid"/>
    <n v="6281.2528616024974"/>
    <s v="Below salary"/>
    <s v="Medium Risk"/>
  </r>
  <r>
    <n v="35"/>
    <x v="1"/>
    <s v="Travel_Frequently"/>
    <n v="1182"/>
    <x v="0"/>
    <n v="11"/>
    <n v="2"/>
    <s v="Marketing"/>
    <n v="1137"/>
    <n v="4"/>
    <x v="1"/>
    <n v="54"/>
    <n v="3"/>
    <n v="2"/>
    <x v="0"/>
    <n v="4"/>
    <s v="Divorced"/>
    <x v="775"/>
    <n v="18500"/>
    <n v="1"/>
    <x v="1"/>
    <n v="11"/>
    <n v="3"/>
    <n v="4"/>
    <n v="1"/>
    <n v="5"/>
    <n v="3"/>
    <n v="3"/>
    <n v="5"/>
    <n v="2"/>
    <n v="0"/>
    <n v="2"/>
    <x v="2"/>
    <s v="Mid"/>
    <n v="6959.17264573991"/>
    <s v="Below salary"/>
    <s v="Low Risk"/>
  </r>
  <r>
    <n v="49"/>
    <x v="1"/>
    <s v="Travel_Rarely"/>
    <n v="174"/>
    <x v="0"/>
    <n v="8"/>
    <n v="4"/>
    <s v="Technical Degree"/>
    <n v="1138"/>
    <n v="4"/>
    <x v="1"/>
    <n v="56"/>
    <n v="2"/>
    <n v="4"/>
    <x v="0"/>
    <n v="2"/>
    <s v="Married"/>
    <x v="776"/>
    <n v="11879"/>
    <n v="6"/>
    <x v="1"/>
    <n v="17"/>
    <n v="3"/>
    <n v="2"/>
    <n v="1"/>
    <n v="22"/>
    <n v="3"/>
    <n v="3"/>
    <n v="9"/>
    <n v="8"/>
    <n v="2"/>
    <n v="3"/>
    <x v="1"/>
    <s v="Very High"/>
    <n v="6959.17264573991"/>
    <s v="Above salary"/>
    <s v="Medium Risk"/>
  </r>
  <r>
    <n v="34"/>
    <x v="1"/>
    <s v="Travel_Frequently"/>
    <n v="1003"/>
    <x v="1"/>
    <n v="2"/>
    <n v="2"/>
    <s v="Life Sciences"/>
    <n v="1140"/>
    <n v="4"/>
    <x v="1"/>
    <n v="95"/>
    <n v="3"/>
    <n v="2"/>
    <x v="3"/>
    <n v="3"/>
    <s v="Single"/>
    <x v="777"/>
    <n v="15834"/>
    <n v="2"/>
    <x v="1"/>
    <n v="11"/>
    <n v="3"/>
    <n v="4"/>
    <n v="0"/>
    <n v="5"/>
    <n v="3"/>
    <n v="2"/>
    <n v="3"/>
    <n v="2"/>
    <n v="0"/>
    <n v="2"/>
    <x v="2"/>
    <s v="Mid"/>
    <n v="6281.2528616024974"/>
    <s v="Below salary"/>
    <s v="Low Risk"/>
  </r>
  <r>
    <n v="29"/>
    <x v="1"/>
    <s v="Travel_Frequently"/>
    <n v="490"/>
    <x v="1"/>
    <n v="10"/>
    <n v="3"/>
    <s v="Life Sciences"/>
    <n v="1143"/>
    <n v="4"/>
    <x v="0"/>
    <n v="61"/>
    <n v="3"/>
    <n v="1"/>
    <x v="1"/>
    <n v="2"/>
    <s v="Divorced"/>
    <x v="778"/>
    <n v="17940"/>
    <n v="0"/>
    <x v="1"/>
    <n v="14"/>
    <n v="3"/>
    <n v="4"/>
    <n v="2"/>
    <n v="8"/>
    <n v="2"/>
    <n v="2"/>
    <n v="7"/>
    <n v="5"/>
    <n v="1"/>
    <n v="1"/>
    <x v="2"/>
    <s v="Mid"/>
    <n v="6281.2528616024974"/>
    <s v="Below salary"/>
    <s v="Medium Risk"/>
  </r>
  <r>
    <n v="42"/>
    <x v="1"/>
    <s v="Travel_Rarely"/>
    <n v="188"/>
    <x v="1"/>
    <n v="29"/>
    <n v="3"/>
    <s v="Medical"/>
    <n v="1148"/>
    <n v="2"/>
    <x v="1"/>
    <n v="56"/>
    <n v="1"/>
    <n v="2"/>
    <x v="2"/>
    <n v="4"/>
    <s v="Single"/>
    <x v="779"/>
    <n v="9558"/>
    <n v="4"/>
    <x v="1"/>
    <n v="19"/>
    <n v="3"/>
    <n v="1"/>
    <n v="0"/>
    <n v="16"/>
    <n v="3"/>
    <n v="3"/>
    <n v="1"/>
    <n v="0"/>
    <n v="0"/>
    <n v="0"/>
    <x v="0"/>
    <s v="Mid"/>
    <n v="6281.2528616024974"/>
    <s v="Below salary"/>
    <s v="Low Risk"/>
  </r>
  <r>
    <n v="29"/>
    <x v="1"/>
    <s v="Travel_Rarely"/>
    <n v="718"/>
    <x v="1"/>
    <n v="8"/>
    <n v="1"/>
    <s v="Medical"/>
    <n v="1150"/>
    <n v="2"/>
    <x v="1"/>
    <n v="79"/>
    <n v="2"/>
    <n v="2"/>
    <x v="3"/>
    <n v="4"/>
    <s v="Married"/>
    <x v="780"/>
    <n v="17689"/>
    <n v="1"/>
    <x v="0"/>
    <n v="15"/>
    <n v="3"/>
    <n v="3"/>
    <n v="1"/>
    <n v="10"/>
    <n v="2"/>
    <n v="2"/>
    <n v="10"/>
    <n v="7"/>
    <n v="1"/>
    <n v="2"/>
    <x v="2"/>
    <s v="Mid"/>
    <n v="6281.2528616024974"/>
    <s v="Below salary"/>
    <s v="Medium Risk"/>
  </r>
  <r>
    <n v="38"/>
    <x v="1"/>
    <s v="Travel_Rarely"/>
    <n v="433"/>
    <x v="2"/>
    <n v="1"/>
    <n v="3"/>
    <s v="Human Resources"/>
    <n v="1152"/>
    <n v="3"/>
    <x v="1"/>
    <n v="37"/>
    <n v="4"/>
    <n v="1"/>
    <x v="8"/>
    <n v="3"/>
    <s v="Married"/>
    <x v="781"/>
    <n v="6004"/>
    <n v="1"/>
    <x v="1"/>
    <n v="13"/>
    <n v="3"/>
    <n v="4"/>
    <n v="1"/>
    <n v="7"/>
    <n v="2"/>
    <n v="4"/>
    <n v="7"/>
    <n v="6"/>
    <n v="5"/>
    <n v="0"/>
    <x v="0"/>
    <s v="Low"/>
    <n v="6654.5079365079364"/>
    <s v="Below salary"/>
    <s v="Low Risk"/>
  </r>
  <r>
    <n v="28"/>
    <x v="1"/>
    <s v="Travel_Frequently"/>
    <n v="773"/>
    <x v="1"/>
    <n v="6"/>
    <n v="3"/>
    <s v="Life Sciences"/>
    <n v="1154"/>
    <n v="3"/>
    <x v="1"/>
    <n v="39"/>
    <n v="2"/>
    <n v="1"/>
    <x v="1"/>
    <n v="3"/>
    <s v="Divorced"/>
    <x v="68"/>
    <n v="22088"/>
    <n v="1"/>
    <x v="0"/>
    <n v="14"/>
    <n v="3"/>
    <n v="4"/>
    <n v="1"/>
    <n v="3"/>
    <n v="2"/>
    <n v="3"/>
    <n v="3"/>
    <n v="1"/>
    <n v="0"/>
    <n v="2"/>
    <x v="2"/>
    <s v="Low"/>
    <n v="6281.2528616024974"/>
    <s v="Below salary"/>
    <s v="Medium Risk"/>
  </r>
  <r>
    <n v="18"/>
    <x v="0"/>
    <s v="Non-Travel"/>
    <n v="247"/>
    <x v="1"/>
    <n v="8"/>
    <n v="1"/>
    <s v="Medical"/>
    <n v="1156"/>
    <n v="3"/>
    <x v="1"/>
    <n v="80"/>
    <n v="3"/>
    <n v="1"/>
    <x v="2"/>
    <n v="3"/>
    <s v="Single"/>
    <x v="782"/>
    <n v="13556"/>
    <n v="1"/>
    <x v="1"/>
    <n v="12"/>
    <n v="3"/>
    <n v="4"/>
    <n v="0"/>
    <n v="0"/>
    <n v="0"/>
    <n v="3"/>
    <n v="0"/>
    <n v="0"/>
    <n v="0"/>
    <n v="0"/>
    <x v="3"/>
    <s v="Low"/>
    <n v="6281.2528616024974"/>
    <s v="Below salary"/>
    <s v="Low Risk"/>
  </r>
  <r>
    <n v="33"/>
    <x v="0"/>
    <s v="Travel_Rarely"/>
    <n v="603"/>
    <x v="0"/>
    <n v="9"/>
    <n v="4"/>
    <s v="Marketing"/>
    <n v="1157"/>
    <n v="1"/>
    <x v="0"/>
    <n v="77"/>
    <n v="3"/>
    <n v="2"/>
    <x v="0"/>
    <n v="1"/>
    <s v="Single"/>
    <x v="783"/>
    <n v="18385"/>
    <n v="0"/>
    <x v="0"/>
    <n v="17"/>
    <n v="3"/>
    <n v="1"/>
    <n v="0"/>
    <n v="6"/>
    <n v="3"/>
    <n v="3"/>
    <n v="5"/>
    <n v="2"/>
    <n v="0"/>
    <n v="3"/>
    <x v="2"/>
    <s v="High"/>
    <n v="6959.17264573991"/>
    <s v="Above salary"/>
    <s v="High Risk"/>
  </r>
  <r>
    <n v="41"/>
    <x v="1"/>
    <s v="Travel_Rarely"/>
    <n v="167"/>
    <x v="1"/>
    <n v="12"/>
    <n v="4"/>
    <s v="Life Sciences"/>
    <n v="1158"/>
    <n v="2"/>
    <x v="1"/>
    <n v="46"/>
    <n v="3"/>
    <n v="1"/>
    <x v="2"/>
    <n v="4"/>
    <s v="Married"/>
    <x v="784"/>
    <n v="9051"/>
    <n v="3"/>
    <x v="0"/>
    <n v="11"/>
    <n v="3"/>
    <n v="1"/>
    <n v="1"/>
    <n v="6"/>
    <n v="4"/>
    <n v="3"/>
    <n v="1"/>
    <n v="0"/>
    <n v="0"/>
    <n v="0"/>
    <x v="0"/>
    <s v="Mid"/>
    <n v="6281.2528616024974"/>
    <s v="Below salary"/>
    <s v="Medium Risk"/>
  </r>
  <r>
    <n v="31"/>
    <x v="0"/>
    <s v="Travel_Frequently"/>
    <n v="874"/>
    <x v="1"/>
    <n v="15"/>
    <n v="3"/>
    <s v="Medical"/>
    <n v="1160"/>
    <n v="3"/>
    <x v="1"/>
    <n v="72"/>
    <n v="3"/>
    <n v="1"/>
    <x v="2"/>
    <n v="3"/>
    <s v="Married"/>
    <x v="353"/>
    <n v="6233"/>
    <n v="1"/>
    <x v="1"/>
    <n v="12"/>
    <n v="3"/>
    <n v="3"/>
    <n v="1"/>
    <n v="2"/>
    <n v="5"/>
    <n v="2"/>
    <n v="2"/>
    <n v="2"/>
    <n v="2"/>
    <n v="2"/>
    <x v="2"/>
    <s v="Low"/>
    <n v="6281.2528616024974"/>
    <s v="Below salary"/>
    <s v="Low Risk"/>
  </r>
  <r>
    <n v="37"/>
    <x v="1"/>
    <s v="Travel_Rarely"/>
    <n v="367"/>
    <x v="1"/>
    <n v="25"/>
    <n v="2"/>
    <s v="Medical"/>
    <n v="1161"/>
    <n v="3"/>
    <x v="0"/>
    <n v="52"/>
    <n v="2"/>
    <n v="2"/>
    <x v="4"/>
    <n v="4"/>
    <s v="Divorced"/>
    <x v="785"/>
    <n v="17171"/>
    <n v="7"/>
    <x v="1"/>
    <n v="13"/>
    <n v="3"/>
    <n v="3"/>
    <n v="2"/>
    <n v="9"/>
    <n v="2"/>
    <n v="3"/>
    <n v="6"/>
    <n v="2"/>
    <n v="1"/>
    <n v="3"/>
    <x v="0"/>
    <s v="Mid"/>
    <n v="6281.2528616024974"/>
    <s v="Below salary"/>
    <s v="Low Risk"/>
  </r>
  <r>
    <n v="27"/>
    <x v="1"/>
    <s v="Travel_Rarely"/>
    <n v="199"/>
    <x v="1"/>
    <n v="6"/>
    <n v="3"/>
    <s v="Life Sciences"/>
    <n v="1162"/>
    <n v="4"/>
    <x v="1"/>
    <n v="55"/>
    <n v="2"/>
    <n v="1"/>
    <x v="1"/>
    <n v="3"/>
    <s v="Married"/>
    <x v="786"/>
    <n v="7950"/>
    <n v="1"/>
    <x v="1"/>
    <n v="13"/>
    <n v="3"/>
    <n v="3"/>
    <n v="1"/>
    <n v="4"/>
    <n v="0"/>
    <n v="3"/>
    <n v="4"/>
    <n v="2"/>
    <n v="2"/>
    <n v="2"/>
    <x v="2"/>
    <s v="Low"/>
    <n v="6281.2528616024974"/>
    <s v="Below salary"/>
    <s v="Low Risk"/>
  </r>
  <r>
    <n v="34"/>
    <x v="1"/>
    <s v="Travel_Rarely"/>
    <n v="1400"/>
    <x v="0"/>
    <n v="9"/>
    <n v="1"/>
    <s v="Life Sciences"/>
    <n v="1163"/>
    <n v="2"/>
    <x v="0"/>
    <n v="70"/>
    <n v="3"/>
    <n v="2"/>
    <x v="0"/>
    <n v="3"/>
    <s v="Married"/>
    <x v="787"/>
    <n v="5829"/>
    <n v="1"/>
    <x v="1"/>
    <n v="20"/>
    <n v="4"/>
    <n v="1"/>
    <n v="0"/>
    <n v="6"/>
    <n v="3"/>
    <n v="2"/>
    <n v="6"/>
    <n v="5"/>
    <n v="1"/>
    <n v="3"/>
    <x v="2"/>
    <s v="Mid"/>
    <n v="6959.17264573991"/>
    <s v="Below salary"/>
    <s v="Low Risk"/>
  </r>
  <r>
    <n v="35"/>
    <x v="1"/>
    <s v="Travel_Rarely"/>
    <n v="528"/>
    <x v="2"/>
    <n v="8"/>
    <n v="4"/>
    <s v="Technical Degree"/>
    <n v="1164"/>
    <n v="3"/>
    <x v="1"/>
    <n v="100"/>
    <n v="3"/>
    <n v="1"/>
    <x v="8"/>
    <n v="3"/>
    <s v="Single"/>
    <x v="788"/>
    <n v="7108"/>
    <n v="1"/>
    <x v="1"/>
    <n v="17"/>
    <n v="3"/>
    <n v="2"/>
    <n v="0"/>
    <n v="6"/>
    <n v="2"/>
    <n v="1"/>
    <n v="5"/>
    <n v="4"/>
    <n v="1"/>
    <n v="4"/>
    <x v="2"/>
    <s v="Mid"/>
    <n v="6654.5079365079364"/>
    <s v="Below salary"/>
    <s v="Low Risk"/>
  </r>
  <r>
    <n v="29"/>
    <x v="0"/>
    <s v="Travel_Rarely"/>
    <n v="408"/>
    <x v="0"/>
    <n v="23"/>
    <n v="1"/>
    <s v="Life Sciences"/>
    <n v="1165"/>
    <n v="4"/>
    <x v="0"/>
    <n v="45"/>
    <n v="2"/>
    <n v="3"/>
    <x v="0"/>
    <n v="1"/>
    <s v="Married"/>
    <x v="789"/>
    <n v="11162"/>
    <n v="1"/>
    <x v="1"/>
    <n v="13"/>
    <n v="3"/>
    <n v="1"/>
    <n v="1"/>
    <n v="11"/>
    <n v="3"/>
    <n v="1"/>
    <n v="11"/>
    <n v="8"/>
    <n v="3"/>
    <n v="10"/>
    <x v="2"/>
    <s v="High"/>
    <n v="6959.17264573991"/>
    <s v="Above salary"/>
    <s v="Medium Risk"/>
  </r>
  <r>
    <n v="40"/>
    <x v="1"/>
    <s v="Travel_Frequently"/>
    <n v="593"/>
    <x v="1"/>
    <n v="9"/>
    <n v="4"/>
    <s v="Medical"/>
    <n v="1166"/>
    <n v="2"/>
    <x v="0"/>
    <n v="88"/>
    <n v="3"/>
    <n v="3"/>
    <x v="7"/>
    <n v="3"/>
    <s v="Single"/>
    <x v="790"/>
    <n v="13782"/>
    <n v="9"/>
    <x v="1"/>
    <n v="17"/>
    <n v="3"/>
    <n v="3"/>
    <n v="0"/>
    <n v="20"/>
    <n v="3"/>
    <n v="2"/>
    <n v="18"/>
    <n v="7"/>
    <n v="2"/>
    <n v="13"/>
    <x v="0"/>
    <s v="Very High"/>
    <n v="6281.2528616024974"/>
    <s v="Above salary"/>
    <s v="Low Risk"/>
  </r>
  <r>
    <n v="42"/>
    <x v="0"/>
    <s v="Travel_Frequently"/>
    <n v="481"/>
    <x v="0"/>
    <n v="12"/>
    <n v="3"/>
    <s v="Life Sciences"/>
    <n v="1167"/>
    <n v="3"/>
    <x v="1"/>
    <n v="44"/>
    <n v="3"/>
    <n v="4"/>
    <x v="0"/>
    <n v="1"/>
    <s v="Single"/>
    <x v="791"/>
    <n v="2447"/>
    <n v="0"/>
    <x v="0"/>
    <n v="12"/>
    <n v="3"/>
    <n v="2"/>
    <n v="0"/>
    <n v="22"/>
    <n v="2"/>
    <n v="2"/>
    <n v="21"/>
    <n v="9"/>
    <n v="13"/>
    <n v="14"/>
    <x v="0"/>
    <s v="Very High"/>
    <n v="6959.17264573991"/>
    <s v="Above salary"/>
    <s v="High Risk"/>
  </r>
  <r>
    <n v="42"/>
    <x v="1"/>
    <s v="Travel_Rarely"/>
    <n v="647"/>
    <x v="0"/>
    <n v="4"/>
    <n v="4"/>
    <s v="Marketing"/>
    <n v="1171"/>
    <n v="2"/>
    <x v="1"/>
    <n v="45"/>
    <n v="3"/>
    <n v="2"/>
    <x v="0"/>
    <n v="1"/>
    <s v="Single"/>
    <x v="792"/>
    <n v="2253"/>
    <n v="7"/>
    <x v="1"/>
    <n v="13"/>
    <n v="3"/>
    <n v="4"/>
    <n v="0"/>
    <n v="9"/>
    <n v="3"/>
    <n v="4"/>
    <n v="6"/>
    <n v="4"/>
    <n v="1"/>
    <n v="5"/>
    <x v="0"/>
    <s v="Mid"/>
    <n v="6959.17264573991"/>
    <s v="Below salary"/>
    <s v="Medium Risk"/>
  </r>
  <r>
    <n v="35"/>
    <x v="1"/>
    <s v="Travel_Rarely"/>
    <n v="982"/>
    <x v="1"/>
    <n v="1"/>
    <n v="4"/>
    <s v="Medical"/>
    <n v="1172"/>
    <n v="4"/>
    <x v="1"/>
    <n v="58"/>
    <n v="2"/>
    <n v="1"/>
    <x v="2"/>
    <n v="3"/>
    <s v="Married"/>
    <x v="384"/>
    <n v="16340"/>
    <n v="6"/>
    <x v="1"/>
    <n v="12"/>
    <n v="3"/>
    <n v="2"/>
    <n v="1"/>
    <n v="10"/>
    <n v="2"/>
    <n v="3"/>
    <n v="8"/>
    <n v="0"/>
    <n v="1"/>
    <n v="7"/>
    <x v="2"/>
    <s v="Low"/>
    <n v="6281.2528616024974"/>
    <s v="Below salary"/>
    <s v="Low Risk"/>
  </r>
  <r>
    <n v="24"/>
    <x v="1"/>
    <s v="Travel_Rarely"/>
    <n v="477"/>
    <x v="1"/>
    <n v="24"/>
    <n v="3"/>
    <s v="Medical"/>
    <n v="1173"/>
    <n v="4"/>
    <x v="1"/>
    <n v="49"/>
    <n v="3"/>
    <n v="1"/>
    <x v="2"/>
    <n v="2"/>
    <s v="Single"/>
    <x v="793"/>
    <n v="6409"/>
    <n v="8"/>
    <x v="1"/>
    <n v="22"/>
    <n v="4"/>
    <n v="4"/>
    <n v="0"/>
    <n v="6"/>
    <n v="2"/>
    <n v="3"/>
    <n v="4"/>
    <n v="3"/>
    <n v="1"/>
    <n v="2"/>
    <x v="3"/>
    <s v="Mid"/>
    <n v="6281.2528616024974"/>
    <s v="Below salary"/>
    <s v="Medium Risk"/>
  </r>
  <r>
    <n v="28"/>
    <x v="0"/>
    <s v="Travel_Rarely"/>
    <n v="1485"/>
    <x v="1"/>
    <n v="12"/>
    <n v="1"/>
    <s v="Life Sciences"/>
    <n v="1175"/>
    <n v="3"/>
    <x v="0"/>
    <n v="79"/>
    <n v="3"/>
    <n v="1"/>
    <x v="2"/>
    <n v="4"/>
    <s v="Married"/>
    <x v="605"/>
    <n v="22955"/>
    <n v="1"/>
    <x v="0"/>
    <n v="11"/>
    <n v="3"/>
    <n v="4"/>
    <n v="0"/>
    <n v="1"/>
    <n v="4"/>
    <n v="2"/>
    <n v="1"/>
    <n v="1"/>
    <n v="0"/>
    <n v="0"/>
    <x v="2"/>
    <s v="Low"/>
    <n v="6281.2528616024974"/>
    <s v="Below salary"/>
    <s v="Medium Risk"/>
  </r>
  <r>
    <n v="26"/>
    <x v="1"/>
    <s v="Travel_Rarely"/>
    <n v="1384"/>
    <x v="1"/>
    <n v="3"/>
    <n v="4"/>
    <s v="Medical"/>
    <n v="1177"/>
    <n v="1"/>
    <x v="1"/>
    <n v="82"/>
    <n v="4"/>
    <n v="1"/>
    <x v="2"/>
    <n v="4"/>
    <s v="Married"/>
    <x v="794"/>
    <n v="13421"/>
    <n v="1"/>
    <x v="1"/>
    <n v="22"/>
    <n v="4"/>
    <n v="2"/>
    <n v="1"/>
    <n v="8"/>
    <n v="2"/>
    <n v="3"/>
    <n v="8"/>
    <n v="7"/>
    <n v="0"/>
    <n v="7"/>
    <x v="2"/>
    <s v="Mid"/>
    <n v="6281.2528616024974"/>
    <s v="Below salary"/>
    <s v="Low Risk"/>
  </r>
  <r>
    <n v="30"/>
    <x v="1"/>
    <s v="Travel_Rarely"/>
    <n v="852"/>
    <x v="0"/>
    <n v="10"/>
    <n v="3"/>
    <s v="Marketing"/>
    <n v="1179"/>
    <n v="3"/>
    <x v="1"/>
    <n v="72"/>
    <n v="2"/>
    <n v="2"/>
    <x v="0"/>
    <n v="3"/>
    <s v="Married"/>
    <x v="795"/>
    <n v="2706"/>
    <n v="1"/>
    <x v="1"/>
    <n v="18"/>
    <n v="3"/>
    <n v="1"/>
    <n v="1"/>
    <n v="10"/>
    <n v="3"/>
    <n v="3"/>
    <n v="10"/>
    <n v="3"/>
    <n v="1"/>
    <n v="4"/>
    <x v="2"/>
    <s v="Mid"/>
    <n v="6959.17264573991"/>
    <s v="Below salary"/>
    <s v="Low Risk"/>
  </r>
  <r>
    <n v="40"/>
    <x v="1"/>
    <s v="Travel_Frequently"/>
    <n v="902"/>
    <x v="1"/>
    <n v="26"/>
    <n v="2"/>
    <s v="Medical"/>
    <n v="1180"/>
    <n v="3"/>
    <x v="0"/>
    <n v="92"/>
    <n v="2"/>
    <n v="2"/>
    <x v="1"/>
    <n v="4"/>
    <s v="Married"/>
    <x v="796"/>
    <n v="21203"/>
    <n v="3"/>
    <x v="0"/>
    <n v="13"/>
    <n v="3"/>
    <n v="4"/>
    <n v="1"/>
    <n v="16"/>
    <n v="3"/>
    <n v="1"/>
    <n v="1"/>
    <n v="1"/>
    <n v="0"/>
    <n v="0"/>
    <x v="0"/>
    <s v="Mid"/>
    <n v="6281.2528616024974"/>
    <s v="Below salary"/>
    <s v="Medium Risk"/>
  </r>
  <r>
    <n v="35"/>
    <x v="1"/>
    <s v="Travel_Rarely"/>
    <n v="819"/>
    <x v="1"/>
    <n v="2"/>
    <n v="3"/>
    <s v="Life Sciences"/>
    <n v="1182"/>
    <n v="3"/>
    <x v="1"/>
    <n v="44"/>
    <n v="2"/>
    <n v="3"/>
    <x v="3"/>
    <n v="2"/>
    <s v="Divorced"/>
    <x v="797"/>
    <n v="19588"/>
    <n v="2"/>
    <x v="1"/>
    <n v="18"/>
    <n v="3"/>
    <n v="2"/>
    <n v="1"/>
    <n v="15"/>
    <n v="2"/>
    <n v="4"/>
    <n v="7"/>
    <n v="7"/>
    <n v="6"/>
    <n v="4"/>
    <x v="2"/>
    <s v="High"/>
    <n v="6281.2528616024974"/>
    <s v="Above salary"/>
    <s v="Medium Risk"/>
  </r>
  <r>
    <n v="34"/>
    <x v="1"/>
    <s v="Travel_Frequently"/>
    <n v="669"/>
    <x v="1"/>
    <n v="1"/>
    <n v="3"/>
    <s v="Medical"/>
    <n v="1184"/>
    <n v="4"/>
    <x v="1"/>
    <n v="97"/>
    <n v="2"/>
    <n v="2"/>
    <x v="4"/>
    <n v="1"/>
    <s v="Single"/>
    <x v="798"/>
    <n v="25755"/>
    <n v="0"/>
    <x v="1"/>
    <n v="20"/>
    <n v="4"/>
    <n v="3"/>
    <n v="0"/>
    <n v="14"/>
    <n v="3"/>
    <n v="3"/>
    <n v="13"/>
    <n v="9"/>
    <n v="4"/>
    <n v="9"/>
    <x v="2"/>
    <s v="Mid"/>
    <n v="6281.2528616024974"/>
    <s v="Below salary"/>
    <s v="Medium Risk"/>
  </r>
  <r>
    <n v="35"/>
    <x v="1"/>
    <s v="Travel_Frequently"/>
    <n v="636"/>
    <x v="1"/>
    <n v="4"/>
    <n v="4"/>
    <s v="Other"/>
    <n v="1185"/>
    <n v="4"/>
    <x v="1"/>
    <n v="47"/>
    <n v="2"/>
    <n v="1"/>
    <x v="2"/>
    <n v="4"/>
    <s v="Married"/>
    <x v="799"/>
    <n v="26537"/>
    <n v="1"/>
    <x v="1"/>
    <n v="13"/>
    <n v="3"/>
    <n v="2"/>
    <n v="1"/>
    <n v="2"/>
    <n v="2"/>
    <n v="4"/>
    <n v="2"/>
    <n v="2"/>
    <n v="2"/>
    <n v="2"/>
    <x v="2"/>
    <s v="Low"/>
    <n v="6281.2528616024974"/>
    <s v="Below salary"/>
    <s v="Low Risk"/>
  </r>
  <r>
    <n v="43"/>
    <x v="0"/>
    <s v="Travel_Rarely"/>
    <n v="1372"/>
    <x v="0"/>
    <n v="9"/>
    <n v="3"/>
    <s v="Marketing"/>
    <n v="1188"/>
    <n v="1"/>
    <x v="0"/>
    <n v="85"/>
    <n v="1"/>
    <n v="2"/>
    <x v="0"/>
    <n v="3"/>
    <s v="Single"/>
    <x v="800"/>
    <n v="9489"/>
    <n v="8"/>
    <x v="1"/>
    <n v="13"/>
    <n v="3"/>
    <n v="2"/>
    <n v="0"/>
    <n v="7"/>
    <n v="2"/>
    <n v="2"/>
    <n v="4"/>
    <n v="3"/>
    <n v="1"/>
    <n v="3"/>
    <x v="0"/>
    <s v="Mid"/>
    <n v="6959.17264573991"/>
    <s v="Below salary"/>
    <s v="Low Risk"/>
  </r>
  <r>
    <n v="32"/>
    <x v="1"/>
    <s v="Non-Travel"/>
    <n v="862"/>
    <x v="0"/>
    <n v="2"/>
    <n v="1"/>
    <s v="Life Sciences"/>
    <n v="1190"/>
    <n v="3"/>
    <x v="0"/>
    <n v="76"/>
    <n v="3"/>
    <n v="1"/>
    <x v="6"/>
    <n v="1"/>
    <s v="Divorced"/>
    <x v="801"/>
    <n v="14947"/>
    <n v="1"/>
    <x v="1"/>
    <n v="12"/>
    <n v="3"/>
    <n v="3"/>
    <n v="3"/>
    <n v="1"/>
    <n v="3"/>
    <n v="3"/>
    <n v="1"/>
    <n v="0"/>
    <n v="0"/>
    <n v="0"/>
    <x v="2"/>
    <s v="Low"/>
    <n v="6959.17264573991"/>
    <s v="Below salary"/>
    <s v="Medium Risk"/>
  </r>
  <r>
    <n v="56"/>
    <x v="1"/>
    <s v="Travel_Rarely"/>
    <n v="718"/>
    <x v="1"/>
    <n v="4"/>
    <n v="4"/>
    <s v="Technical Degree"/>
    <n v="1191"/>
    <n v="4"/>
    <x v="0"/>
    <n v="92"/>
    <n v="3"/>
    <n v="5"/>
    <x v="5"/>
    <n v="1"/>
    <s v="Divorced"/>
    <x v="802"/>
    <n v="18575"/>
    <n v="4"/>
    <x v="1"/>
    <n v="13"/>
    <n v="3"/>
    <n v="4"/>
    <n v="1"/>
    <n v="28"/>
    <n v="2"/>
    <n v="3"/>
    <n v="5"/>
    <n v="2"/>
    <n v="4"/>
    <n v="2"/>
    <x v="1"/>
    <s v="Very High"/>
    <n v="6281.2528616024974"/>
    <s v="Above salary"/>
    <s v="Medium Risk"/>
  </r>
  <r>
    <n v="29"/>
    <x v="1"/>
    <s v="Travel_Rarely"/>
    <n v="1401"/>
    <x v="1"/>
    <n v="6"/>
    <n v="1"/>
    <s v="Medical"/>
    <n v="1192"/>
    <n v="2"/>
    <x v="0"/>
    <n v="54"/>
    <n v="3"/>
    <n v="1"/>
    <x v="2"/>
    <n v="4"/>
    <s v="Married"/>
    <x v="803"/>
    <n v="26342"/>
    <n v="1"/>
    <x v="1"/>
    <n v="13"/>
    <n v="3"/>
    <n v="1"/>
    <n v="1"/>
    <n v="10"/>
    <n v="5"/>
    <n v="3"/>
    <n v="10"/>
    <n v="8"/>
    <n v="0"/>
    <n v="8"/>
    <x v="2"/>
    <s v="Mid"/>
    <n v="6281.2528616024974"/>
    <s v="Below salary"/>
    <s v="Low Risk"/>
  </r>
  <r>
    <n v="19"/>
    <x v="1"/>
    <s v="Travel_Rarely"/>
    <n v="645"/>
    <x v="1"/>
    <n v="9"/>
    <n v="2"/>
    <s v="Life Sciences"/>
    <n v="1193"/>
    <n v="3"/>
    <x v="1"/>
    <n v="54"/>
    <n v="3"/>
    <n v="1"/>
    <x v="1"/>
    <n v="1"/>
    <s v="Single"/>
    <x v="804"/>
    <n v="7172"/>
    <n v="1"/>
    <x v="1"/>
    <n v="25"/>
    <n v="4"/>
    <n v="3"/>
    <n v="0"/>
    <n v="1"/>
    <n v="4"/>
    <n v="3"/>
    <n v="1"/>
    <n v="1"/>
    <n v="0"/>
    <n v="0"/>
    <x v="3"/>
    <s v="Low"/>
    <n v="6281.2528616024974"/>
    <s v="Below salary"/>
    <s v="Medium Risk"/>
  </r>
  <r>
    <n v="45"/>
    <x v="1"/>
    <s v="Travel_Rarely"/>
    <n v="1457"/>
    <x v="1"/>
    <n v="7"/>
    <n v="3"/>
    <s v="Medical"/>
    <n v="1195"/>
    <n v="1"/>
    <x v="0"/>
    <n v="83"/>
    <n v="3"/>
    <n v="1"/>
    <x v="1"/>
    <n v="3"/>
    <s v="Married"/>
    <x v="805"/>
    <n v="20100"/>
    <n v="4"/>
    <x v="0"/>
    <n v="19"/>
    <n v="3"/>
    <n v="3"/>
    <n v="1"/>
    <n v="7"/>
    <n v="2"/>
    <n v="2"/>
    <n v="3"/>
    <n v="2"/>
    <n v="0"/>
    <n v="2"/>
    <x v="0"/>
    <s v="Mid"/>
    <n v="6281.2528616024974"/>
    <s v="Below salary"/>
    <s v="Medium Risk"/>
  </r>
  <r>
    <n v="37"/>
    <x v="1"/>
    <s v="Travel_Rarely"/>
    <n v="977"/>
    <x v="1"/>
    <n v="1"/>
    <n v="3"/>
    <s v="Life Sciences"/>
    <n v="1196"/>
    <n v="4"/>
    <x v="0"/>
    <n v="56"/>
    <n v="2"/>
    <n v="2"/>
    <x v="3"/>
    <n v="4"/>
    <s v="Married"/>
    <x v="806"/>
    <n v="9961"/>
    <n v="1"/>
    <x v="1"/>
    <n v="13"/>
    <n v="3"/>
    <n v="2"/>
    <n v="1"/>
    <n v="14"/>
    <n v="2"/>
    <n v="2"/>
    <n v="14"/>
    <n v="8"/>
    <n v="3"/>
    <n v="11"/>
    <x v="0"/>
    <s v="Mid"/>
    <n v="6281.2528616024974"/>
    <s v="Above salary"/>
    <s v="Low Risk"/>
  </r>
  <r>
    <n v="20"/>
    <x v="1"/>
    <s v="Travel_Rarely"/>
    <n v="805"/>
    <x v="1"/>
    <n v="3"/>
    <n v="3"/>
    <s v="Life Sciences"/>
    <n v="1198"/>
    <n v="1"/>
    <x v="1"/>
    <n v="87"/>
    <n v="2"/>
    <n v="1"/>
    <x v="2"/>
    <n v="3"/>
    <s v="Single"/>
    <x v="807"/>
    <n v="12828"/>
    <n v="1"/>
    <x v="1"/>
    <n v="12"/>
    <n v="3"/>
    <n v="1"/>
    <n v="0"/>
    <n v="2"/>
    <n v="2"/>
    <n v="2"/>
    <n v="2"/>
    <n v="2"/>
    <n v="1"/>
    <n v="2"/>
    <x v="3"/>
    <s v="Mid"/>
    <n v="6281.2528616024974"/>
    <s v="Below salary"/>
    <s v="Low Risk"/>
  </r>
  <r>
    <n v="44"/>
    <x v="0"/>
    <s v="Travel_Rarely"/>
    <n v="1097"/>
    <x v="1"/>
    <n v="10"/>
    <n v="4"/>
    <s v="Life Sciences"/>
    <n v="1200"/>
    <n v="3"/>
    <x v="1"/>
    <n v="96"/>
    <n v="3"/>
    <n v="1"/>
    <x v="1"/>
    <n v="3"/>
    <s v="Single"/>
    <x v="808"/>
    <n v="10826"/>
    <n v="1"/>
    <x v="0"/>
    <n v="11"/>
    <n v="3"/>
    <n v="3"/>
    <n v="0"/>
    <n v="6"/>
    <n v="4"/>
    <n v="3"/>
    <n v="6"/>
    <n v="4"/>
    <n v="0"/>
    <n v="2"/>
    <x v="0"/>
    <s v="Low"/>
    <n v="6281.2528616024974"/>
    <s v="Below salary"/>
    <s v="Medium Risk"/>
  </r>
  <r>
    <n v="53"/>
    <x v="1"/>
    <s v="Travel_Rarely"/>
    <n v="1223"/>
    <x v="1"/>
    <n v="7"/>
    <n v="2"/>
    <s v="Medical"/>
    <n v="1201"/>
    <n v="4"/>
    <x v="0"/>
    <n v="50"/>
    <n v="3"/>
    <n v="5"/>
    <x v="5"/>
    <n v="3"/>
    <s v="Divorced"/>
    <x v="809"/>
    <n v="18640"/>
    <n v="3"/>
    <x v="1"/>
    <n v="18"/>
    <n v="3"/>
    <n v="2"/>
    <n v="1"/>
    <n v="26"/>
    <n v="6"/>
    <n v="3"/>
    <n v="7"/>
    <n v="7"/>
    <n v="4"/>
    <n v="7"/>
    <x v="1"/>
    <s v="Very High"/>
    <n v="6281.2528616024974"/>
    <s v="Above salary"/>
    <s v="Low Risk"/>
  </r>
  <r>
    <n v="29"/>
    <x v="1"/>
    <s v="Travel_Rarely"/>
    <n v="942"/>
    <x v="1"/>
    <n v="15"/>
    <n v="1"/>
    <s v="Life Sciences"/>
    <n v="1202"/>
    <n v="2"/>
    <x v="0"/>
    <n v="69"/>
    <n v="1"/>
    <n v="1"/>
    <x v="1"/>
    <n v="4"/>
    <s v="Married"/>
    <x v="810"/>
    <n v="26933"/>
    <n v="0"/>
    <x v="0"/>
    <n v="18"/>
    <n v="3"/>
    <n v="1"/>
    <n v="1"/>
    <n v="6"/>
    <n v="2"/>
    <n v="2"/>
    <n v="5"/>
    <n v="4"/>
    <n v="1"/>
    <n v="3"/>
    <x v="2"/>
    <s v="Low"/>
    <n v="6281.2528616024974"/>
    <s v="Below salary"/>
    <s v="Medium Risk"/>
  </r>
  <r>
    <n v="22"/>
    <x v="0"/>
    <s v="Travel_Frequently"/>
    <n v="1256"/>
    <x v="1"/>
    <n v="3"/>
    <n v="4"/>
    <s v="Life Sciences"/>
    <n v="1203"/>
    <n v="3"/>
    <x v="1"/>
    <n v="48"/>
    <n v="2"/>
    <n v="1"/>
    <x v="1"/>
    <n v="4"/>
    <s v="Married"/>
    <x v="811"/>
    <n v="4223"/>
    <n v="0"/>
    <x v="0"/>
    <n v="11"/>
    <n v="3"/>
    <n v="2"/>
    <n v="1"/>
    <n v="1"/>
    <n v="5"/>
    <n v="3"/>
    <n v="0"/>
    <n v="0"/>
    <n v="0"/>
    <n v="0"/>
    <x v="3"/>
    <s v="Low"/>
    <n v="6281.2528616024974"/>
    <s v="Below salary"/>
    <s v="Medium Risk"/>
  </r>
  <r>
    <n v="46"/>
    <x v="1"/>
    <s v="Travel_Rarely"/>
    <n v="1402"/>
    <x v="0"/>
    <n v="2"/>
    <n v="3"/>
    <s v="Marketing"/>
    <n v="1204"/>
    <n v="3"/>
    <x v="0"/>
    <n v="69"/>
    <n v="3"/>
    <n v="4"/>
    <x v="5"/>
    <n v="1"/>
    <s v="Married"/>
    <x v="812"/>
    <n v="24097"/>
    <n v="8"/>
    <x v="1"/>
    <n v="23"/>
    <n v="4"/>
    <n v="1"/>
    <n v="0"/>
    <n v="28"/>
    <n v="2"/>
    <n v="3"/>
    <n v="26"/>
    <n v="15"/>
    <n v="15"/>
    <n v="9"/>
    <x v="1"/>
    <s v="Very High"/>
    <n v="6959.17264573991"/>
    <s v="Above salary"/>
    <s v="Medium Risk"/>
  </r>
  <r>
    <n v="44"/>
    <x v="1"/>
    <s v="Non-Travel"/>
    <n v="111"/>
    <x v="1"/>
    <n v="17"/>
    <n v="3"/>
    <s v="Life Sciences"/>
    <n v="1206"/>
    <n v="4"/>
    <x v="1"/>
    <n v="74"/>
    <n v="1"/>
    <n v="1"/>
    <x v="1"/>
    <n v="3"/>
    <s v="Single"/>
    <x v="813"/>
    <n v="4279"/>
    <n v="2"/>
    <x v="1"/>
    <n v="13"/>
    <n v="3"/>
    <n v="4"/>
    <n v="0"/>
    <n v="6"/>
    <n v="3"/>
    <n v="3"/>
    <n v="0"/>
    <n v="0"/>
    <n v="0"/>
    <n v="0"/>
    <x v="0"/>
    <s v="Low"/>
    <n v="6281.2528616024974"/>
    <s v="Below salary"/>
    <s v="Low Risk"/>
  </r>
  <r>
    <n v="33"/>
    <x v="1"/>
    <s v="Travel_Rarely"/>
    <n v="147"/>
    <x v="2"/>
    <n v="2"/>
    <n v="3"/>
    <s v="Human Resources"/>
    <n v="1207"/>
    <n v="2"/>
    <x v="1"/>
    <n v="99"/>
    <n v="3"/>
    <n v="1"/>
    <x v="8"/>
    <n v="3"/>
    <s v="Married"/>
    <x v="814"/>
    <n v="8429"/>
    <n v="1"/>
    <x v="1"/>
    <n v="13"/>
    <n v="3"/>
    <n v="4"/>
    <n v="1"/>
    <n v="5"/>
    <n v="2"/>
    <n v="3"/>
    <n v="5"/>
    <n v="4"/>
    <n v="1"/>
    <n v="4"/>
    <x v="2"/>
    <s v="Mid"/>
    <n v="6654.5079365079364"/>
    <s v="Below salary"/>
    <s v="Low Risk"/>
  </r>
  <r>
    <n v="41"/>
    <x v="0"/>
    <s v="Non-Travel"/>
    <n v="906"/>
    <x v="1"/>
    <n v="5"/>
    <n v="2"/>
    <s v="Life Sciences"/>
    <n v="1210"/>
    <n v="1"/>
    <x v="1"/>
    <n v="95"/>
    <n v="2"/>
    <n v="1"/>
    <x v="1"/>
    <n v="1"/>
    <s v="Divorced"/>
    <x v="815"/>
    <n v="20293"/>
    <n v="6"/>
    <x v="1"/>
    <n v="17"/>
    <n v="3"/>
    <n v="1"/>
    <n v="1"/>
    <n v="5"/>
    <n v="2"/>
    <n v="1"/>
    <n v="1"/>
    <n v="0"/>
    <n v="0"/>
    <n v="0"/>
    <x v="0"/>
    <s v="Low"/>
    <n v="6281.2528616024974"/>
    <s v="Below salary"/>
    <s v="Medium Risk"/>
  </r>
  <r>
    <n v="30"/>
    <x v="1"/>
    <s v="Travel_Rarely"/>
    <n v="1329"/>
    <x v="0"/>
    <n v="29"/>
    <n v="4"/>
    <s v="Life Sciences"/>
    <n v="1211"/>
    <n v="3"/>
    <x v="1"/>
    <n v="61"/>
    <n v="3"/>
    <n v="2"/>
    <x v="0"/>
    <n v="1"/>
    <s v="Divorced"/>
    <x v="816"/>
    <n v="13192"/>
    <n v="8"/>
    <x v="1"/>
    <n v="19"/>
    <n v="3"/>
    <n v="3"/>
    <n v="3"/>
    <n v="8"/>
    <n v="3"/>
    <n v="3"/>
    <n v="4"/>
    <n v="3"/>
    <n v="0"/>
    <n v="3"/>
    <x v="2"/>
    <s v="Mid"/>
    <n v="6959.17264573991"/>
    <s v="Below salary"/>
    <s v="Medium Risk"/>
  </r>
  <r>
    <n v="40"/>
    <x v="1"/>
    <s v="Travel_Frequently"/>
    <n v="1184"/>
    <x v="0"/>
    <n v="2"/>
    <n v="4"/>
    <s v="Medical"/>
    <n v="1212"/>
    <n v="2"/>
    <x v="1"/>
    <n v="62"/>
    <n v="3"/>
    <n v="2"/>
    <x v="0"/>
    <n v="2"/>
    <s v="Married"/>
    <x v="817"/>
    <n v="25440"/>
    <n v="5"/>
    <x v="1"/>
    <n v="12"/>
    <n v="3"/>
    <n v="4"/>
    <n v="3"/>
    <n v="5"/>
    <n v="2"/>
    <n v="3"/>
    <n v="0"/>
    <n v="0"/>
    <n v="0"/>
    <n v="0"/>
    <x v="0"/>
    <s v="Mid"/>
    <n v="6959.17264573991"/>
    <s v="Below salary"/>
    <s v="Medium Risk"/>
  </r>
  <r>
    <n v="50"/>
    <x v="1"/>
    <s v="Travel_Frequently"/>
    <n v="1421"/>
    <x v="1"/>
    <n v="2"/>
    <n v="3"/>
    <s v="Medical"/>
    <n v="1215"/>
    <n v="4"/>
    <x v="0"/>
    <n v="30"/>
    <n v="3"/>
    <n v="4"/>
    <x v="5"/>
    <n v="1"/>
    <s v="Married"/>
    <x v="818"/>
    <n v="9490"/>
    <n v="2"/>
    <x v="1"/>
    <n v="22"/>
    <n v="4"/>
    <n v="3"/>
    <n v="1"/>
    <n v="32"/>
    <n v="3"/>
    <n v="3"/>
    <n v="2"/>
    <n v="2"/>
    <n v="2"/>
    <n v="2"/>
    <x v="1"/>
    <s v="Very High"/>
    <n v="6281.2528616024974"/>
    <s v="Above salary"/>
    <s v="Medium Risk"/>
  </r>
  <r>
    <n v="28"/>
    <x v="1"/>
    <s v="Travel_Rarely"/>
    <n v="1179"/>
    <x v="1"/>
    <n v="19"/>
    <n v="4"/>
    <s v="Medical"/>
    <n v="1216"/>
    <n v="4"/>
    <x v="1"/>
    <n v="78"/>
    <n v="2"/>
    <n v="1"/>
    <x v="2"/>
    <n v="1"/>
    <s v="Married"/>
    <x v="819"/>
    <n v="12449"/>
    <n v="1"/>
    <x v="1"/>
    <n v="12"/>
    <n v="3"/>
    <n v="3"/>
    <n v="3"/>
    <n v="6"/>
    <n v="2"/>
    <n v="3"/>
    <n v="6"/>
    <n v="5"/>
    <n v="3"/>
    <n v="3"/>
    <x v="2"/>
    <s v="Mid"/>
    <n v="6281.2528616024974"/>
    <s v="Below salary"/>
    <s v="Medium Risk"/>
  </r>
  <r>
    <n v="46"/>
    <x v="1"/>
    <s v="Travel_Rarely"/>
    <n v="1450"/>
    <x v="1"/>
    <n v="15"/>
    <n v="2"/>
    <s v="Life Sciences"/>
    <n v="1217"/>
    <n v="4"/>
    <x v="1"/>
    <n v="52"/>
    <n v="3"/>
    <n v="5"/>
    <x v="7"/>
    <n v="2"/>
    <s v="Married"/>
    <x v="820"/>
    <n v="10849"/>
    <n v="5"/>
    <x v="1"/>
    <n v="11"/>
    <n v="3"/>
    <n v="1"/>
    <n v="1"/>
    <n v="25"/>
    <n v="2"/>
    <n v="3"/>
    <n v="4"/>
    <n v="2"/>
    <n v="0"/>
    <n v="3"/>
    <x v="1"/>
    <s v="Very High"/>
    <n v="6281.2528616024974"/>
    <s v="Above salary"/>
    <s v="Medium Risk"/>
  </r>
  <r>
    <n v="35"/>
    <x v="1"/>
    <s v="Travel_Rarely"/>
    <n v="1361"/>
    <x v="0"/>
    <n v="17"/>
    <n v="4"/>
    <s v="Life Sciences"/>
    <n v="1218"/>
    <n v="3"/>
    <x v="1"/>
    <n v="94"/>
    <n v="3"/>
    <n v="2"/>
    <x v="0"/>
    <n v="1"/>
    <s v="Married"/>
    <x v="821"/>
    <n v="21026"/>
    <n v="3"/>
    <x v="0"/>
    <n v="15"/>
    <n v="3"/>
    <n v="4"/>
    <n v="3"/>
    <n v="15"/>
    <n v="2"/>
    <n v="3"/>
    <n v="7"/>
    <n v="7"/>
    <n v="1"/>
    <n v="7"/>
    <x v="2"/>
    <s v="High"/>
    <n v="6959.17264573991"/>
    <s v="Above salary"/>
    <s v="High Risk"/>
  </r>
  <r>
    <n v="24"/>
    <x v="0"/>
    <s v="Travel_Rarely"/>
    <n v="984"/>
    <x v="1"/>
    <n v="17"/>
    <n v="2"/>
    <s v="Life Sciences"/>
    <n v="1219"/>
    <n v="4"/>
    <x v="0"/>
    <n v="97"/>
    <n v="3"/>
    <n v="1"/>
    <x v="2"/>
    <n v="2"/>
    <s v="Married"/>
    <x v="822"/>
    <n v="3372"/>
    <n v="1"/>
    <x v="1"/>
    <n v="13"/>
    <n v="3"/>
    <n v="1"/>
    <n v="1"/>
    <n v="1"/>
    <n v="3"/>
    <n v="1"/>
    <n v="1"/>
    <n v="0"/>
    <n v="0"/>
    <n v="0"/>
    <x v="3"/>
    <s v="Low"/>
    <n v="6281.2528616024974"/>
    <s v="Below salary"/>
    <s v="Medium Risk"/>
  </r>
  <r>
    <n v="33"/>
    <x v="1"/>
    <s v="Travel_Frequently"/>
    <n v="1146"/>
    <x v="0"/>
    <n v="25"/>
    <n v="3"/>
    <s v="Medical"/>
    <n v="1220"/>
    <n v="2"/>
    <x v="0"/>
    <n v="82"/>
    <n v="3"/>
    <n v="2"/>
    <x v="0"/>
    <n v="3"/>
    <s v="Married"/>
    <x v="823"/>
    <n v="4905"/>
    <n v="1"/>
    <x v="1"/>
    <n v="12"/>
    <n v="3"/>
    <n v="1"/>
    <n v="1"/>
    <n v="10"/>
    <n v="3"/>
    <n v="2"/>
    <n v="10"/>
    <n v="7"/>
    <n v="0"/>
    <n v="1"/>
    <x v="2"/>
    <s v="Mid"/>
    <n v="6959.17264573991"/>
    <s v="Below salary"/>
    <s v="Low Risk"/>
  </r>
  <r>
    <n v="36"/>
    <x v="1"/>
    <s v="Travel_Rarely"/>
    <n v="917"/>
    <x v="1"/>
    <n v="6"/>
    <n v="4"/>
    <s v="Life Sciences"/>
    <n v="1221"/>
    <n v="3"/>
    <x v="1"/>
    <n v="60"/>
    <n v="1"/>
    <n v="1"/>
    <x v="2"/>
    <n v="3"/>
    <s v="Divorced"/>
    <x v="199"/>
    <n v="6865"/>
    <n v="1"/>
    <x v="1"/>
    <n v="14"/>
    <n v="3"/>
    <n v="3"/>
    <n v="1"/>
    <n v="7"/>
    <n v="4"/>
    <n v="3"/>
    <n v="7"/>
    <n v="7"/>
    <n v="1"/>
    <n v="7"/>
    <x v="0"/>
    <s v="Low"/>
    <n v="6281.2528616024974"/>
    <s v="Below salary"/>
    <s v="Low Risk"/>
  </r>
  <r>
    <n v="30"/>
    <x v="1"/>
    <s v="Travel_Rarely"/>
    <n v="853"/>
    <x v="1"/>
    <n v="7"/>
    <n v="4"/>
    <s v="Life Sciences"/>
    <n v="1224"/>
    <n v="3"/>
    <x v="1"/>
    <n v="49"/>
    <n v="3"/>
    <n v="2"/>
    <x v="2"/>
    <n v="3"/>
    <s v="Divorced"/>
    <x v="824"/>
    <n v="11309"/>
    <n v="1"/>
    <x v="1"/>
    <n v="13"/>
    <n v="3"/>
    <n v="1"/>
    <n v="3"/>
    <n v="10"/>
    <n v="4"/>
    <n v="2"/>
    <n v="10"/>
    <n v="7"/>
    <n v="8"/>
    <n v="9"/>
    <x v="2"/>
    <s v="Mid"/>
    <n v="6281.2528616024974"/>
    <s v="Below salary"/>
    <s v="Low Risk"/>
  </r>
  <r>
    <n v="44"/>
    <x v="1"/>
    <s v="Travel_Rarely"/>
    <n v="200"/>
    <x v="1"/>
    <n v="29"/>
    <n v="4"/>
    <s v="Other"/>
    <n v="1225"/>
    <n v="4"/>
    <x v="1"/>
    <n v="32"/>
    <n v="3"/>
    <n v="2"/>
    <x v="1"/>
    <n v="4"/>
    <s v="Single"/>
    <x v="825"/>
    <n v="7744"/>
    <n v="1"/>
    <x v="1"/>
    <n v="25"/>
    <n v="4"/>
    <n v="2"/>
    <n v="0"/>
    <n v="20"/>
    <n v="3"/>
    <n v="3"/>
    <n v="20"/>
    <n v="11"/>
    <n v="13"/>
    <n v="17"/>
    <x v="0"/>
    <s v="Mid"/>
    <n v="6281.2528616024974"/>
    <s v="Below salary"/>
    <s v="Low Risk"/>
  </r>
  <r>
    <n v="20"/>
    <x v="1"/>
    <s v="Travel_Rarely"/>
    <n v="654"/>
    <x v="0"/>
    <n v="21"/>
    <n v="3"/>
    <s v="Marketing"/>
    <n v="1226"/>
    <n v="3"/>
    <x v="1"/>
    <n v="43"/>
    <n v="4"/>
    <n v="1"/>
    <x v="6"/>
    <n v="4"/>
    <s v="Single"/>
    <x v="826"/>
    <n v="5050"/>
    <n v="1"/>
    <x v="1"/>
    <n v="17"/>
    <n v="3"/>
    <n v="4"/>
    <n v="0"/>
    <n v="2"/>
    <n v="2"/>
    <n v="3"/>
    <n v="2"/>
    <n v="1"/>
    <n v="2"/>
    <n v="2"/>
    <x v="3"/>
    <s v="Low"/>
    <n v="6959.17264573991"/>
    <s v="Below salary"/>
    <s v="Low Risk"/>
  </r>
  <r>
    <n v="46"/>
    <x v="1"/>
    <s v="Travel_Rarely"/>
    <n v="150"/>
    <x v="1"/>
    <n v="2"/>
    <n v="4"/>
    <s v="Technical Degree"/>
    <n v="1228"/>
    <n v="4"/>
    <x v="1"/>
    <n v="60"/>
    <n v="3"/>
    <n v="2"/>
    <x v="3"/>
    <n v="4"/>
    <s v="Divorced"/>
    <x v="827"/>
    <n v="17433"/>
    <n v="2"/>
    <x v="1"/>
    <n v="11"/>
    <n v="3"/>
    <n v="3"/>
    <n v="1"/>
    <n v="12"/>
    <n v="3"/>
    <n v="2"/>
    <n v="6"/>
    <n v="3"/>
    <n v="1"/>
    <n v="4"/>
    <x v="1"/>
    <s v="High"/>
    <n v="6281.2528616024974"/>
    <s v="Above salary"/>
    <s v="Low Risk"/>
  </r>
  <r>
    <n v="42"/>
    <x v="1"/>
    <s v="Non-Travel"/>
    <n v="179"/>
    <x v="2"/>
    <n v="2"/>
    <n v="5"/>
    <s v="Medical"/>
    <n v="1231"/>
    <n v="4"/>
    <x v="1"/>
    <n v="79"/>
    <n v="4"/>
    <n v="2"/>
    <x v="8"/>
    <n v="1"/>
    <s v="Married"/>
    <x v="458"/>
    <n v="12858"/>
    <n v="7"/>
    <x v="1"/>
    <n v="16"/>
    <n v="3"/>
    <n v="1"/>
    <n v="1"/>
    <n v="10"/>
    <n v="3"/>
    <n v="4"/>
    <n v="4"/>
    <n v="3"/>
    <n v="0"/>
    <n v="3"/>
    <x v="0"/>
    <s v="Mid"/>
    <n v="6654.5079365079364"/>
    <s v="Below salary"/>
    <s v="Medium Risk"/>
  </r>
  <r>
    <n v="60"/>
    <x v="1"/>
    <s v="Travel_Rarely"/>
    <n v="696"/>
    <x v="0"/>
    <n v="7"/>
    <n v="4"/>
    <s v="Marketing"/>
    <n v="1233"/>
    <n v="2"/>
    <x v="1"/>
    <n v="52"/>
    <n v="4"/>
    <n v="2"/>
    <x v="0"/>
    <n v="4"/>
    <s v="Divorced"/>
    <x v="828"/>
    <n v="10893"/>
    <n v="0"/>
    <x v="0"/>
    <n v="18"/>
    <n v="3"/>
    <n v="2"/>
    <n v="1"/>
    <n v="12"/>
    <n v="3"/>
    <n v="3"/>
    <n v="11"/>
    <n v="7"/>
    <n v="1"/>
    <n v="9"/>
    <x v="1"/>
    <s v="Mid"/>
    <n v="6959.17264573991"/>
    <s v="Below salary"/>
    <s v="Medium Risk"/>
  </r>
  <r>
    <n v="32"/>
    <x v="1"/>
    <s v="Travel_Frequently"/>
    <n v="116"/>
    <x v="1"/>
    <n v="13"/>
    <n v="3"/>
    <s v="Other"/>
    <n v="1234"/>
    <n v="3"/>
    <x v="0"/>
    <n v="77"/>
    <n v="2"/>
    <n v="1"/>
    <x v="2"/>
    <n v="2"/>
    <s v="Married"/>
    <x v="714"/>
    <n v="7331"/>
    <n v="1"/>
    <x v="1"/>
    <n v="20"/>
    <n v="4"/>
    <n v="3"/>
    <n v="1"/>
    <n v="2"/>
    <n v="2"/>
    <n v="3"/>
    <n v="2"/>
    <n v="2"/>
    <n v="2"/>
    <n v="2"/>
    <x v="2"/>
    <s v="Low"/>
    <n v="6281.2528616024974"/>
    <s v="Below salary"/>
    <s v="Medium Risk"/>
  </r>
  <r>
    <n v="32"/>
    <x v="1"/>
    <s v="Travel_Frequently"/>
    <n v="1316"/>
    <x v="1"/>
    <n v="2"/>
    <n v="2"/>
    <s v="Life Sciences"/>
    <n v="1235"/>
    <n v="4"/>
    <x v="0"/>
    <n v="38"/>
    <n v="3"/>
    <n v="2"/>
    <x v="1"/>
    <n v="3"/>
    <s v="Single"/>
    <x v="829"/>
    <n v="2338"/>
    <n v="4"/>
    <x v="0"/>
    <n v="14"/>
    <n v="3"/>
    <n v="4"/>
    <n v="0"/>
    <n v="10"/>
    <n v="2"/>
    <n v="3"/>
    <n v="8"/>
    <n v="7"/>
    <n v="0"/>
    <n v="7"/>
    <x v="2"/>
    <s v="Mid"/>
    <n v="6281.2528616024974"/>
    <s v="Below salary"/>
    <s v="Medium Risk"/>
  </r>
  <r>
    <n v="36"/>
    <x v="1"/>
    <s v="Travel_Rarely"/>
    <n v="363"/>
    <x v="1"/>
    <n v="1"/>
    <n v="3"/>
    <s v="Technical Degree"/>
    <n v="1237"/>
    <n v="3"/>
    <x v="0"/>
    <n v="77"/>
    <n v="1"/>
    <n v="3"/>
    <x v="3"/>
    <n v="1"/>
    <s v="Divorced"/>
    <x v="830"/>
    <n v="4235"/>
    <n v="2"/>
    <x v="0"/>
    <n v="21"/>
    <n v="4"/>
    <n v="3"/>
    <n v="1"/>
    <n v="17"/>
    <n v="2"/>
    <n v="3"/>
    <n v="7"/>
    <n v="7"/>
    <n v="7"/>
    <n v="7"/>
    <x v="0"/>
    <s v="High"/>
    <n v="6281.2528616024974"/>
    <s v="Above salary"/>
    <s v="High Risk"/>
  </r>
  <r>
    <n v="33"/>
    <x v="1"/>
    <s v="Travel_Rarely"/>
    <n v="117"/>
    <x v="1"/>
    <n v="9"/>
    <n v="3"/>
    <s v="Medical"/>
    <n v="1238"/>
    <n v="1"/>
    <x v="1"/>
    <n v="60"/>
    <n v="3"/>
    <n v="1"/>
    <x v="1"/>
    <n v="4"/>
    <s v="Married"/>
    <x v="831"/>
    <n v="6311"/>
    <n v="0"/>
    <x v="1"/>
    <n v="13"/>
    <n v="3"/>
    <n v="2"/>
    <n v="1"/>
    <n v="15"/>
    <n v="5"/>
    <n v="3"/>
    <n v="14"/>
    <n v="10"/>
    <n v="4"/>
    <n v="10"/>
    <x v="2"/>
    <s v="Low"/>
    <n v="6281.2528616024974"/>
    <s v="Below salary"/>
    <s v="Low Risk"/>
  </r>
  <r>
    <n v="40"/>
    <x v="1"/>
    <s v="Travel_Rarely"/>
    <n v="107"/>
    <x v="0"/>
    <n v="10"/>
    <n v="3"/>
    <s v="Technical Degree"/>
    <n v="1239"/>
    <n v="2"/>
    <x v="0"/>
    <n v="84"/>
    <n v="2"/>
    <n v="2"/>
    <x v="0"/>
    <n v="2"/>
    <s v="Divorced"/>
    <x v="832"/>
    <n v="11591"/>
    <n v="7"/>
    <x v="1"/>
    <n v="12"/>
    <n v="3"/>
    <n v="2"/>
    <n v="1"/>
    <n v="7"/>
    <n v="2"/>
    <n v="4"/>
    <n v="5"/>
    <n v="1"/>
    <n v="1"/>
    <n v="3"/>
    <x v="0"/>
    <s v="Mid"/>
    <n v="6959.17264573991"/>
    <s v="Below salary"/>
    <s v="Medium Risk"/>
  </r>
  <r>
    <n v="25"/>
    <x v="1"/>
    <s v="Travel_Rarely"/>
    <n v="1356"/>
    <x v="0"/>
    <n v="10"/>
    <n v="4"/>
    <s v="Life Sciences"/>
    <n v="1240"/>
    <n v="3"/>
    <x v="1"/>
    <n v="57"/>
    <n v="3"/>
    <n v="2"/>
    <x v="0"/>
    <n v="4"/>
    <s v="Single"/>
    <x v="833"/>
    <n v="20623"/>
    <n v="0"/>
    <x v="1"/>
    <n v="14"/>
    <n v="3"/>
    <n v="2"/>
    <n v="0"/>
    <n v="5"/>
    <n v="4"/>
    <n v="3"/>
    <n v="4"/>
    <n v="3"/>
    <n v="1"/>
    <n v="1"/>
    <x v="3"/>
    <s v="Mid"/>
    <n v="6959.17264573991"/>
    <s v="Below salary"/>
    <s v="Low Risk"/>
  </r>
  <r>
    <n v="30"/>
    <x v="1"/>
    <s v="Travel_Rarely"/>
    <n v="1465"/>
    <x v="1"/>
    <n v="1"/>
    <n v="3"/>
    <s v="Medical"/>
    <n v="1241"/>
    <n v="4"/>
    <x v="1"/>
    <n v="63"/>
    <n v="3"/>
    <n v="1"/>
    <x v="1"/>
    <n v="2"/>
    <s v="Married"/>
    <x v="834"/>
    <n v="9369"/>
    <n v="0"/>
    <x v="0"/>
    <n v="21"/>
    <n v="4"/>
    <n v="1"/>
    <n v="1"/>
    <n v="12"/>
    <n v="2"/>
    <n v="3"/>
    <n v="11"/>
    <n v="9"/>
    <n v="5"/>
    <n v="7"/>
    <x v="2"/>
    <s v="Mid"/>
    <n v="6281.2528616024974"/>
    <s v="Below salary"/>
    <s v="High Risk"/>
  </r>
  <r>
    <n v="42"/>
    <x v="1"/>
    <s v="Travel_Frequently"/>
    <n v="458"/>
    <x v="1"/>
    <n v="26"/>
    <n v="5"/>
    <s v="Medical"/>
    <n v="1242"/>
    <n v="1"/>
    <x v="0"/>
    <n v="60"/>
    <n v="3"/>
    <n v="3"/>
    <x v="7"/>
    <n v="1"/>
    <s v="Married"/>
    <x v="835"/>
    <n v="23281"/>
    <n v="3"/>
    <x v="0"/>
    <n v="17"/>
    <n v="3"/>
    <n v="3"/>
    <n v="0"/>
    <n v="20"/>
    <n v="6"/>
    <n v="3"/>
    <n v="1"/>
    <n v="0"/>
    <n v="0"/>
    <n v="0"/>
    <x v="0"/>
    <s v="Very High"/>
    <n v="6281.2528616024974"/>
    <s v="Above salary"/>
    <s v="High Risk"/>
  </r>
  <r>
    <n v="35"/>
    <x v="1"/>
    <s v="Non-Travel"/>
    <n v="1212"/>
    <x v="0"/>
    <n v="8"/>
    <n v="2"/>
    <s v="Marketing"/>
    <n v="1243"/>
    <n v="3"/>
    <x v="0"/>
    <n v="78"/>
    <n v="2"/>
    <n v="3"/>
    <x v="0"/>
    <n v="4"/>
    <s v="Married"/>
    <x v="836"/>
    <n v="13755"/>
    <n v="4"/>
    <x v="0"/>
    <n v="11"/>
    <n v="3"/>
    <n v="2"/>
    <n v="1"/>
    <n v="16"/>
    <n v="6"/>
    <n v="2"/>
    <n v="13"/>
    <n v="2"/>
    <n v="4"/>
    <n v="12"/>
    <x v="2"/>
    <s v="High"/>
    <n v="6959.17264573991"/>
    <s v="Above salary"/>
    <s v="Medium Risk"/>
  </r>
  <r>
    <n v="27"/>
    <x v="1"/>
    <s v="Travel_Rarely"/>
    <n v="1103"/>
    <x v="1"/>
    <n v="14"/>
    <n v="3"/>
    <s v="Life Sciences"/>
    <n v="1244"/>
    <n v="1"/>
    <x v="1"/>
    <n v="42"/>
    <n v="3"/>
    <n v="1"/>
    <x v="1"/>
    <n v="1"/>
    <s v="Married"/>
    <x v="837"/>
    <n v="14377"/>
    <n v="1"/>
    <x v="0"/>
    <n v="14"/>
    <n v="3"/>
    <n v="4"/>
    <n v="2"/>
    <n v="9"/>
    <n v="3"/>
    <n v="2"/>
    <n v="9"/>
    <n v="7"/>
    <n v="6"/>
    <n v="8"/>
    <x v="2"/>
    <s v="Low"/>
    <n v="6281.2528616024974"/>
    <s v="Below salary"/>
    <s v="High Risk"/>
  </r>
  <r>
    <n v="54"/>
    <x v="1"/>
    <s v="Travel_Frequently"/>
    <n v="966"/>
    <x v="1"/>
    <n v="1"/>
    <n v="4"/>
    <s v="Life Sciences"/>
    <n v="1245"/>
    <n v="4"/>
    <x v="0"/>
    <n v="53"/>
    <n v="3"/>
    <n v="3"/>
    <x v="3"/>
    <n v="3"/>
    <s v="Divorced"/>
    <x v="838"/>
    <n v="9659"/>
    <n v="7"/>
    <x v="1"/>
    <n v="17"/>
    <n v="3"/>
    <n v="1"/>
    <n v="1"/>
    <n v="33"/>
    <n v="2"/>
    <n v="1"/>
    <n v="5"/>
    <n v="4"/>
    <n v="1"/>
    <n v="4"/>
    <x v="1"/>
    <s v="High"/>
    <n v="6281.2528616024974"/>
    <s v="Above salary"/>
    <s v="Low Risk"/>
  </r>
  <r>
    <n v="44"/>
    <x v="1"/>
    <s v="Travel_Rarely"/>
    <n v="1117"/>
    <x v="1"/>
    <n v="2"/>
    <n v="1"/>
    <s v="Life Sciences"/>
    <n v="1246"/>
    <n v="1"/>
    <x v="0"/>
    <n v="72"/>
    <n v="4"/>
    <n v="1"/>
    <x v="1"/>
    <n v="4"/>
    <s v="Married"/>
    <x v="839"/>
    <n v="19982"/>
    <n v="1"/>
    <x v="1"/>
    <n v="13"/>
    <n v="3"/>
    <n v="4"/>
    <n v="1"/>
    <n v="10"/>
    <n v="5"/>
    <n v="3"/>
    <n v="10"/>
    <n v="5"/>
    <n v="7"/>
    <n v="7"/>
    <x v="0"/>
    <s v="Low"/>
    <n v="6281.2528616024974"/>
    <s v="Below salary"/>
    <s v="Low Risk"/>
  </r>
  <r>
    <n v="19"/>
    <x v="0"/>
    <s v="Non-Travel"/>
    <n v="504"/>
    <x v="1"/>
    <n v="10"/>
    <n v="3"/>
    <s v="Medical"/>
    <n v="1248"/>
    <n v="1"/>
    <x v="0"/>
    <n v="96"/>
    <n v="2"/>
    <n v="1"/>
    <x v="1"/>
    <n v="2"/>
    <s v="Single"/>
    <x v="840"/>
    <n v="6148"/>
    <n v="1"/>
    <x v="0"/>
    <n v="25"/>
    <n v="4"/>
    <n v="2"/>
    <n v="0"/>
    <n v="1"/>
    <n v="2"/>
    <n v="4"/>
    <n v="1"/>
    <n v="1"/>
    <n v="0"/>
    <n v="0"/>
    <x v="3"/>
    <s v="Low"/>
    <n v="6281.2528616024974"/>
    <s v="Below salary"/>
    <s v="High Risk"/>
  </r>
  <r>
    <n v="29"/>
    <x v="1"/>
    <s v="Travel_Rarely"/>
    <n v="1010"/>
    <x v="1"/>
    <n v="1"/>
    <n v="3"/>
    <s v="Life Sciences"/>
    <n v="1249"/>
    <n v="1"/>
    <x v="0"/>
    <n v="97"/>
    <n v="3"/>
    <n v="1"/>
    <x v="1"/>
    <n v="4"/>
    <s v="Divorced"/>
    <x v="841"/>
    <n v="5598"/>
    <n v="1"/>
    <x v="1"/>
    <n v="15"/>
    <n v="3"/>
    <n v="1"/>
    <n v="3"/>
    <n v="3"/>
    <n v="5"/>
    <n v="3"/>
    <n v="3"/>
    <n v="2"/>
    <n v="1"/>
    <n v="2"/>
    <x v="2"/>
    <s v="Mid"/>
    <n v="6281.2528616024974"/>
    <s v="Below salary"/>
    <s v="Low Risk"/>
  </r>
  <r>
    <n v="54"/>
    <x v="1"/>
    <s v="Travel_Rarely"/>
    <n v="685"/>
    <x v="1"/>
    <n v="3"/>
    <n v="3"/>
    <s v="Life Sciences"/>
    <n v="1250"/>
    <n v="4"/>
    <x v="1"/>
    <n v="85"/>
    <n v="3"/>
    <n v="4"/>
    <x v="7"/>
    <n v="4"/>
    <s v="Married"/>
    <x v="842"/>
    <n v="23474"/>
    <n v="3"/>
    <x v="1"/>
    <n v="14"/>
    <n v="3"/>
    <n v="1"/>
    <n v="0"/>
    <n v="36"/>
    <n v="2"/>
    <n v="3"/>
    <n v="10"/>
    <n v="9"/>
    <n v="0"/>
    <n v="9"/>
    <x v="1"/>
    <s v="Very High"/>
    <n v="6281.2528616024974"/>
    <s v="Above salary"/>
    <s v="Low Risk"/>
  </r>
  <r>
    <n v="31"/>
    <x v="1"/>
    <s v="Travel_Rarely"/>
    <n v="1332"/>
    <x v="1"/>
    <n v="11"/>
    <n v="2"/>
    <s v="Medical"/>
    <n v="1251"/>
    <n v="3"/>
    <x v="1"/>
    <n v="80"/>
    <n v="3"/>
    <n v="2"/>
    <x v="4"/>
    <n v="1"/>
    <s v="Married"/>
    <x v="843"/>
    <n v="17089"/>
    <n v="1"/>
    <x v="0"/>
    <n v="12"/>
    <n v="3"/>
    <n v="4"/>
    <n v="0"/>
    <n v="6"/>
    <n v="2"/>
    <n v="2"/>
    <n v="6"/>
    <n v="5"/>
    <n v="0"/>
    <n v="1"/>
    <x v="2"/>
    <s v="Mid"/>
    <n v="6281.2528616024974"/>
    <s v="Above salary"/>
    <s v="High Risk"/>
  </r>
  <r>
    <n v="31"/>
    <x v="1"/>
    <s v="Travel_Rarely"/>
    <n v="1062"/>
    <x v="1"/>
    <n v="24"/>
    <n v="3"/>
    <s v="Medical"/>
    <n v="1252"/>
    <n v="3"/>
    <x v="0"/>
    <n v="96"/>
    <n v="2"/>
    <n v="2"/>
    <x v="4"/>
    <n v="1"/>
    <s v="Single"/>
    <x v="844"/>
    <n v="17198"/>
    <n v="1"/>
    <x v="1"/>
    <n v="19"/>
    <n v="3"/>
    <n v="2"/>
    <n v="0"/>
    <n v="10"/>
    <n v="2"/>
    <n v="3"/>
    <n v="10"/>
    <n v="9"/>
    <n v="1"/>
    <n v="8"/>
    <x v="2"/>
    <s v="Mid"/>
    <n v="6281.2528616024974"/>
    <s v="Above salary"/>
    <s v="Medium Risk"/>
  </r>
  <r>
    <n v="59"/>
    <x v="1"/>
    <s v="Travel_Rarely"/>
    <n v="326"/>
    <x v="0"/>
    <n v="3"/>
    <n v="3"/>
    <s v="Life Sciences"/>
    <n v="1254"/>
    <n v="3"/>
    <x v="0"/>
    <n v="48"/>
    <n v="2"/>
    <n v="2"/>
    <x v="0"/>
    <n v="4"/>
    <s v="Single"/>
    <x v="845"/>
    <n v="16490"/>
    <n v="5"/>
    <x v="1"/>
    <n v="17"/>
    <n v="3"/>
    <n v="4"/>
    <n v="0"/>
    <n v="13"/>
    <n v="2"/>
    <n v="3"/>
    <n v="6"/>
    <n v="1"/>
    <n v="0"/>
    <n v="5"/>
    <x v="1"/>
    <s v="Mid"/>
    <n v="6959.17264573991"/>
    <s v="Below salary"/>
    <s v="Low Risk"/>
  </r>
  <r>
    <n v="43"/>
    <x v="1"/>
    <s v="Travel_Rarely"/>
    <n v="920"/>
    <x v="1"/>
    <n v="3"/>
    <n v="3"/>
    <s v="Life Sciences"/>
    <n v="1255"/>
    <n v="3"/>
    <x v="1"/>
    <n v="96"/>
    <n v="1"/>
    <n v="5"/>
    <x v="7"/>
    <n v="4"/>
    <s v="Married"/>
    <x v="846"/>
    <n v="18625"/>
    <n v="3"/>
    <x v="1"/>
    <n v="14"/>
    <n v="3"/>
    <n v="2"/>
    <n v="1"/>
    <n v="25"/>
    <n v="2"/>
    <n v="3"/>
    <n v="8"/>
    <n v="7"/>
    <n v="0"/>
    <n v="7"/>
    <x v="0"/>
    <s v="Very High"/>
    <n v="6281.2528616024974"/>
    <s v="Above salary"/>
    <s v="Low Risk"/>
  </r>
  <r>
    <n v="49"/>
    <x v="1"/>
    <s v="Travel_Rarely"/>
    <n v="1098"/>
    <x v="1"/>
    <n v="4"/>
    <n v="2"/>
    <s v="Medical"/>
    <n v="1256"/>
    <n v="1"/>
    <x v="1"/>
    <n v="85"/>
    <n v="2"/>
    <n v="5"/>
    <x v="5"/>
    <n v="3"/>
    <s v="Married"/>
    <x v="847"/>
    <n v="12124"/>
    <n v="2"/>
    <x v="1"/>
    <n v="13"/>
    <n v="3"/>
    <n v="3"/>
    <n v="1"/>
    <n v="23"/>
    <n v="2"/>
    <n v="4"/>
    <n v="1"/>
    <n v="0"/>
    <n v="0"/>
    <n v="0"/>
    <x v="1"/>
    <s v="Very High"/>
    <n v="6281.2528616024974"/>
    <s v="Above salary"/>
    <s v="Low Risk"/>
  </r>
  <r>
    <n v="36"/>
    <x v="1"/>
    <s v="Travel_Frequently"/>
    <n v="469"/>
    <x v="1"/>
    <n v="3"/>
    <n v="3"/>
    <s v="Technical Degree"/>
    <n v="1257"/>
    <n v="3"/>
    <x v="1"/>
    <n v="46"/>
    <n v="3"/>
    <n v="1"/>
    <x v="1"/>
    <n v="2"/>
    <s v="Married"/>
    <x v="848"/>
    <n v="9256"/>
    <n v="1"/>
    <x v="1"/>
    <n v="12"/>
    <n v="3"/>
    <n v="3"/>
    <n v="0"/>
    <n v="12"/>
    <n v="2"/>
    <n v="2"/>
    <n v="11"/>
    <n v="10"/>
    <n v="0"/>
    <n v="7"/>
    <x v="0"/>
    <s v="Mid"/>
    <n v="6281.2528616024974"/>
    <s v="Below salary"/>
    <s v="Medium Risk"/>
  </r>
  <r>
    <n v="48"/>
    <x v="1"/>
    <s v="Travel_Rarely"/>
    <n v="969"/>
    <x v="1"/>
    <n v="2"/>
    <n v="2"/>
    <s v="Technical Degree"/>
    <n v="1258"/>
    <n v="4"/>
    <x v="1"/>
    <n v="76"/>
    <n v="4"/>
    <n v="1"/>
    <x v="2"/>
    <n v="2"/>
    <s v="Single"/>
    <x v="594"/>
    <n v="16620"/>
    <n v="5"/>
    <x v="1"/>
    <n v="11"/>
    <n v="3"/>
    <n v="3"/>
    <n v="0"/>
    <n v="7"/>
    <n v="4"/>
    <n v="2"/>
    <n v="1"/>
    <n v="0"/>
    <n v="0"/>
    <n v="0"/>
    <x v="1"/>
    <s v="Low"/>
    <n v="6281.2528616024974"/>
    <s v="Below salary"/>
    <s v="Medium Risk"/>
  </r>
  <r>
    <n v="27"/>
    <x v="1"/>
    <s v="Travel_Rarely"/>
    <n v="1167"/>
    <x v="1"/>
    <n v="4"/>
    <n v="2"/>
    <s v="Life Sciences"/>
    <n v="1259"/>
    <n v="1"/>
    <x v="1"/>
    <n v="76"/>
    <n v="3"/>
    <n v="1"/>
    <x v="1"/>
    <n v="3"/>
    <s v="Divorced"/>
    <x v="849"/>
    <n v="3208"/>
    <n v="1"/>
    <x v="1"/>
    <n v="11"/>
    <n v="3"/>
    <n v="2"/>
    <n v="3"/>
    <n v="5"/>
    <n v="2"/>
    <n v="3"/>
    <n v="5"/>
    <n v="3"/>
    <n v="0"/>
    <n v="3"/>
    <x v="2"/>
    <s v="Low"/>
    <n v="6281.2528616024974"/>
    <s v="Below salary"/>
    <s v="Low Risk"/>
  </r>
  <r>
    <n v="29"/>
    <x v="1"/>
    <s v="Travel_Rarely"/>
    <n v="1329"/>
    <x v="1"/>
    <n v="7"/>
    <n v="3"/>
    <s v="Life Sciences"/>
    <n v="1260"/>
    <n v="3"/>
    <x v="1"/>
    <n v="82"/>
    <n v="3"/>
    <n v="2"/>
    <x v="4"/>
    <n v="4"/>
    <s v="Divorced"/>
    <x v="850"/>
    <n v="4204"/>
    <n v="1"/>
    <x v="0"/>
    <n v="11"/>
    <n v="3"/>
    <n v="2"/>
    <n v="2"/>
    <n v="6"/>
    <n v="2"/>
    <n v="3"/>
    <n v="6"/>
    <n v="0"/>
    <n v="1"/>
    <n v="0"/>
    <x v="2"/>
    <s v="Mid"/>
    <n v="6281.2528616024974"/>
    <s v="Above salary"/>
    <s v="Medium Risk"/>
  </r>
  <r>
    <n v="48"/>
    <x v="1"/>
    <s v="Travel_Rarely"/>
    <n v="715"/>
    <x v="1"/>
    <n v="1"/>
    <n v="3"/>
    <s v="Life Sciences"/>
    <n v="1263"/>
    <n v="4"/>
    <x v="1"/>
    <n v="76"/>
    <n v="2"/>
    <n v="5"/>
    <x v="7"/>
    <n v="4"/>
    <s v="Single"/>
    <x v="851"/>
    <n v="8733"/>
    <n v="6"/>
    <x v="1"/>
    <n v="12"/>
    <n v="3"/>
    <n v="3"/>
    <n v="0"/>
    <n v="25"/>
    <n v="3"/>
    <n v="4"/>
    <n v="1"/>
    <n v="0"/>
    <n v="0"/>
    <n v="0"/>
    <x v="1"/>
    <s v="Very High"/>
    <n v="6281.2528616024974"/>
    <s v="Above salary"/>
    <s v="Low Risk"/>
  </r>
  <r>
    <n v="29"/>
    <x v="1"/>
    <s v="Travel_Rarely"/>
    <n v="694"/>
    <x v="1"/>
    <n v="1"/>
    <n v="3"/>
    <s v="Life Sciences"/>
    <n v="1264"/>
    <n v="4"/>
    <x v="0"/>
    <n v="87"/>
    <n v="2"/>
    <n v="4"/>
    <x v="7"/>
    <n v="4"/>
    <s v="Divorced"/>
    <x v="852"/>
    <n v="3423"/>
    <n v="3"/>
    <x v="1"/>
    <n v="14"/>
    <n v="3"/>
    <n v="2"/>
    <n v="2"/>
    <n v="9"/>
    <n v="2"/>
    <n v="2"/>
    <n v="7"/>
    <n v="7"/>
    <n v="1"/>
    <n v="7"/>
    <x v="2"/>
    <s v="Very High"/>
    <n v="6281.2528616024974"/>
    <s v="Above salary"/>
    <s v="Low Risk"/>
  </r>
  <r>
    <n v="34"/>
    <x v="1"/>
    <s v="Travel_Rarely"/>
    <n v="1320"/>
    <x v="1"/>
    <n v="20"/>
    <n v="3"/>
    <s v="Technical Degree"/>
    <n v="1265"/>
    <n v="3"/>
    <x v="0"/>
    <n v="89"/>
    <n v="4"/>
    <n v="1"/>
    <x v="1"/>
    <n v="3"/>
    <s v="Married"/>
    <x v="853"/>
    <n v="21643"/>
    <n v="0"/>
    <x v="1"/>
    <n v="17"/>
    <n v="3"/>
    <n v="4"/>
    <n v="0"/>
    <n v="2"/>
    <n v="5"/>
    <n v="2"/>
    <n v="1"/>
    <n v="0"/>
    <n v="0"/>
    <n v="0"/>
    <x v="2"/>
    <s v="Low"/>
    <n v="6281.2528616024974"/>
    <s v="Below salary"/>
    <s v="Low Risk"/>
  </r>
  <r>
    <n v="44"/>
    <x v="1"/>
    <s v="Travel_Rarely"/>
    <n v="1099"/>
    <x v="0"/>
    <n v="5"/>
    <n v="3"/>
    <s v="Marketing"/>
    <n v="1267"/>
    <n v="2"/>
    <x v="1"/>
    <n v="88"/>
    <n v="3"/>
    <n v="5"/>
    <x v="5"/>
    <n v="2"/>
    <s v="Married"/>
    <x v="854"/>
    <n v="8751"/>
    <n v="7"/>
    <x v="1"/>
    <n v="11"/>
    <n v="3"/>
    <n v="3"/>
    <n v="1"/>
    <n v="26"/>
    <n v="5"/>
    <n v="3"/>
    <n v="22"/>
    <n v="9"/>
    <n v="3"/>
    <n v="10"/>
    <x v="0"/>
    <s v="Very High"/>
    <n v="6959.17264573991"/>
    <s v="Above salary"/>
    <s v="Medium Risk"/>
  </r>
  <r>
    <n v="33"/>
    <x v="1"/>
    <s v="Travel_Rarely"/>
    <n v="536"/>
    <x v="0"/>
    <n v="10"/>
    <n v="5"/>
    <s v="Marketing"/>
    <n v="1268"/>
    <n v="4"/>
    <x v="1"/>
    <n v="82"/>
    <n v="4"/>
    <n v="3"/>
    <x v="0"/>
    <n v="3"/>
    <s v="Divorced"/>
    <x v="855"/>
    <n v="21708"/>
    <n v="0"/>
    <x v="0"/>
    <n v="14"/>
    <n v="3"/>
    <n v="4"/>
    <n v="2"/>
    <n v="10"/>
    <n v="3"/>
    <n v="3"/>
    <n v="9"/>
    <n v="8"/>
    <n v="0"/>
    <n v="8"/>
    <x v="2"/>
    <s v="High"/>
    <n v="6959.17264573991"/>
    <s v="Above salary"/>
    <s v="Medium Risk"/>
  </r>
  <r>
    <n v="19"/>
    <x v="1"/>
    <s v="Travel_Rarely"/>
    <n v="265"/>
    <x v="1"/>
    <n v="25"/>
    <n v="3"/>
    <s v="Life Sciences"/>
    <n v="1269"/>
    <n v="2"/>
    <x v="0"/>
    <n v="57"/>
    <n v="4"/>
    <n v="1"/>
    <x v="1"/>
    <n v="4"/>
    <s v="Single"/>
    <x v="856"/>
    <n v="21221"/>
    <n v="1"/>
    <x v="0"/>
    <n v="12"/>
    <n v="3"/>
    <n v="4"/>
    <n v="0"/>
    <n v="1"/>
    <n v="2"/>
    <n v="3"/>
    <n v="1"/>
    <n v="0"/>
    <n v="0"/>
    <n v="1"/>
    <x v="3"/>
    <s v="Low"/>
    <n v="6281.2528616024974"/>
    <s v="Below salary"/>
    <s v="Medium Risk"/>
  </r>
  <r>
    <n v="23"/>
    <x v="1"/>
    <s v="Travel_Rarely"/>
    <n v="373"/>
    <x v="1"/>
    <n v="1"/>
    <n v="2"/>
    <s v="Life Sciences"/>
    <n v="1270"/>
    <n v="4"/>
    <x v="1"/>
    <n v="47"/>
    <n v="3"/>
    <n v="1"/>
    <x v="1"/>
    <n v="3"/>
    <s v="Married"/>
    <x v="857"/>
    <n v="16901"/>
    <n v="1"/>
    <x v="1"/>
    <n v="22"/>
    <n v="4"/>
    <n v="4"/>
    <n v="1"/>
    <n v="1"/>
    <n v="2"/>
    <n v="3"/>
    <n v="1"/>
    <n v="0"/>
    <n v="0"/>
    <n v="1"/>
    <x v="3"/>
    <s v="Low"/>
    <n v="6281.2528616024974"/>
    <s v="Below salary"/>
    <s v="Low Risk"/>
  </r>
  <r>
    <n v="25"/>
    <x v="0"/>
    <s v="Travel_Frequently"/>
    <n v="599"/>
    <x v="0"/>
    <n v="24"/>
    <n v="1"/>
    <s v="Life Sciences"/>
    <n v="1273"/>
    <n v="3"/>
    <x v="1"/>
    <n v="73"/>
    <n v="1"/>
    <n v="1"/>
    <x v="6"/>
    <n v="4"/>
    <s v="Single"/>
    <x v="858"/>
    <n v="8040"/>
    <n v="1"/>
    <x v="0"/>
    <n v="14"/>
    <n v="3"/>
    <n v="4"/>
    <n v="0"/>
    <n v="1"/>
    <n v="4"/>
    <n v="3"/>
    <n v="1"/>
    <n v="0"/>
    <n v="1"/>
    <n v="0"/>
    <x v="3"/>
    <s v="Low"/>
    <n v="6959.17264573991"/>
    <s v="Below salary"/>
    <s v="Medium Risk"/>
  </r>
  <r>
    <n v="26"/>
    <x v="1"/>
    <s v="Travel_Rarely"/>
    <n v="583"/>
    <x v="1"/>
    <n v="4"/>
    <n v="2"/>
    <s v="Life Sciences"/>
    <n v="1275"/>
    <n v="3"/>
    <x v="1"/>
    <n v="53"/>
    <n v="3"/>
    <n v="1"/>
    <x v="1"/>
    <n v="4"/>
    <s v="Single"/>
    <x v="859"/>
    <n v="9973"/>
    <n v="1"/>
    <x v="0"/>
    <n v="20"/>
    <n v="4"/>
    <n v="2"/>
    <n v="0"/>
    <n v="8"/>
    <n v="2"/>
    <n v="2"/>
    <n v="8"/>
    <n v="5"/>
    <n v="2"/>
    <n v="2"/>
    <x v="2"/>
    <s v="Low"/>
    <n v="6281.2528616024974"/>
    <s v="Below salary"/>
    <s v="Medium Risk"/>
  </r>
  <r>
    <n v="45"/>
    <x v="0"/>
    <s v="Travel_Rarely"/>
    <n v="1449"/>
    <x v="0"/>
    <n v="2"/>
    <n v="3"/>
    <s v="Marketing"/>
    <n v="1277"/>
    <n v="1"/>
    <x v="0"/>
    <n v="94"/>
    <n v="1"/>
    <n v="5"/>
    <x v="5"/>
    <n v="2"/>
    <s v="Single"/>
    <x v="860"/>
    <n v="2493"/>
    <n v="2"/>
    <x v="0"/>
    <n v="16"/>
    <n v="3"/>
    <n v="1"/>
    <n v="0"/>
    <n v="26"/>
    <n v="2"/>
    <n v="3"/>
    <n v="24"/>
    <n v="10"/>
    <n v="1"/>
    <n v="11"/>
    <x v="0"/>
    <s v="Very High"/>
    <n v="6959.17264573991"/>
    <s v="Above salary"/>
    <s v="High Risk"/>
  </r>
  <r>
    <n v="55"/>
    <x v="1"/>
    <s v="Non-Travel"/>
    <n v="177"/>
    <x v="1"/>
    <n v="8"/>
    <n v="1"/>
    <s v="Medical"/>
    <n v="1278"/>
    <n v="4"/>
    <x v="1"/>
    <n v="37"/>
    <n v="2"/>
    <n v="4"/>
    <x v="4"/>
    <n v="2"/>
    <s v="Divorced"/>
    <x v="861"/>
    <n v="25592"/>
    <n v="1"/>
    <x v="0"/>
    <n v="15"/>
    <n v="3"/>
    <n v="4"/>
    <n v="1"/>
    <n v="34"/>
    <n v="3"/>
    <n v="3"/>
    <n v="33"/>
    <n v="9"/>
    <n v="15"/>
    <n v="0"/>
    <x v="1"/>
    <s v="Very High"/>
    <n v="6281.2528616024974"/>
    <s v="Above salary"/>
    <s v="High Risk"/>
  </r>
  <r>
    <n v="21"/>
    <x v="0"/>
    <s v="Travel_Frequently"/>
    <n v="251"/>
    <x v="1"/>
    <n v="10"/>
    <n v="2"/>
    <s v="Life Sciences"/>
    <n v="1279"/>
    <n v="1"/>
    <x v="0"/>
    <n v="45"/>
    <n v="2"/>
    <n v="1"/>
    <x v="2"/>
    <n v="3"/>
    <s v="Single"/>
    <x v="862"/>
    <n v="25308"/>
    <n v="1"/>
    <x v="1"/>
    <n v="20"/>
    <n v="4"/>
    <n v="3"/>
    <n v="0"/>
    <n v="2"/>
    <n v="2"/>
    <n v="1"/>
    <n v="2"/>
    <n v="2"/>
    <n v="2"/>
    <n v="2"/>
    <x v="3"/>
    <s v="Low"/>
    <n v="6281.2528616024974"/>
    <s v="Below salary"/>
    <s v="Low Risk"/>
  </r>
  <r>
    <n v="46"/>
    <x v="1"/>
    <s v="Travel_Rarely"/>
    <n v="168"/>
    <x v="0"/>
    <n v="4"/>
    <n v="2"/>
    <s v="Marketing"/>
    <n v="1280"/>
    <n v="4"/>
    <x v="0"/>
    <n v="33"/>
    <n v="2"/>
    <n v="5"/>
    <x v="5"/>
    <n v="2"/>
    <s v="Married"/>
    <x v="863"/>
    <n v="9946"/>
    <n v="2"/>
    <x v="1"/>
    <n v="14"/>
    <n v="3"/>
    <n v="3"/>
    <n v="1"/>
    <n v="26"/>
    <n v="2"/>
    <n v="3"/>
    <n v="11"/>
    <n v="4"/>
    <n v="0"/>
    <n v="8"/>
    <x v="1"/>
    <s v="Very High"/>
    <n v="6959.17264573991"/>
    <s v="Above salary"/>
    <s v="Medium Risk"/>
  </r>
  <r>
    <n v="34"/>
    <x v="1"/>
    <s v="Travel_Rarely"/>
    <n v="131"/>
    <x v="0"/>
    <n v="2"/>
    <n v="3"/>
    <s v="Marketing"/>
    <n v="1281"/>
    <n v="3"/>
    <x v="0"/>
    <n v="86"/>
    <n v="3"/>
    <n v="2"/>
    <x v="0"/>
    <n v="1"/>
    <s v="Single"/>
    <x v="864"/>
    <n v="6039"/>
    <n v="0"/>
    <x v="0"/>
    <n v="12"/>
    <n v="3"/>
    <n v="4"/>
    <n v="0"/>
    <n v="4"/>
    <n v="3"/>
    <n v="3"/>
    <n v="3"/>
    <n v="2"/>
    <n v="0"/>
    <n v="2"/>
    <x v="2"/>
    <s v="Mid"/>
    <n v="6959.17264573991"/>
    <s v="Below salary"/>
    <s v="High Risk"/>
  </r>
  <r>
    <n v="51"/>
    <x v="1"/>
    <s v="Travel_Frequently"/>
    <n v="237"/>
    <x v="0"/>
    <n v="9"/>
    <n v="3"/>
    <s v="Life Sciences"/>
    <n v="1282"/>
    <n v="4"/>
    <x v="1"/>
    <n v="83"/>
    <n v="3"/>
    <n v="5"/>
    <x v="5"/>
    <n v="2"/>
    <s v="Divorced"/>
    <x v="865"/>
    <n v="19196"/>
    <n v="4"/>
    <x v="0"/>
    <n v="24"/>
    <n v="4"/>
    <n v="1"/>
    <n v="1"/>
    <n v="31"/>
    <n v="5"/>
    <n v="2"/>
    <n v="29"/>
    <n v="10"/>
    <n v="11"/>
    <n v="10"/>
    <x v="1"/>
    <s v="Very High"/>
    <n v="6959.17264573991"/>
    <s v="Above salary"/>
    <s v="High Risk"/>
  </r>
  <r>
    <n v="59"/>
    <x v="1"/>
    <s v="Travel_Rarely"/>
    <n v="1429"/>
    <x v="1"/>
    <n v="18"/>
    <n v="4"/>
    <s v="Medical"/>
    <n v="1283"/>
    <n v="4"/>
    <x v="1"/>
    <n v="67"/>
    <n v="3"/>
    <n v="3"/>
    <x v="3"/>
    <n v="4"/>
    <s v="Single"/>
    <x v="866"/>
    <n v="20002"/>
    <n v="6"/>
    <x v="1"/>
    <n v="12"/>
    <n v="3"/>
    <n v="4"/>
    <n v="0"/>
    <n v="25"/>
    <n v="6"/>
    <n v="2"/>
    <n v="9"/>
    <n v="7"/>
    <n v="5"/>
    <n v="4"/>
    <x v="1"/>
    <s v="High"/>
    <n v="6281.2528616024974"/>
    <s v="Above salary"/>
    <s v="Low Risk"/>
  </r>
  <r>
    <n v="34"/>
    <x v="1"/>
    <s v="Travel_Frequently"/>
    <n v="135"/>
    <x v="1"/>
    <n v="19"/>
    <n v="3"/>
    <s v="Medical"/>
    <n v="1285"/>
    <n v="3"/>
    <x v="0"/>
    <n v="46"/>
    <n v="3"/>
    <n v="2"/>
    <x v="2"/>
    <n v="2"/>
    <s v="Divorced"/>
    <x v="867"/>
    <n v="22534"/>
    <n v="4"/>
    <x v="1"/>
    <n v="13"/>
    <n v="3"/>
    <n v="3"/>
    <n v="2"/>
    <n v="15"/>
    <n v="2"/>
    <n v="4"/>
    <n v="11"/>
    <n v="8"/>
    <n v="5"/>
    <n v="10"/>
    <x v="2"/>
    <s v="Mid"/>
    <n v="6281.2528616024974"/>
    <s v="Below salary"/>
    <s v="Medium Risk"/>
  </r>
  <r>
    <n v="28"/>
    <x v="1"/>
    <s v="Travel_Frequently"/>
    <n v="791"/>
    <x v="1"/>
    <n v="1"/>
    <n v="4"/>
    <s v="Medical"/>
    <n v="1286"/>
    <n v="4"/>
    <x v="1"/>
    <n v="44"/>
    <n v="3"/>
    <n v="1"/>
    <x v="2"/>
    <n v="3"/>
    <s v="Single"/>
    <x v="868"/>
    <n v="6842"/>
    <n v="0"/>
    <x v="0"/>
    <n v="11"/>
    <n v="3"/>
    <n v="3"/>
    <n v="0"/>
    <n v="5"/>
    <n v="2"/>
    <n v="2"/>
    <n v="4"/>
    <n v="2"/>
    <n v="0"/>
    <n v="2"/>
    <x v="2"/>
    <s v="Low"/>
    <n v="6281.2528616024974"/>
    <s v="Below salary"/>
    <s v="Medium Risk"/>
  </r>
  <r>
    <n v="44"/>
    <x v="1"/>
    <s v="Travel_Rarely"/>
    <n v="1199"/>
    <x v="1"/>
    <n v="4"/>
    <n v="2"/>
    <s v="Life Sciences"/>
    <n v="1288"/>
    <n v="3"/>
    <x v="1"/>
    <n v="92"/>
    <n v="4"/>
    <n v="5"/>
    <x v="5"/>
    <n v="1"/>
    <s v="Divorced"/>
    <x v="869"/>
    <n v="17477"/>
    <n v="1"/>
    <x v="1"/>
    <n v="14"/>
    <n v="3"/>
    <n v="4"/>
    <n v="2"/>
    <n v="26"/>
    <n v="4"/>
    <n v="2"/>
    <n v="25"/>
    <n v="9"/>
    <n v="14"/>
    <n v="13"/>
    <x v="0"/>
    <s v="Very High"/>
    <n v="6281.2528616024974"/>
    <s v="Above salary"/>
    <s v="Medium Risk"/>
  </r>
  <r>
    <n v="34"/>
    <x v="1"/>
    <s v="Travel_Frequently"/>
    <n v="648"/>
    <x v="2"/>
    <n v="11"/>
    <n v="3"/>
    <s v="Life Sciences"/>
    <n v="1289"/>
    <n v="3"/>
    <x v="1"/>
    <n v="56"/>
    <n v="2"/>
    <n v="2"/>
    <x v="8"/>
    <n v="2"/>
    <s v="Married"/>
    <x v="870"/>
    <n v="21833"/>
    <n v="4"/>
    <x v="1"/>
    <n v="11"/>
    <n v="3"/>
    <n v="4"/>
    <n v="2"/>
    <n v="14"/>
    <n v="5"/>
    <n v="4"/>
    <n v="10"/>
    <n v="9"/>
    <n v="1"/>
    <n v="8"/>
    <x v="2"/>
    <s v="Mid"/>
    <n v="6654.5079365079364"/>
    <s v="Below salary"/>
    <s v="Medium Risk"/>
  </r>
  <r>
    <n v="35"/>
    <x v="1"/>
    <s v="Travel_Rarely"/>
    <n v="735"/>
    <x v="1"/>
    <n v="6"/>
    <n v="1"/>
    <s v="Life Sciences"/>
    <n v="1291"/>
    <n v="3"/>
    <x v="1"/>
    <n v="66"/>
    <n v="3"/>
    <n v="1"/>
    <x v="1"/>
    <n v="3"/>
    <s v="Married"/>
    <x v="871"/>
    <n v="6020"/>
    <n v="0"/>
    <x v="0"/>
    <n v="14"/>
    <n v="3"/>
    <n v="4"/>
    <n v="0"/>
    <n v="4"/>
    <n v="3"/>
    <n v="3"/>
    <n v="3"/>
    <n v="2"/>
    <n v="2"/>
    <n v="2"/>
    <x v="2"/>
    <s v="Mid"/>
    <n v="6281.2528616024974"/>
    <s v="Below salary"/>
    <s v="Medium Risk"/>
  </r>
  <r>
    <n v="42"/>
    <x v="1"/>
    <s v="Travel_Rarely"/>
    <n v="603"/>
    <x v="1"/>
    <n v="7"/>
    <n v="4"/>
    <s v="Medical"/>
    <n v="1292"/>
    <n v="2"/>
    <x v="0"/>
    <n v="78"/>
    <n v="4"/>
    <n v="2"/>
    <x v="1"/>
    <n v="2"/>
    <s v="Married"/>
    <x v="872"/>
    <n v="5628"/>
    <n v="6"/>
    <x v="0"/>
    <n v="16"/>
    <n v="3"/>
    <n v="4"/>
    <n v="0"/>
    <n v="18"/>
    <n v="2"/>
    <n v="3"/>
    <n v="1"/>
    <n v="0"/>
    <n v="0"/>
    <n v="0"/>
    <x v="0"/>
    <s v="Low"/>
    <n v="6281.2528616024974"/>
    <s v="Below salary"/>
    <s v="High Risk"/>
  </r>
  <r>
    <n v="43"/>
    <x v="1"/>
    <s v="Travel_Rarely"/>
    <n v="531"/>
    <x v="0"/>
    <n v="4"/>
    <n v="4"/>
    <s v="Marketing"/>
    <n v="1293"/>
    <n v="4"/>
    <x v="0"/>
    <n v="56"/>
    <n v="2"/>
    <n v="3"/>
    <x v="0"/>
    <n v="4"/>
    <s v="Single"/>
    <x v="873"/>
    <n v="20364"/>
    <n v="3"/>
    <x v="1"/>
    <n v="14"/>
    <n v="3"/>
    <n v="4"/>
    <n v="0"/>
    <n v="23"/>
    <n v="3"/>
    <n v="4"/>
    <n v="21"/>
    <n v="7"/>
    <n v="15"/>
    <n v="17"/>
    <x v="0"/>
    <s v="High"/>
    <n v="6959.17264573991"/>
    <s v="Above salary"/>
    <s v="Low Risk"/>
  </r>
  <r>
    <n v="36"/>
    <x v="1"/>
    <s v="Travel_Rarely"/>
    <n v="429"/>
    <x v="1"/>
    <n v="2"/>
    <n v="4"/>
    <s v="Life Sciences"/>
    <n v="1294"/>
    <n v="3"/>
    <x v="0"/>
    <n v="53"/>
    <n v="3"/>
    <n v="2"/>
    <x v="3"/>
    <n v="2"/>
    <s v="Single"/>
    <x v="874"/>
    <n v="2323"/>
    <n v="9"/>
    <x v="0"/>
    <n v="11"/>
    <n v="3"/>
    <n v="4"/>
    <n v="0"/>
    <n v="18"/>
    <n v="2"/>
    <n v="3"/>
    <n v="16"/>
    <n v="14"/>
    <n v="5"/>
    <n v="12"/>
    <x v="0"/>
    <s v="Mid"/>
    <n v="6281.2528616024974"/>
    <s v="Below salary"/>
    <s v="High Risk"/>
  </r>
  <r>
    <n v="44"/>
    <x v="0"/>
    <s v="Travel_Rarely"/>
    <n v="621"/>
    <x v="1"/>
    <n v="15"/>
    <n v="3"/>
    <s v="Medical"/>
    <n v="1295"/>
    <n v="1"/>
    <x v="0"/>
    <n v="73"/>
    <n v="3"/>
    <n v="3"/>
    <x v="4"/>
    <n v="4"/>
    <s v="Married"/>
    <x v="875"/>
    <n v="14075"/>
    <n v="1"/>
    <x v="1"/>
    <n v="11"/>
    <n v="3"/>
    <n v="4"/>
    <n v="1"/>
    <n v="10"/>
    <n v="2"/>
    <n v="3"/>
    <n v="10"/>
    <n v="7"/>
    <n v="0"/>
    <n v="5"/>
    <x v="0"/>
    <s v="High"/>
    <n v="6281.2528616024974"/>
    <s v="Above salary"/>
    <s v="Low Risk"/>
  </r>
  <r>
    <n v="28"/>
    <x v="1"/>
    <s v="Travel_Frequently"/>
    <n v="193"/>
    <x v="1"/>
    <n v="2"/>
    <n v="3"/>
    <s v="Life Sciences"/>
    <n v="1296"/>
    <n v="4"/>
    <x v="1"/>
    <n v="52"/>
    <n v="2"/>
    <n v="1"/>
    <x v="2"/>
    <n v="4"/>
    <s v="Married"/>
    <x v="876"/>
    <n v="14222"/>
    <n v="1"/>
    <x v="0"/>
    <n v="12"/>
    <n v="3"/>
    <n v="2"/>
    <n v="1"/>
    <n v="2"/>
    <n v="2"/>
    <n v="3"/>
    <n v="2"/>
    <n v="2"/>
    <n v="2"/>
    <n v="2"/>
    <x v="2"/>
    <s v="Mid"/>
    <n v="6281.2528616024974"/>
    <s v="Below salary"/>
    <s v="Medium Risk"/>
  </r>
  <r>
    <n v="51"/>
    <x v="1"/>
    <s v="Travel_Frequently"/>
    <n v="968"/>
    <x v="1"/>
    <n v="6"/>
    <n v="2"/>
    <s v="Medical"/>
    <n v="1297"/>
    <n v="2"/>
    <x v="0"/>
    <n v="40"/>
    <n v="2"/>
    <n v="1"/>
    <x v="2"/>
    <n v="3"/>
    <s v="Single"/>
    <x v="877"/>
    <n v="4257"/>
    <n v="0"/>
    <x v="1"/>
    <n v="14"/>
    <n v="3"/>
    <n v="2"/>
    <n v="0"/>
    <n v="8"/>
    <n v="6"/>
    <n v="2"/>
    <n v="7"/>
    <n v="0"/>
    <n v="7"/>
    <n v="7"/>
    <x v="1"/>
    <s v="Low"/>
    <n v="6281.2528616024974"/>
    <s v="Below salary"/>
    <s v="Low Risk"/>
  </r>
  <r>
    <n v="30"/>
    <x v="1"/>
    <s v="Non-Travel"/>
    <n v="879"/>
    <x v="1"/>
    <n v="9"/>
    <n v="2"/>
    <s v="Medical"/>
    <n v="1298"/>
    <n v="3"/>
    <x v="0"/>
    <n v="72"/>
    <n v="3"/>
    <n v="2"/>
    <x v="3"/>
    <n v="3"/>
    <s v="Single"/>
    <x v="878"/>
    <n v="12858"/>
    <n v="7"/>
    <x v="0"/>
    <n v="18"/>
    <n v="3"/>
    <n v="3"/>
    <n v="0"/>
    <n v="10"/>
    <n v="3"/>
    <n v="3"/>
    <n v="8"/>
    <n v="4"/>
    <n v="1"/>
    <n v="7"/>
    <x v="2"/>
    <s v="Mid"/>
    <n v="6281.2528616024974"/>
    <s v="Below salary"/>
    <s v="Medium Risk"/>
  </r>
  <r>
    <n v="29"/>
    <x v="0"/>
    <s v="Travel_Rarely"/>
    <n v="806"/>
    <x v="1"/>
    <n v="7"/>
    <n v="3"/>
    <s v="Technical Degree"/>
    <n v="1299"/>
    <n v="2"/>
    <x v="0"/>
    <n v="39"/>
    <n v="3"/>
    <n v="1"/>
    <x v="2"/>
    <n v="3"/>
    <s v="Divorced"/>
    <x v="879"/>
    <n v="17285"/>
    <n v="3"/>
    <x v="0"/>
    <n v="13"/>
    <n v="3"/>
    <n v="1"/>
    <n v="2"/>
    <n v="10"/>
    <n v="2"/>
    <n v="3"/>
    <n v="7"/>
    <n v="7"/>
    <n v="7"/>
    <n v="7"/>
    <x v="2"/>
    <s v="Mid"/>
    <n v="6281.2528616024974"/>
    <s v="Below salary"/>
    <s v="Medium Risk"/>
  </r>
  <r>
    <n v="28"/>
    <x v="1"/>
    <s v="Travel_Rarely"/>
    <n v="640"/>
    <x v="1"/>
    <n v="1"/>
    <n v="3"/>
    <s v="Technical Degree"/>
    <n v="1301"/>
    <n v="4"/>
    <x v="1"/>
    <n v="84"/>
    <n v="3"/>
    <n v="1"/>
    <x v="1"/>
    <n v="1"/>
    <s v="Single"/>
    <x v="880"/>
    <n v="4732"/>
    <n v="2"/>
    <x v="1"/>
    <n v="11"/>
    <n v="3"/>
    <n v="2"/>
    <n v="0"/>
    <n v="5"/>
    <n v="2"/>
    <n v="2"/>
    <n v="3"/>
    <n v="2"/>
    <n v="1"/>
    <n v="2"/>
    <x v="2"/>
    <s v="Low"/>
    <n v="6281.2528616024974"/>
    <s v="Below salary"/>
    <s v="Medium Risk"/>
  </r>
  <r>
    <n v="25"/>
    <x v="1"/>
    <s v="Travel_Rarely"/>
    <n v="266"/>
    <x v="1"/>
    <n v="1"/>
    <n v="3"/>
    <s v="Medical"/>
    <n v="1303"/>
    <n v="4"/>
    <x v="0"/>
    <n v="40"/>
    <n v="3"/>
    <n v="1"/>
    <x v="1"/>
    <n v="2"/>
    <s v="Single"/>
    <x v="461"/>
    <n v="18830"/>
    <n v="1"/>
    <x v="1"/>
    <n v="18"/>
    <n v="3"/>
    <n v="4"/>
    <n v="0"/>
    <n v="2"/>
    <n v="3"/>
    <n v="2"/>
    <n v="2"/>
    <n v="2"/>
    <n v="2"/>
    <n v="1"/>
    <x v="3"/>
    <s v="Low"/>
    <n v="6281.2528616024974"/>
    <s v="Below salary"/>
    <s v="Medium Risk"/>
  </r>
  <r>
    <n v="32"/>
    <x v="1"/>
    <s v="Travel_Rarely"/>
    <n v="604"/>
    <x v="0"/>
    <n v="8"/>
    <n v="3"/>
    <s v="Medical"/>
    <n v="1304"/>
    <n v="3"/>
    <x v="1"/>
    <n v="56"/>
    <n v="4"/>
    <n v="2"/>
    <x v="0"/>
    <n v="4"/>
    <s v="Married"/>
    <x v="881"/>
    <n v="11693"/>
    <n v="1"/>
    <x v="1"/>
    <n v="15"/>
    <n v="3"/>
    <n v="3"/>
    <n v="2"/>
    <n v="10"/>
    <n v="4"/>
    <n v="4"/>
    <n v="10"/>
    <n v="7"/>
    <n v="0"/>
    <n v="8"/>
    <x v="2"/>
    <s v="Mid"/>
    <n v="6959.17264573991"/>
    <s v="Below salary"/>
    <s v="Low Risk"/>
  </r>
  <r>
    <n v="45"/>
    <x v="1"/>
    <s v="Travel_Frequently"/>
    <n v="364"/>
    <x v="1"/>
    <n v="25"/>
    <n v="3"/>
    <s v="Medical"/>
    <n v="1306"/>
    <n v="2"/>
    <x v="0"/>
    <n v="83"/>
    <n v="3"/>
    <n v="5"/>
    <x v="5"/>
    <n v="2"/>
    <s v="Single"/>
    <x v="882"/>
    <n v="13035"/>
    <n v="3"/>
    <x v="1"/>
    <n v="22"/>
    <n v="4"/>
    <n v="3"/>
    <n v="0"/>
    <n v="22"/>
    <n v="4"/>
    <n v="3"/>
    <n v="0"/>
    <n v="0"/>
    <n v="0"/>
    <n v="0"/>
    <x v="0"/>
    <s v="Very High"/>
    <n v="6281.2528616024974"/>
    <s v="Above salary"/>
    <s v="Medium Risk"/>
  </r>
  <r>
    <n v="39"/>
    <x v="1"/>
    <s v="Travel_Rarely"/>
    <n v="412"/>
    <x v="1"/>
    <n v="13"/>
    <n v="4"/>
    <s v="Medical"/>
    <n v="1307"/>
    <n v="3"/>
    <x v="0"/>
    <n v="94"/>
    <n v="2"/>
    <n v="4"/>
    <x v="5"/>
    <n v="2"/>
    <s v="Divorced"/>
    <x v="883"/>
    <n v="17334"/>
    <n v="6"/>
    <x v="0"/>
    <n v="13"/>
    <n v="3"/>
    <n v="4"/>
    <n v="2"/>
    <n v="21"/>
    <n v="4"/>
    <n v="3"/>
    <n v="19"/>
    <n v="9"/>
    <n v="15"/>
    <n v="2"/>
    <x v="0"/>
    <s v="Very High"/>
    <n v="6281.2528616024974"/>
    <s v="Above salary"/>
    <s v="High Risk"/>
  </r>
  <r>
    <n v="58"/>
    <x v="1"/>
    <s v="Travel_Rarely"/>
    <n v="848"/>
    <x v="1"/>
    <n v="23"/>
    <n v="4"/>
    <s v="Life Sciences"/>
    <n v="1308"/>
    <n v="1"/>
    <x v="1"/>
    <n v="88"/>
    <n v="3"/>
    <n v="1"/>
    <x v="1"/>
    <n v="3"/>
    <s v="Divorced"/>
    <x v="872"/>
    <n v="26076"/>
    <n v="1"/>
    <x v="1"/>
    <n v="12"/>
    <n v="3"/>
    <n v="4"/>
    <n v="2"/>
    <n v="2"/>
    <n v="3"/>
    <n v="3"/>
    <n v="2"/>
    <n v="2"/>
    <n v="2"/>
    <n v="2"/>
    <x v="1"/>
    <s v="Low"/>
    <n v="6281.2528616024974"/>
    <s v="Below salary"/>
    <s v="Low Risk"/>
  </r>
  <r>
    <n v="32"/>
    <x v="0"/>
    <s v="Travel_Rarely"/>
    <n v="1089"/>
    <x v="1"/>
    <n v="7"/>
    <n v="2"/>
    <s v="Life Sciences"/>
    <n v="1309"/>
    <n v="4"/>
    <x v="1"/>
    <n v="79"/>
    <n v="3"/>
    <n v="2"/>
    <x v="2"/>
    <n v="3"/>
    <s v="Married"/>
    <x v="884"/>
    <n v="22845"/>
    <n v="1"/>
    <x v="1"/>
    <n v="18"/>
    <n v="3"/>
    <n v="1"/>
    <n v="1"/>
    <n v="10"/>
    <n v="3"/>
    <n v="3"/>
    <n v="10"/>
    <n v="4"/>
    <n v="1"/>
    <n v="1"/>
    <x v="2"/>
    <s v="Mid"/>
    <n v="6281.2528616024974"/>
    <s v="Below salary"/>
    <s v="Low Risk"/>
  </r>
  <r>
    <n v="39"/>
    <x v="0"/>
    <s v="Travel_Rarely"/>
    <n v="360"/>
    <x v="1"/>
    <n v="23"/>
    <n v="3"/>
    <s v="Medical"/>
    <n v="1310"/>
    <n v="3"/>
    <x v="1"/>
    <n v="93"/>
    <n v="3"/>
    <n v="1"/>
    <x v="1"/>
    <n v="1"/>
    <s v="Single"/>
    <x v="885"/>
    <n v="22154"/>
    <n v="0"/>
    <x v="1"/>
    <n v="13"/>
    <n v="3"/>
    <n v="1"/>
    <n v="0"/>
    <n v="6"/>
    <n v="2"/>
    <n v="3"/>
    <n v="5"/>
    <n v="2"/>
    <n v="0"/>
    <n v="3"/>
    <x v="0"/>
    <s v="Mid"/>
    <n v="6281.2528616024974"/>
    <s v="Below salary"/>
    <s v="Medium Risk"/>
  </r>
  <r>
    <n v="30"/>
    <x v="1"/>
    <s v="Travel_Rarely"/>
    <n v="1138"/>
    <x v="1"/>
    <n v="6"/>
    <n v="3"/>
    <s v="Technical Degree"/>
    <n v="1311"/>
    <n v="1"/>
    <x v="0"/>
    <n v="48"/>
    <n v="2"/>
    <n v="2"/>
    <x v="2"/>
    <n v="4"/>
    <s v="Married"/>
    <x v="886"/>
    <n v="23631"/>
    <n v="0"/>
    <x v="1"/>
    <n v="12"/>
    <n v="3"/>
    <n v="1"/>
    <n v="1"/>
    <n v="10"/>
    <n v="6"/>
    <n v="3"/>
    <n v="9"/>
    <n v="2"/>
    <n v="6"/>
    <n v="7"/>
    <x v="2"/>
    <s v="Mid"/>
    <n v="6281.2528616024974"/>
    <s v="Below salary"/>
    <s v="Low Risk"/>
  </r>
  <r>
    <n v="36"/>
    <x v="1"/>
    <s v="Travel_Rarely"/>
    <n v="325"/>
    <x v="1"/>
    <n v="10"/>
    <n v="4"/>
    <s v="Technical Degree"/>
    <n v="1312"/>
    <n v="4"/>
    <x v="0"/>
    <n v="63"/>
    <n v="3"/>
    <n v="3"/>
    <x v="4"/>
    <n v="3"/>
    <s v="Married"/>
    <x v="887"/>
    <n v="5747"/>
    <n v="3"/>
    <x v="1"/>
    <n v="12"/>
    <n v="3"/>
    <n v="1"/>
    <n v="0"/>
    <n v="10"/>
    <n v="0"/>
    <n v="3"/>
    <n v="7"/>
    <n v="7"/>
    <n v="1"/>
    <n v="7"/>
    <x v="0"/>
    <s v="High"/>
    <n v="6281.2528616024974"/>
    <s v="Above salary"/>
    <s v="Low Risk"/>
  </r>
  <r>
    <n v="46"/>
    <x v="1"/>
    <s v="Travel_Rarely"/>
    <n v="991"/>
    <x v="2"/>
    <n v="1"/>
    <n v="2"/>
    <s v="Life Sciences"/>
    <n v="1314"/>
    <n v="4"/>
    <x v="0"/>
    <n v="44"/>
    <n v="3"/>
    <n v="1"/>
    <x v="8"/>
    <n v="1"/>
    <s v="Single"/>
    <x v="888"/>
    <n v="22957"/>
    <n v="6"/>
    <x v="1"/>
    <n v="12"/>
    <n v="3"/>
    <n v="3"/>
    <n v="0"/>
    <n v="10"/>
    <n v="3"/>
    <n v="4"/>
    <n v="7"/>
    <n v="6"/>
    <n v="5"/>
    <n v="7"/>
    <x v="1"/>
    <s v="Mid"/>
    <n v="6654.5079365079364"/>
    <s v="Below salary"/>
    <s v="Medium Risk"/>
  </r>
  <r>
    <n v="28"/>
    <x v="1"/>
    <s v="Non-Travel"/>
    <n v="1476"/>
    <x v="1"/>
    <n v="1"/>
    <n v="3"/>
    <s v="Life Sciences"/>
    <n v="1315"/>
    <n v="3"/>
    <x v="0"/>
    <n v="55"/>
    <n v="1"/>
    <n v="2"/>
    <x v="2"/>
    <n v="4"/>
    <s v="Married"/>
    <x v="889"/>
    <n v="16392"/>
    <n v="0"/>
    <x v="1"/>
    <n v="11"/>
    <n v="3"/>
    <n v="1"/>
    <n v="3"/>
    <n v="10"/>
    <n v="6"/>
    <n v="3"/>
    <n v="9"/>
    <n v="8"/>
    <n v="7"/>
    <n v="5"/>
    <x v="2"/>
    <s v="Mid"/>
    <n v="6281.2528616024974"/>
    <s v="Above salary"/>
    <s v="Low Risk"/>
  </r>
  <r>
    <n v="50"/>
    <x v="1"/>
    <s v="Travel_Rarely"/>
    <n v="1322"/>
    <x v="1"/>
    <n v="28"/>
    <n v="3"/>
    <s v="Life Sciences"/>
    <n v="1317"/>
    <n v="4"/>
    <x v="0"/>
    <n v="43"/>
    <n v="3"/>
    <n v="4"/>
    <x v="7"/>
    <n v="1"/>
    <s v="Married"/>
    <x v="890"/>
    <n v="22422"/>
    <n v="4"/>
    <x v="0"/>
    <n v="11"/>
    <n v="3"/>
    <n v="2"/>
    <n v="0"/>
    <n v="25"/>
    <n v="2"/>
    <n v="3"/>
    <n v="3"/>
    <n v="2"/>
    <n v="1"/>
    <n v="2"/>
    <x v="1"/>
    <s v="Very High"/>
    <n v="6281.2528616024974"/>
    <s v="Above salary"/>
    <s v="High Risk"/>
  </r>
  <r>
    <n v="40"/>
    <x v="0"/>
    <s v="Travel_Rarely"/>
    <n v="299"/>
    <x v="0"/>
    <n v="25"/>
    <n v="4"/>
    <s v="Marketing"/>
    <n v="1318"/>
    <n v="4"/>
    <x v="1"/>
    <n v="57"/>
    <n v="2"/>
    <n v="3"/>
    <x v="0"/>
    <n v="2"/>
    <s v="Single"/>
    <x v="891"/>
    <n v="17235"/>
    <n v="2"/>
    <x v="0"/>
    <n v="12"/>
    <n v="3"/>
    <n v="3"/>
    <n v="0"/>
    <n v="9"/>
    <n v="2"/>
    <n v="3"/>
    <n v="5"/>
    <n v="4"/>
    <n v="1"/>
    <n v="0"/>
    <x v="0"/>
    <s v="High"/>
    <n v="6959.17264573991"/>
    <s v="Above salary"/>
    <s v="High Risk"/>
  </r>
  <r>
    <n v="52"/>
    <x v="0"/>
    <s v="Travel_Rarely"/>
    <n v="1030"/>
    <x v="0"/>
    <n v="5"/>
    <n v="3"/>
    <s v="Life Sciences"/>
    <n v="1319"/>
    <n v="2"/>
    <x v="1"/>
    <n v="64"/>
    <n v="3"/>
    <n v="3"/>
    <x v="0"/>
    <n v="2"/>
    <s v="Single"/>
    <x v="892"/>
    <n v="21534"/>
    <n v="9"/>
    <x v="0"/>
    <n v="19"/>
    <n v="3"/>
    <n v="3"/>
    <n v="0"/>
    <n v="10"/>
    <n v="2"/>
    <n v="2"/>
    <n v="8"/>
    <n v="7"/>
    <n v="7"/>
    <n v="7"/>
    <x v="1"/>
    <s v="High"/>
    <n v="6959.17264573991"/>
    <s v="Above salary"/>
    <s v="High Risk"/>
  </r>
  <r>
    <n v="30"/>
    <x v="1"/>
    <s v="Travel_Rarely"/>
    <n v="634"/>
    <x v="1"/>
    <n v="17"/>
    <n v="4"/>
    <s v="Medical"/>
    <n v="1321"/>
    <n v="2"/>
    <x v="0"/>
    <n v="95"/>
    <n v="3"/>
    <n v="3"/>
    <x v="5"/>
    <n v="1"/>
    <s v="Married"/>
    <x v="893"/>
    <n v="25927"/>
    <n v="1"/>
    <x v="0"/>
    <n v="23"/>
    <n v="4"/>
    <n v="4"/>
    <n v="2"/>
    <n v="9"/>
    <n v="2"/>
    <n v="3"/>
    <n v="9"/>
    <n v="1"/>
    <n v="0"/>
    <n v="8"/>
    <x v="2"/>
    <s v="High"/>
    <n v="6281.2528616024974"/>
    <s v="Above salary"/>
    <s v="High Risk"/>
  </r>
  <r>
    <n v="39"/>
    <x v="1"/>
    <s v="Travel_Rarely"/>
    <n v="524"/>
    <x v="1"/>
    <n v="18"/>
    <n v="2"/>
    <s v="Life Sciences"/>
    <n v="1322"/>
    <n v="1"/>
    <x v="1"/>
    <n v="32"/>
    <n v="3"/>
    <n v="2"/>
    <x v="3"/>
    <n v="3"/>
    <s v="Single"/>
    <x v="894"/>
    <n v="13352"/>
    <n v="0"/>
    <x v="1"/>
    <n v="11"/>
    <n v="3"/>
    <n v="1"/>
    <n v="0"/>
    <n v="9"/>
    <n v="6"/>
    <n v="3"/>
    <n v="8"/>
    <n v="7"/>
    <n v="1"/>
    <n v="7"/>
    <x v="0"/>
    <s v="Mid"/>
    <n v="6281.2528616024974"/>
    <s v="Below salary"/>
    <s v="Low Risk"/>
  </r>
  <r>
    <n v="31"/>
    <x v="1"/>
    <s v="Non-Travel"/>
    <n v="587"/>
    <x v="0"/>
    <n v="2"/>
    <n v="4"/>
    <s v="Life Sciences"/>
    <n v="1324"/>
    <n v="4"/>
    <x v="0"/>
    <n v="57"/>
    <n v="3"/>
    <n v="3"/>
    <x v="0"/>
    <n v="3"/>
    <s v="Divorced"/>
    <x v="895"/>
    <n v="8935"/>
    <n v="1"/>
    <x v="0"/>
    <n v="19"/>
    <n v="3"/>
    <n v="1"/>
    <n v="1"/>
    <n v="10"/>
    <n v="5"/>
    <n v="2"/>
    <n v="10"/>
    <n v="8"/>
    <n v="9"/>
    <n v="6"/>
    <x v="2"/>
    <s v="High"/>
    <n v="6959.17264573991"/>
    <s v="Above salary"/>
    <s v="Medium Risk"/>
  </r>
  <r>
    <n v="41"/>
    <x v="1"/>
    <s v="Non-Travel"/>
    <n v="256"/>
    <x v="0"/>
    <n v="10"/>
    <n v="2"/>
    <s v="Medical"/>
    <n v="1329"/>
    <n v="3"/>
    <x v="1"/>
    <n v="40"/>
    <n v="1"/>
    <n v="2"/>
    <x v="0"/>
    <n v="2"/>
    <s v="Single"/>
    <x v="896"/>
    <n v="22074"/>
    <n v="1"/>
    <x v="1"/>
    <n v="13"/>
    <n v="3"/>
    <n v="1"/>
    <n v="0"/>
    <n v="19"/>
    <n v="4"/>
    <n v="3"/>
    <n v="19"/>
    <n v="2"/>
    <n v="11"/>
    <n v="9"/>
    <x v="0"/>
    <s v="Mid"/>
    <n v="6959.17264573991"/>
    <s v="Below salary"/>
    <s v="Medium Risk"/>
  </r>
  <r>
    <n v="31"/>
    <x v="0"/>
    <s v="Travel_Frequently"/>
    <n v="1060"/>
    <x v="0"/>
    <n v="1"/>
    <n v="3"/>
    <s v="Life Sciences"/>
    <n v="1331"/>
    <n v="4"/>
    <x v="0"/>
    <n v="54"/>
    <n v="3"/>
    <n v="1"/>
    <x v="6"/>
    <n v="2"/>
    <s v="Single"/>
    <x v="897"/>
    <n v="8319"/>
    <n v="1"/>
    <x v="0"/>
    <n v="11"/>
    <n v="3"/>
    <n v="1"/>
    <n v="0"/>
    <n v="3"/>
    <n v="2"/>
    <n v="4"/>
    <n v="3"/>
    <n v="2"/>
    <n v="2"/>
    <n v="2"/>
    <x v="2"/>
    <s v="Low"/>
    <n v="6959.17264573991"/>
    <s v="Below salary"/>
    <s v="High Risk"/>
  </r>
  <r>
    <n v="44"/>
    <x v="0"/>
    <s v="Travel_Rarely"/>
    <n v="935"/>
    <x v="1"/>
    <n v="3"/>
    <n v="3"/>
    <s v="Life Sciences"/>
    <n v="1333"/>
    <n v="1"/>
    <x v="1"/>
    <n v="89"/>
    <n v="3"/>
    <n v="1"/>
    <x v="2"/>
    <n v="1"/>
    <s v="Married"/>
    <x v="898"/>
    <n v="14669"/>
    <n v="4"/>
    <x v="1"/>
    <n v="12"/>
    <n v="3"/>
    <n v="3"/>
    <n v="0"/>
    <n v="10"/>
    <n v="4"/>
    <n v="4"/>
    <n v="3"/>
    <n v="2"/>
    <n v="1"/>
    <n v="2"/>
    <x v="0"/>
    <s v="Low"/>
    <n v="6281.2528616024974"/>
    <s v="Below salary"/>
    <s v="Medium Risk"/>
  </r>
  <r>
    <n v="42"/>
    <x v="1"/>
    <s v="Non-Travel"/>
    <n v="495"/>
    <x v="1"/>
    <n v="2"/>
    <n v="1"/>
    <s v="Life Sciences"/>
    <n v="1334"/>
    <n v="3"/>
    <x v="1"/>
    <n v="37"/>
    <n v="3"/>
    <n v="4"/>
    <x v="5"/>
    <n v="3"/>
    <s v="Married"/>
    <x v="417"/>
    <n v="26582"/>
    <n v="0"/>
    <x v="0"/>
    <n v="13"/>
    <n v="3"/>
    <n v="4"/>
    <n v="0"/>
    <n v="21"/>
    <n v="3"/>
    <n v="2"/>
    <n v="20"/>
    <n v="8"/>
    <n v="2"/>
    <n v="10"/>
    <x v="0"/>
    <s v="Very High"/>
    <n v="6281.2528616024974"/>
    <s v="Above salary"/>
    <s v="Medium Risk"/>
  </r>
  <r>
    <n v="55"/>
    <x v="1"/>
    <s v="Travel_Rarely"/>
    <n v="282"/>
    <x v="1"/>
    <n v="2"/>
    <n v="2"/>
    <s v="Medical"/>
    <n v="1336"/>
    <n v="4"/>
    <x v="0"/>
    <n v="58"/>
    <n v="1"/>
    <n v="5"/>
    <x v="5"/>
    <n v="3"/>
    <s v="Married"/>
    <x v="899"/>
    <n v="6992"/>
    <n v="4"/>
    <x v="1"/>
    <n v="14"/>
    <n v="3"/>
    <n v="4"/>
    <n v="1"/>
    <n v="23"/>
    <n v="5"/>
    <n v="3"/>
    <n v="19"/>
    <n v="9"/>
    <n v="9"/>
    <n v="11"/>
    <x v="1"/>
    <s v="Very High"/>
    <n v="6281.2528616024974"/>
    <s v="Above salary"/>
    <s v="Low Risk"/>
  </r>
  <r>
    <n v="56"/>
    <x v="1"/>
    <s v="Travel_Rarely"/>
    <n v="206"/>
    <x v="2"/>
    <n v="8"/>
    <n v="4"/>
    <s v="Life Sciences"/>
    <n v="1338"/>
    <n v="4"/>
    <x v="1"/>
    <n v="99"/>
    <n v="3"/>
    <n v="5"/>
    <x v="5"/>
    <n v="2"/>
    <s v="Single"/>
    <x v="900"/>
    <n v="4022"/>
    <n v="6"/>
    <x v="1"/>
    <n v="14"/>
    <n v="3"/>
    <n v="1"/>
    <n v="0"/>
    <n v="36"/>
    <n v="4"/>
    <n v="3"/>
    <n v="7"/>
    <n v="3"/>
    <n v="7"/>
    <n v="7"/>
    <x v="1"/>
    <s v="Very High"/>
    <n v="6654.5079365079364"/>
    <s v="Above salary"/>
    <s v="Medium Risk"/>
  </r>
  <r>
    <n v="40"/>
    <x v="1"/>
    <s v="Non-Travel"/>
    <n v="458"/>
    <x v="1"/>
    <n v="16"/>
    <n v="2"/>
    <s v="Life Sciences"/>
    <n v="1340"/>
    <n v="3"/>
    <x v="1"/>
    <n v="74"/>
    <n v="3"/>
    <n v="1"/>
    <x v="1"/>
    <n v="3"/>
    <s v="Divorced"/>
    <x v="901"/>
    <n v="8532"/>
    <n v="9"/>
    <x v="1"/>
    <n v="16"/>
    <n v="3"/>
    <n v="2"/>
    <n v="1"/>
    <n v="6"/>
    <n v="0"/>
    <n v="3"/>
    <n v="4"/>
    <n v="2"/>
    <n v="0"/>
    <n v="0"/>
    <x v="0"/>
    <s v="Mid"/>
    <n v="6281.2528616024974"/>
    <s v="Below salary"/>
    <s v="Low Risk"/>
  </r>
  <r>
    <n v="34"/>
    <x v="1"/>
    <s v="Travel_Rarely"/>
    <n v="943"/>
    <x v="1"/>
    <n v="9"/>
    <n v="3"/>
    <s v="Life Sciences"/>
    <n v="1344"/>
    <n v="4"/>
    <x v="1"/>
    <n v="86"/>
    <n v="3"/>
    <n v="3"/>
    <x v="4"/>
    <n v="4"/>
    <s v="Divorced"/>
    <x v="902"/>
    <n v="5494"/>
    <n v="0"/>
    <x v="1"/>
    <n v="11"/>
    <n v="3"/>
    <n v="4"/>
    <n v="1"/>
    <n v="10"/>
    <n v="0"/>
    <n v="2"/>
    <n v="9"/>
    <n v="7"/>
    <n v="1"/>
    <n v="6"/>
    <x v="2"/>
    <s v="High"/>
    <n v="6281.2528616024974"/>
    <s v="Above salary"/>
    <s v="Low Risk"/>
  </r>
  <r>
    <n v="40"/>
    <x v="1"/>
    <s v="Travel_Rarely"/>
    <n v="523"/>
    <x v="1"/>
    <n v="2"/>
    <n v="3"/>
    <s v="Life Sciences"/>
    <n v="1346"/>
    <n v="3"/>
    <x v="1"/>
    <n v="98"/>
    <n v="3"/>
    <n v="2"/>
    <x v="1"/>
    <n v="4"/>
    <s v="Single"/>
    <x v="903"/>
    <n v="22455"/>
    <n v="1"/>
    <x v="1"/>
    <n v="13"/>
    <n v="3"/>
    <n v="3"/>
    <n v="0"/>
    <n v="9"/>
    <n v="4"/>
    <n v="3"/>
    <n v="9"/>
    <n v="8"/>
    <n v="8"/>
    <n v="8"/>
    <x v="0"/>
    <s v="Mid"/>
    <n v="6281.2528616024974"/>
    <s v="Below salary"/>
    <s v="Low Risk"/>
  </r>
  <r>
    <n v="41"/>
    <x v="1"/>
    <s v="Travel_Frequently"/>
    <n v="1018"/>
    <x v="0"/>
    <n v="1"/>
    <n v="3"/>
    <s v="Marketing"/>
    <n v="1349"/>
    <n v="3"/>
    <x v="0"/>
    <n v="66"/>
    <n v="3"/>
    <n v="2"/>
    <x v="0"/>
    <n v="1"/>
    <s v="Divorced"/>
    <x v="904"/>
    <n v="4297"/>
    <n v="0"/>
    <x v="1"/>
    <n v="17"/>
    <n v="3"/>
    <n v="4"/>
    <n v="1"/>
    <n v="10"/>
    <n v="2"/>
    <n v="3"/>
    <n v="9"/>
    <n v="3"/>
    <n v="1"/>
    <n v="7"/>
    <x v="0"/>
    <s v="Mid"/>
    <n v="6959.17264573991"/>
    <s v="Below salary"/>
    <s v="Medium Risk"/>
  </r>
  <r>
    <n v="35"/>
    <x v="1"/>
    <s v="Travel_Frequently"/>
    <n v="482"/>
    <x v="1"/>
    <n v="4"/>
    <n v="4"/>
    <s v="Life Sciences"/>
    <n v="1350"/>
    <n v="3"/>
    <x v="1"/>
    <n v="87"/>
    <n v="3"/>
    <n v="2"/>
    <x v="1"/>
    <n v="3"/>
    <s v="Single"/>
    <x v="905"/>
    <n v="2690"/>
    <n v="1"/>
    <x v="0"/>
    <n v="11"/>
    <n v="3"/>
    <n v="2"/>
    <n v="0"/>
    <n v="9"/>
    <n v="3"/>
    <n v="3"/>
    <n v="9"/>
    <n v="6"/>
    <n v="1"/>
    <n v="1"/>
    <x v="2"/>
    <s v="Mid"/>
    <n v="6281.2528616024974"/>
    <s v="Below salary"/>
    <s v="Medium Risk"/>
  </r>
  <r>
    <n v="51"/>
    <x v="1"/>
    <s v="Travel_Rarely"/>
    <n v="770"/>
    <x v="2"/>
    <n v="5"/>
    <n v="3"/>
    <s v="Life Sciences"/>
    <n v="1352"/>
    <n v="3"/>
    <x v="1"/>
    <n v="84"/>
    <n v="3"/>
    <n v="4"/>
    <x v="5"/>
    <n v="2"/>
    <s v="Divorced"/>
    <x v="906"/>
    <n v="17588"/>
    <n v="1"/>
    <x v="0"/>
    <n v="11"/>
    <n v="3"/>
    <n v="2"/>
    <n v="1"/>
    <n v="33"/>
    <n v="2"/>
    <n v="3"/>
    <n v="33"/>
    <n v="9"/>
    <n v="0"/>
    <n v="10"/>
    <x v="1"/>
    <s v="Very High"/>
    <n v="6654.5079365079364"/>
    <s v="Above salary"/>
    <s v="High Risk"/>
  </r>
  <r>
    <n v="38"/>
    <x v="1"/>
    <s v="Travel_Rarely"/>
    <n v="1009"/>
    <x v="0"/>
    <n v="2"/>
    <n v="2"/>
    <s v="Life Sciences"/>
    <n v="1355"/>
    <n v="2"/>
    <x v="0"/>
    <n v="31"/>
    <n v="3"/>
    <n v="2"/>
    <x v="0"/>
    <n v="1"/>
    <s v="Divorced"/>
    <x v="907"/>
    <n v="19461"/>
    <n v="3"/>
    <x v="1"/>
    <n v="15"/>
    <n v="3"/>
    <n v="4"/>
    <n v="1"/>
    <n v="11"/>
    <n v="3"/>
    <n v="3"/>
    <n v="7"/>
    <n v="7"/>
    <n v="1"/>
    <n v="7"/>
    <x v="0"/>
    <s v="Mid"/>
    <n v="6959.17264573991"/>
    <s v="Below salary"/>
    <s v="Medium Risk"/>
  </r>
  <r>
    <n v="34"/>
    <x v="1"/>
    <s v="Travel_Rarely"/>
    <n v="507"/>
    <x v="0"/>
    <n v="15"/>
    <n v="2"/>
    <s v="Medical"/>
    <n v="1356"/>
    <n v="3"/>
    <x v="0"/>
    <n v="66"/>
    <n v="3"/>
    <n v="2"/>
    <x v="0"/>
    <n v="1"/>
    <s v="Single"/>
    <x v="908"/>
    <n v="23553"/>
    <n v="1"/>
    <x v="1"/>
    <n v="12"/>
    <n v="3"/>
    <n v="4"/>
    <n v="0"/>
    <n v="10"/>
    <n v="6"/>
    <n v="4"/>
    <n v="10"/>
    <n v="8"/>
    <n v="9"/>
    <n v="6"/>
    <x v="2"/>
    <s v="Mid"/>
    <n v="6959.17264573991"/>
    <s v="Below salary"/>
    <s v="Medium Risk"/>
  </r>
  <r>
    <n v="25"/>
    <x v="1"/>
    <s v="Travel_Rarely"/>
    <n v="882"/>
    <x v="1"/>
    <n v="19"/>
    <n v="1"/>
    <s v="Medical"/>
    <n v="1358"/>
    <n v="4"/>
    <x v="1"/>
    <n v="67"/>
    <n v="3"/>
    <n v="1"/>
    <x v="2"/>
    <n v="4"/>
    <s v="Married"/>
    <x v="909"/>
    <n v="9075"/>
    <n v="3"/>
    <x v="1"/>
    <n v="11"/>
    <n v="3"/>
    <n v="3"/>
    <n v="3"/>
    <n v="7"/>
    <n v="6"/>
    <n v="2"/>
    <n v="3"/>
    <n v="2"/>
    <n v="1"/>
    <n v="2"/>
    <x v="3"/>
    <s v="Mid"/>
    <n v="6281.2528616024974"/>
    <s v="Below salary"/>
    <s v="Low Risk"/>
  </r>
  <r>
    <n v="58"/>
    <x v="0"/>
    <s v="Travel_Rarely"/>
    <n v="601"/>
    <x v="1"/>
    <n v="7"/>
    <n v="4"/>
    <s v="Medical"/>
    <n v="1360"/>
    <n v="3"/>
    <x v="0"/>
    <n v="53"/>
    <n v="2"/>
    <n v="3"/>
    <x v="3"/>
    <n v="1"/>
    <s v="Married"/>
    <x v="910"/>
    <n v="12023"/>
    <n v="7"/>
    <x v="0"/>
    <n v="14"/>
    <n v="3"/>
    <n v="4"/>
    <n v="0"/>
    <n v="31"/>
    <n v="0"/>
    <n v="2"/>
    <n v="10"/>
    <n v="9"/>
    <n v="5"/>
    <n v="9"/>
    <x v="1"/>
    <s v="High"/>
    <n v="6281.2528616024974"/>
    <s v="Above salary"/>
    <s v="High Risk"/>
  </r>
  <r>
    <n v="40"/>
    <x v="1"/>
    <s v="Travel_Rarely"/>
    <n v="329"/>
    <x v="1"/>
    <n v="1"/>
    <n v="4"/>
    <s v="Life Sciences"/>
    <n v="1361"/>
    <n v="2"/>
    <x v="1"/>
    <n v="88"/>
    <n v="3"/>
    <n v="1"/>
    <x v="2"/>
    <n v="2"/>
    <s v="Married"/>
    <x v="911"/>
    <n v="6762"/>
    <n v="3"/>
    <x v="1"/>
    <n v="22"/>
    <n v="4"/>
    <n v="3"/>
    <n v="1"/>
    <n v="7"/>
    <n v="3"/>
    <n v="3"/>
    <n v="4"/>
    <n v="2"/>
    <n v="0"/>
    <n v="3"/>
    <x v="0"/>
    <s v="Low"/>
    <n v="6281.2528616024974"/>
    <s v="Below salary"/>
    <s v="Medium Risk"/>
  </r>
  <r>
    <n v="36"/>
    <x v="1"/>
    <s v="Travel_Frequently"/>
    <n v="607"/>
    <x v="0"/>
    <n v="7"/>
    <n v="3"/>
    <s v="Marketing"/>
    <n v="1362"/>
    <n v="1"/>
    <x v="0"/>
    <n v="83"/>
    <n v="4"/>
    <n v="2"/>
    <x v="0"/>
    <n v="1"/>
    <s v="Married"/>
    <x v="912"/>
    <n v="2261"/>
    <n v="2"/>
    <x v="1"/>
    <n v="16"/>
    <n v="3"/>
    <n v="4"/>
    <n v="1"/>
    <n v="17"/>
    <n v="2"/>
    <n v="2"/>
    <n v="15"/>
    <n v="7"/>
    <n v="6"/>
    <n v="13"/>
    <x v="0"/>
    <s v="Mid"/>
    <n v="6959.17264573991"/>
    <s v="Below salary"/>
    <s v="Medium Risk"/>
  </r>
  <r>
    <n v="48"/>
    <x v="1"/>
    <s v="Travel_Rarely"/>
    <n v="855"/>
    <x v="1"/>
    <n v="4"/>
    <n v="3"/>
    <s v="Life Sciences"/>
    <n v="1363"/>
    <n v="4"/>
    <x v="1"/>
    <n v="54"/>
    <n v="3"/>
    <n v="3"/>
    <x v="3"/>
    <n v="4"/>
    <s v="Single"/>
    <x v="913"/>
    <n v="18706"/>
    <n v="1"/>
    <x v="1"/>
    <n v="11"/>
    <n v="3"/>
    <n v="3"/>
    <n v="0"/>
    <n v="11"/>
    <n v="2"/>
    <n v="3"/>
    <n v="10"/>
    <n v="9"/>
    <n v="0"/>
    <n v="8"/>
    <x v="1"/>
    <s v="High"/>
    <n v="6281.2528616024974"/>
    <s v="Above salary"/>
    <s v="Low Risk"/>
  </r>
  <r>
    <n v="27"/>
    <x v="1"/>
    <s v="Travel_Rarely"/>
    <n v="1291"/>
    <x v="0"/>
    <n v="11"/>
    <n v="3"/>
    <s v="Medical"/>
    <n v="1364"/>
    <n v="3"/>
    <x v="0"/>
    <n v="98"/>
    <n v="4"/>
    <n v="1"/>
    <x v="6"/>
    <n v="4"/>
    <s v="Married"/>
    <x v="914"/>
    <n v="6527"/>
    <n v="8"/>
    <x v="1"/>
    <n v="14"/>
    <n v="3"/>
    <n v="2"/>
    <n v="1"/>
    <n v="5"/>
    <n v="4"/>
    <n v="3"/>
    <n v="1"/>
    <n v="0"/>
    <n v="0"/>
    <n v="0"/>
    <x v="2"/>
    <s v="Low"/>
    <n v="6959.17264573991"/>
    <s v="Below salary"/>
    <s v="Low Risk"/>
  </r>
  <r>
    <n v="51"/>
    <x v="1"/>
    <s v="Travel_Rarely"/>
    <n v="1405"/>
    <x v="1"/>
    <n v="11"/>
    <n v="2"/>
    <s v="Technical Degree"/>
    <n v="1367"/>
    <n v="4"/>
    <x v="0"/>
    <n v="82"/>
    <n v="2"/>
    <n v="4"/>
    <x v="3"/>
    <n v="2"/>
    <s v="Single"/>
    <x v="915"/>
    <n v="24439"/>
    <n v="3"/>
    <x v="1"/>
    <n v="16"/>
    <n v="3"/>
    <n v="2"/>
    <n v="0"/>
    <n v="29"/>
    <n v="1"/>
    <n v="2"/>
    <n v="5"/>
    <n v="2"/>
    <n v="0"/>
    <n v="3"/>
    <x v="1"/>
    <s v="Very High"/>
    <n v="6281.2528616024974"/>
    <s v="Above salary"/>
    <s v="Medium Risk"/>
  </r>
  <r>
    <n v="18"/>
    <x v="1"/>
    <s v="Non-Travel"/>
    <n v="1124"/>
    <x v="1"/>
    <n v="1"/>
    <n v="3"/>
    <s v="Life Sciences"/>
    <n v="1368"/>
    <n v="4"/>
    <x v="0"/>
    <n v="97"/>
    <n v="3"/>
    <n v="1"/>
    <x v="2"/>
    <n v="4"/>
    <s v="Single"/>
    <x v="916"/>
    <n v="19305"/>
    <n v="1"/>
    <x v="1"/>
    <n v="15"/>
    <n v="3"/>
    <n v="3"/>
    <n v="0"/>
    <n v="0"/>
    <n v="5"/>
    <n v="4"/>
    <n v="0"/>
    <n v="0"/>
    <n v="0"/>
    <n v="0"/>
    <x v="3"/>
    <s v="Low"/>
    <n v="6281.2528616024974"/>
    <s v="Below salary"/>
    <s v="Low Risk"/>
  </r>
  <r>
    <n v="35"/>
    <x v="1"/>
    <s v="Travel_Rarely"/>
    <n v="817"/>
    <x v="1"/>
    <n v="1"/>
    <n v="3"/>
    <s v="Medical"/>
    <n v="1369"/>
    <n v="4"/>
    <x v="0"/>
    <n v="60"/>
    <n v="2"/>
    <n v="2"/>
    <x v="2"/>
    <n v="4"/>
    <s v="Married"/>
    <x v="917"/>
    <n v="10846"/>
    <n v="0"/>
    <x v="1"/>
    <n v="12"/>
    <n v="3"/>
    <n v="2"/>
    <n v="1"/>
    <n v="10"/>
    <n v="0"/>
    <n v="3"/>
    <n v="9"/>
    <n v="7"/>
    <n v="0"/>
    <n v="0"/>
    <x v="2"/>
    <s v="Mid"/>
    <n v="6281.2528616024974"/>
    <s v="Below salary"/>
    <s v="Low Risk"/>
  </r>
  <r>
    <n v="27"/>
    <x v="1"/>
    <s v="Travel_Frequently"/>
    <n v="793"/>
    <x v="0"/>
    <n v="2"/>
    <n v="1"/>
    <s v="Life Sciences"/>
    <n v="1371"/>
    <n v="4"/>
    <x v="1"/>
    <n v="43"/>
    <n v="1"/>
    <n v="2"/>
    <x v="0"/>
    <n v="4"/>
    <s v="Single"/>
    <x v="918"/>
    <n v="20392"/>
    <n v="3"/>
    <x v="1"/>
    <n v="20"/>
    <n v="4"/>
    <n v="2"/>
    <n v="0"/>
    <n v="8"/>
    <n v="3"/>
    <n v="3"/>
    <n v="6"/>
    <n v="2"/>
    <n v="0"/>
    <n v="0"/>
    <x v="2"/>
    <s v="Mid"/>
    <n v="6959.17264573991"/>
    <s v="Below salary"/>
    <s v="Low Risk"/>
  </r>
  <r>
    <n v="55"/>
    <x v="0"/>
    <s v="Travel_Rarely"/>
    <n v="267"/>
    <x v="0"/>
    <n v="13"/>
    <n v="4"/>
    <s v="Marketing"/>
    <n v="1372"/>
    <n v="1"/>
    <x v="1"/>
    <n v="85"/>
    <n v="4"/>
    <n v="4"/>
    <x v="0"/>
    <n v="3"/>
    <s v="Single"/>
    <x v="919"/>
    <n v="9277"/>
    <n v="6"/>
    <x v="0"/>
    <n v="17"/>
    <n v="3"/>
    <n v="3"/>
    <n v="0"/>
    <n v="24"/>
    <n v="2"/>
    <n v="2"/>
    <n v="19"/>
    <n v="7"/>
    <n v="3"/>
    <n v="8"/>
    <x v="1"/>
    <s v="Very High"/>
    <n v="6959.17264573991"/>
    <s v="Above salary"/>
    <s v="Medium Risk"/>
  </r>
  <r>
    <n v="56"/>
    <x v="1"/>
    <s v="Travel_Rarely"/>
    <n v="1369"/>
    <x v="1"/>
    <n v="23"/>
    <n v="3"/>
    <s v="Life Sciences"/>
    <n v="1373"/>
    <n v="4"/>
    <x v="1"/>
    <n v="68"/>
    <n v="3"/>
    <n v="4"/>
    <x v="3"/>
    <n v="2"/>
    <s v="Married"/>
    <x v="920"/>
    <n v="18235"/>
    <n v="4"/>
    <x v="0"/>
    <n v="12"/>
    <n v="3"/>
    <n v="1"/>
    <n v="1"/>
    <n v="33"/>
    <n v="0"/>
    <n v="3"/>
    <n v="19"/>
    <n v="16"/>
    <n v="15"/>
    <n v="9"/>
    <x v="1"/>
    <s v="Very High"/>
    <n v="6281.2528616024974"/>
    <s v="Above salary"/>
    <s v="High Risk"/>
  </r>
  <r>
    <n v="34"/>
    <x v="1"/>
    <s v="Non-Travel"/>
    <n v="999"/>
    <x v="1"/>
    <n v="26"/>
    <n v="1"/>
    <s v="Technical Degree"/>
    <n v="1374"/>
    <n v="1"/>
    <x v="0"/>
    <n v="92"/>
    <n v="2"/>
    <n v="1"/>
    <x v="1"/>
    <n v="3"/>
    <s v="Divorced"/>
    <x v="921"/>
    <n v="15891"/>
    <n v="1"/>
    <x v="1"/>
    <n v="20"/>
    <n v="4"/>
    <n v="3"/>
    <n v="3"/>
    <n v="5"/>
    <n v="2"/>
    <n v="3"/>
    <n v="5"/>
    <n v="4"/>
    <n v="0"/>
    <n v="0"/>
    <x v="2"/>
    <s v="Low"/>
    <n v="6281.2528616024974"/>
    <s v="Below salary"/>
    <s v="Low Risk"/>
  </r>
  <r>
    <n v="40"/>
    <x v="1"/>
    <s v="Travel_Rarely"/>
    <n v="1202"/>
    <x v="1"/>
    <n v="2"/>
    <n v="1"/>
    <s v="Medical"/>
    <n v="1375"/>
    <n v="2"/>
    <x v="0"/>
    <n v="89"/>
    <n v="4"/>
    <n v="2"/>
    <x v="4"/>
    <n v="3"/>
    <s v="Divorced"/>
    <x v="922"/>
    <n v="13888"/>
    <n v="5"/>
    <x v="1"/>
    <n v="20"/>
    <n v="4"/>
    <n v="2"/>
    <n v="3"/>
    <n v="15"/>
    <n v="0"/>
    <n v="3"/>
    <n v="12"/>
    <n v="11"/>
    <n v="11"/>
    <n v="8"/>
    <x v="0"/>
    <s v="Mid"/>
    <n v="6281.2528616024974"/>
    <s v="Above salary"/>
    <s v="Low Risk"/>
  </r>
  <r>
    <n v="34"/>
    <x v="1"/>
    <s v="Travel_Rarely"/>
    <n v="285"/>
    <x v="1"/>
    <n v="29"/>
    <n v="3"/>
    <s v="Medical"/>
    <n v="1377"/>
    <n v="2"/>
    <x v="1"/>
    <n v="86"/>
    <n v="3"/>
    <n v="2"/>
    <x v="2"/>
    <n v="3"/>
    <s v="Married"/>
    <x v="923"/>
    <n v="17491"/>
    <n v="4"/>
    <x v="1"/>
    <n v="13"/>
    <n v="3"/>
    <n v="1"/>
    <n v="2"/>
    <n v="10"/>
    <n v="1"/>
    <n v="3"/>
    <n v="8"/>
    <n v="7"/>
    <n v="7"/>
    <n v="7"/>
    <x v="2"/>
    <s v="Mid"/>
    <n v="6281.2528616024974"/>
    <s v="Below salary"/>
    <s v="Low Risk"/>
  </r>
  <r>
    <n v="31"/>
    <x v="0"/>
    <s v="Travel_Frequently"/>
    <n v="703"/>
    <x v="0"/>
    <n v="2"/>
    <n v="3"/>
    <s v="Life Sciences"/>
    <n v="1379"/>
    <n v="3"/>
    <x v="0"/>
    <n v="90"/>
    <n v="2"/>
    <n v="1"/>
    <x v="6"/>
    <n v="4"/>
    <s v="Single"/>
    <x v="924"/>
    <n v="11882"/>
    <n v="7"/>
    <x v="1"/>
    <n v="14"/>
    <n v="3"/>
    <n v="3"/>
    <n v="0"/>
    <n v="3"/>
    <n v="3"/>
    <n v="4"/>
    <n v="1"/>
    <n v="0"/>
    <n v="0"/>
    <n v="0"/>
    <x v="2"/>
    <s v="Low"/>
    <n v="6959.17264573991"/>
    <s v="Below salary"/>
    <s v="Low Risk"/>
  </r>
  <r>
    <n v="35"/>
    <x v="0"/>
    <s v="Travel_Frequently"/>
    <n v="662"/>
    <x v="0"/>
    <n v="18"/>
    <n v="4"/>
    <s v="Marketing"/>
    <n v="1380"/>
    <n v="4"/>
    <x v="0"/>
    <n v="67"/>
    <n v="3"/>
    <n v="2"/>
    <x v="0"/>
    <n v="3"/>
    <s v="Married"/>
    <x v="925"/>
    <n v="23288"/>
    <n v="0"/>
    <x v="0"/>
    <n v="18"/>
    <n v="3"/>
    <n v="3"/>
    <n v="1"/>
    <n v="5"/>
    <n v="0"/>
    <n v="2"/>
    <n v="4"/>
    <n v="2"/>
    <n v="3"/>
    <n v="2"/>
    <x v="2"/>
    <s v="Mid"/>
    <n v="6959.17264573991"/>
    <s v="Below salary"/>
    <s v="Medium Risk"/>
  </r>
  <r>
    <n v="38"/>
    <x v="1"/>
    <s v="Travel_Frequently"/>
    <n v="693"/>
    <x v="1"/>
    <n v="7"/>
    <n v="3"/>
    <s v="Life Sciences"/>
    <n v="1382"/>
    <n v="4"/>
    <x v="1"/>
    <n v="57"/>
    <n v="4"/>
    <n v="1"/>
    <x v="1"/>
    <n v="3"/>
    <s v="Divorced"/>
    <x v="353"/>
    <n v="15748"/>
    <n v="1"/>
    <x v="1"/>
    <n v="11"/>
    <n v="3"/>
    <n v="4"/>
    <n v="3"/>
    <n v="4"/>
    <n v="2"/>
    <n v="3"/>
    <n v="4"/>
    <n v="2"/>
    <n v="0"/>
    <n v="3"/>
    <x v="0"/>
    <s v="Low"/>
    <n v="6281.2528616024974"/>
    <s v="Below salary"/>
    <s v="Low Risk"/>
  </r>
  <r>
    <n v="34"/>
    <x v="1"/>
    <s v="Travel_Rarely"/>
    <n v="404"/>
    <x v="1"/>
    <n v="2"/>
    <n v="4"/>
    <s v="Technical Degree"/>
    <n v="1383"/>
    <n v="3"/>
    <x v="0"/>
    <n v="98"/>
    <n v="3"/>
    <n v="2"/>
    <x v="4"/>
    <n v="4"/>
    <s v="Single"/>
    <x v="926"/>
    <n v="6163"/>
    <n v="1"/>
    <x v="1"/>
    <n v="11"/>
    <n v="3"/>
    <n v="4"/>
    <n v="0"/>
    <n v="14"/>
    <n v="2"/>
    <n v="4"/>
    <n v="14"/>
    <n v="11"/>
    <n v="4"/>
    <n v="11"/>
    <x v="2"/>
    <s v="Mid"/>
    <n v="6281.2528616024974"/>
    <s v="Above salary"/>
    <s v="Low Risk"/>
  </r>
  <r>
    <n v="28"/>
    <x v="1"/>
    <s v="Travel_Rarely"/>
    <n v="736"/>
    <x v="0"/>
    <n v="26"/>
    <n v="3"/>
    <s v="Life Sciences"/>
    <n v="1387"/>
    <n v="3"/>
    <x v="1"/>
    <n v="48"/>
    <n v="2"/>
    <n v="2"/>
    <x v="0"/>
    <n v="1"/>
    <s v="Married"/>
    <x v="927"/>
    <n v="24232"/>
    <n v="1"/>
    <x v="1"/>
    <n v="11"/>
    <n v="3"/>
    <n v="3"/>
    <n v="1"/>
    <n v="5"/>
    <n v="0"/>
    <n v="3"/>
    <n v="5"/>
    <n v="3"/>
    <n v="0"/>
    <n v="4"/>
    <x v="2"/>
    <s v="Mid"/>
    <n v="6959.17264573991"/>
    <s v="Below salary"/>
    <s v="Medium Risk"/>
  </r>
  <r>
    <n v="31"/>
    <x v="0"/>
    <s v="Travel_Rarely"/>
    <n v="330"/>
    <x v="1"/>
    <n v="22"/>
    <n v="4"/>
    <s v="Medical"/>
    <n v="1389"/>
    <n v="4"/>
    <x v="1"/>
    <n v="98"/>
    <n v="3"/>
    <n v="2"/>
    <x v="3"/>
    <n v="3"/>
    <s v="Married"/>
    <x v="928"/>
    <n v="21057"/>
    <n v="1"/>
    <x v="0"/>
    <n v="15"/>
    <n v="3"/>
    <n v="4"/>
    <n v="2"/>
    <n v="10"/>
    <n v="3"/>
    <n v="2"/>
    <n v="10"/>
    <n v="2"/>
    <n v="6"/>
    <n v="7"/>
    <x v="2"/>
    <s v="Mid"/>
    <n v="6281.2528616024974"/>
    <s v="Below salary"/>
    <s v="Medium Risk"/>
  </r>
  <r>
    <n v="39"/>
    <x v="1"/>
    <s v="Travel_Rarely"/>
    <n v="1498"/>
    <x v="0"/>
    <n v="21"/>
    <n v="4"/>
    <s v="Life Sciences"/>
    <n v="1390"/>
    <n v="1"/>
    <x v="1"/>
    <n v="44"/>
    <n v="2"/>
    <n v="2"/>
    <x v="0"/>
    <n v="4"/>
    <s v="Married"/>
    <x v="929"/>
    <n v="3567"/>
    <n v="3"/>
    <x v="0"/>
    <n v="12"/>
    <n v="3"/>
    <n v="4"/>
    <n v="2"/>
    <n v="8"/>
    <n v="2"/>
    <n v="4"/>
    <n v="5"/>
    <n v="4"/>
    <n v="1"/>
    <n v="4"/>
    <x v="0"/>
    <s v="Mid"/>
    <n v="6959.17264573991"/>
    <s v="Below salary"/>
    <s v="Medium Risk"/>
  </r>
  <r>
    <n v="51"/>
    <x v="1"/>
    <s v="Travel_Frequently"/>
    <n v="541"/>
    <x v="0"/>
    <n v="2"/>
    <n v="3"/>
    <s v="Marketing"/>
    <n v="1391"/>
    <n v="2"/>
    <x v="1"/>
    <n v="52"/>
    <n v="3"/>
    <n v="3"/>
    <x v="0"/>
    <n v="2"/>
    <s v="Married"/>
    <x v="930"/>
    <n v="15395"/>
    <n v="2"/>
    <x v="1"/>
    <n v="11"/>
    <n v="3"/>
    <n v="2"/>
    <n v="0"/>
    <n v="14"/>
    <n v="5"/>
    <n v="3"/>
    <n v="4"/>
    <n v="2"/>
    <n v="3"/>
    <n v="2"/>
    <x v="1"/>
    <s v="High"/>
    <n v="6959.17264573991"/>
    <s v="Above salary"/>
    <s v="Medium Risk"/>
  </r>
  <r>
    <n v="41"/>
    <x v="1"/>
    <s v="Travel_Frequently"/>
    <n v="1200"/>
    <x v="1"/>
    <n v="22"/>
    <n v="3"/>
    <s v="Life Sciences"/>
    <n v="1392"/>
    <n v="4"/>
    <x v="0"/>
    <n v="75"/>
    <n v="3"/>
    <n v="2"/>
    <x v="1"/>
    <n v="4"/>
    <s v="Divorced"/>
    <x v="931"/>
    <n v="13953"/>
    <n v="3"/>
    <x v="0"/>
    <n v="14"/>
    <n v="3"/>
    <n v="1"/>
    <n v="2"/>
    <n v="12"/>
    <n v="4"/>
    <n v="2"/>
    <n v="6"/>
    <n v="2"/>
    <n v="3"/>
    <n v="3"/>
    <x v="0"/>
    <s v="Mid"/>
    <n v="6281.2528616024974"/>
    <s v="Below salary"/>
    <s v="Medium Risk"/>
  </r>
  <r>
    <n v="37"/>
    <x v="1"/>
    <s v="Travel_Rarely"/>
    <n v="1439"/>
    <x v="1"/>
    <n v="4"/>
    <n v="1"/>
    <s v="Life Sciences"/>
    <n v="1394"/>
    <n v="3"/>
    <x v="1"/>
    <n v="54"/>
    <n v="3"/>
    <n v="1"/>
    <x v="1"/>
    <n v="3"/>
    <s v="Married"/>
    <x v="932"/>
    <n v="5182"/>
    <n v="7"/>
    <x v="0"/>
    <n v="15"/>
    <n v="3"/>
    <n v="4"/>
    <n v="0"/>
    <n v="8"/>
    <n v="2"/>
    <n v="3"/>
    <n v="6"/>
    <n v="4"/>
    <n v="1"/>
    <n v="3"/>
    <x v="0"/>
    <s v="Low"/>
    <n v="6281.2528616024974"/>
    <s v="Below salary"/>
    <s v="Medium Risk"/>
  </r>
  <r>
    <n v="33"/>
    <x v="1"/>
    <s v="Travel_Frequently"/>
    <n v="1111"/>
    <x v="0"/>
    <n v="5"/>
    <n v="1"/>
    <s v="Life Sciences"/>
    <n v="1395"/>
    <n v="2"/>
    <x v="1"/>
    <n v="61"/>
    <n v="3"/>
    <n v="2"/>
    <x v="0"/>
    <n v="4"/>
    <s v="Married"/>
    <x v="933"/>
    <n v="19293"/>
    <n v="6"/>
    <x v="1"/>
    <n v="13"/>
    <n v="3"/>
    <n v="1"/>
    <n v="0"/>
    <n v="8"/>
    <n v="2"/>
    <n v="4"/>
    <n v="5"/>
    <n v="4"/>
    <n v="1"/>
    <n v="2"/>
    <x v="2"/>
    <s v="High"/>
    <n v="6959.17264573991"/>
    <s v="Above salary"/>
    <s v="Low Risk"/>
  </r>
  <r>
    <n v="32"/>
    <x v="1"/>
    <s v="Travel_Rarely"/>
    <n v="499"/>
    <x v="0"/>
    <n v="2"/>
    <n v="1"/>
    <s v="Marketing"/>
    <n v="1396"/>
    <n v="3"/>
    <x v="1"/>
    <n v="36"/>
    <n v="3"/>
    <n v="2"/>
    <x v="0"/>
    <n v="2"/>
    <s v="Married"/>
    <x v="934"/>
    <n v="20497"/>
    <n v="0"/>
    <x v="0"/>
    <n v="13"/>
    <n v="3"/>
    <n v="1"/>
    <n v="3"/>
    <n v="4"/>
    <n v="3"/>
    <n v="2"/>
    <n v="3"/>
    <n v="2"/>
    <n v="1"/>
    <n v="2"/>
    <x v="2"/>
    <s v="Mid"/>
    <n v="6959.17264573991"/>
    <s v="Below salary"/>
    <s v="High Risk"/>
  </r>
  <r>
    <n v="39"/>
    <x v="1"/>
    <s v="Non-Travel"/>
    <n v="1485"/>
    <x v="1"/>
    <n v="25"/>
    <n v="2"/>
    <s v="Life Sciences"/>
    <n v="1397"/>
    <n v="3"/>
    <x v="1"/>
    <n v="71"/>
    <n v="3"/>
    <n v="3"/>
    <x v="4"/>
    <n v="3"/>
    <s v="Married"/>
    <x v="935"/>
    <n v="3449"/>
    <n v="3"/>
    <x v="1"/>
    <n v="21"/>
    <n v="4"/>
    <n v="2"/>
    <n v="1"/>
    <n v="13"/>
    <n v="2"/>
    <n v="3"/>
    <n v="6"/>
    <n v="4"/>
    <n v="0"/>
    <n v="5"/>
    <x v="0"/>
    <s v="High"/>
    <n v="6281.2528616024974"/>
    <s v="Above salary"/>
    <s v="Low Risk"/>
  </r>
  <r>
    <n v="25"/>
    <x v="1"/>
    <s v="Travel_Rarely"/>
    <n v="1372"/>
    <x v="0"/>
    <n v="18"/>
    <n v="1"/>
    <s v="Life Sciences"/>
    <n v="1399"/>
    <n v="1"/>
    <x v="1"/>
    <n v="93"/>
    <n v="4"/>
    <n v="2"/>
    <x v="0"/>
    <n v="3"/>
    <s v="Married"/>
    <x v="936"/>
    <n v="12477"/>
    <n v="2"/>
    <x v="1"/>
    <n v="11"/>
    <n v="3"/>
    <n v="2"/>
    <n v="0"/>
    <n v="6"/>
    <n v="3"/>
    <n v="2"/>
    <n v="3"/>
    <n v="2"/>
    <n v="1"/>
    <n v="2"/>
    <x v="3"/>
    <s v="Mid"/>
    <n v="6959.17264573991"/>
    <s v="Below salary"/>
    <s v="Low Risk"/>
  </r>
  <r>
    <n v="52"/>
    <x v="1"/>
    <s v="Travel_Frequently"/>
    <n v="322"/>
    <x v="1"/>
    <n v="28"/>
    <n v="2"/>
    <s v="Medical"/>
    <n v="1401"/>
    <n v="4"/>
    <x v="0"/>
    <n v="59"/>
    <n v="4"/>
    <n v="4"/>
    <x v="3"/>
    <n v="3"/>
    <s v="Married"/>
    <x v="937"/>
    <n v="9731"/>
    <n v="2"/>
    <x v="0"/>
    <n v="11"/>
    <n v="3"/>
    <n v="2"/>
    <n v="1"/>
    <n v="24"/>
    <n v="3"/>
    <n v="2"/>
    <n v="5"/>
    <n v="3"/>
    <n v="0"/>
    <n v="2"/>
    <x v="1"/>
    <s v="Very High"/>
    <n v="6281.2528616024974"/>
    <s v="Above salary"/>
    <s v="Medium Risk"/>
  </r>
  <r>
    <n v="43"/>
    <x v="1"/>
    <s v="Travel_Rarely"/>
    <n v="930"/>
    <x v="1"/>
    <n v="6"/>
    <n v="3"/>
    <s v="Medical"/>
    <n v="1402"/>
    <n v="1"/>
    <x v="0"/>
    <n v="73"/>
    <n v="2"/>
    <n v="2"/>
    <x v="1"/>
    <n v="3"/>
    <s v="Single"/>
    <x v="938"/>
    <n v="20003"/>
    <n v="1"/>
    <x v="0"/>
    <n v="14"/>
    <n v="3"/>
    <n v="1"/>
    <n v="0"/>
    <n v="20"/>
    <n v="3"/>
    <n v="1"/>
    <n v="20"/>
    <n v="7"/>
    <n v="1"/>
    <n v="8"/>
    <x v="0"/>
    <s v="Mid"/>
    <n v="6281.2528616024974"/>
    <s v="Below salary"/>
    <s v="Medium Risk"/>
  </r>
  <r>
    <n v="27"/>
    <x v="1"/>
    <s v="Travel_Rarely"/>
    <n v="205"/>
    <x v="0"/>
    <n v="10"/>
    <n v="3"/>
    <s v="Marketing"/>
    <n v="1403"/>
    <n v="4"/>
    <x v="0"/>
    <n v="98"/>
    <n v="2"/>
    <n v="2"/>
    <x v="0"/>
    <n v="4"/>
    <s v="Married"/>
    <x v="939"/>
    <n v="7100"/>
    <n v="1"/>
    <x v="0"/>
    <n v="11"/>
    <n v="3"/>
    <n v="4"/>
    <n v="0"/>
    <n v="6"/>
    <n v="3"/>
    <n v="3"/>
    <n v="6"/>
    <n v="2"/>
    <n v="4"/>
    <n v="4"/>
    <x v="2"/>
    <s v="Mid"/>
    <n v="6959.17264573991"/>
    <s v="Below salary"/>
    <s v="Medium Risk"/>
  </r>
  <r>
    <n v="27"/>
    <x v="0"/>
    <s v="Travel_Rarely"/>
    <n v="135"/>
    <x v="1"/>
    <n v="17"/>
    <n v="4"/>
    <s v="Life Sciences"/>
    <n v="1405"/>
    <n v="4"/>
    <x v="0"/>
    <n v="51"/>
    <n v="3"/>
    <n v="1"/>
    <x v="1"/>
    <n v="3"/>
    <s v="Single"/>
    <x v="940"/>
    <n v="25681"/>
    <n v="1"/>
    <x v="0"/>
    <n v="13"/>
    <n v="3"/>
    <n v="4"/>
    <n v="0"/>
    <n v="8"/>
    <n v="2"/>
    <n v="3"/>
    <n v="8"/>
    <n v="2"/>
    <n v="7"/>
    <n v="7"/>
    <x v="2"/>
    <s v="Low"/>
    <n v="6281.2528616024974"/>
    <s v="Below salary"/>
    <s v="Medium Risk"/>
  </r>
  <r>
    <n v="26"/>
    <x v="1"/>
    <s v="Travel_Rarely"/>
    <n v="683"/>
    <x v="1"/>
    <n v="2"/>
    <n v="1"/>
    <s v="Medical"/>
    <n v="1407"/>
    <n v="1"/>
    <x v="1"/>
    <n v="36"/>
    <n v="2"/>
    <n v="1"/>
    <x v="1"/>
    <n v="4"/>
    <s v="Single"/>
    <x v="885"/>
    <n v="4050"/>
    <n v="0"/>
    <x v="1"/>
    <n v="12"/>
    <n v="3"/>
    <n v="4"/>
    <n v="0"/>
    <n v="5"/>
    <n v="2"/>
    <n v="3"/>
    <n v="4"/>
    <n v="3"/>
    <n v="1"/>
    <n v="1"/>
    <x v="2"/>
    <s v="Mid"/>
    <n v="6281.2528616024974"/>
    <s v="Below salary"/>
    <s v="Low Risk"/>
  </r>
  <r>
    <n v="42"/>
    <x v="1"/>
    <s v="Travel_Rarely"/>
    <n v="1147"/>
    <x v="2"/>
    <n v="10"/>
    <n v="3"/>
    <s v="Human Resources"/>
    <n v="1408"/>
    <n v="3"/>
    <x v="0"/>
    <n v="31"/>
    <n v="3"/>
    <n v="4"/>
    <x v="5"/>
    <n v="1"/>
    <s v="Married"/>
    <x v="941"/>
    <n v="16616"/>
    <n v="0"/>
    <x v="1"/>
    <n v="14"/>
    <n v="3"/>
    <n v="3"/>
    <n v="1"/>
    <n v="21"/>
    <n v="5"/>
    <n v="3"/>
    <n v="20"/>
    <n v="7"/>
    <n v="0"/>
    <n v="9"/>
    <x v="0"/>
    <s v="Very High"/>
    <n v="6654.5079365079364"/>
    <s v="Above salary"/>
    <s v="Medium Risk"/>
  </r>
  <r>
    <n v="52"/>
    <x v="1"/>
    <s v="Travel_Rarely"/>
    <n v="258"/>
    <x v="1"/>
    <n v="8"/>
    <n v="4"/>
    <s v="Other"/>
    <n v="1409"/>
    <n v="3"/>
    <x v="0"/>
    <n v="54"/>
    <n v="3"/>
    <n v="1"/>
    <x v="2"/>
    <n v="1"/>
    <s v="Married"/>
    <x v="942"/>
    <n v="17363"/>
    <n v="9"/>
    <x v="1"/>
    <n v="13"/>
    <n v="3"/>
    <n v="3"/>
    <n v="0"/>
    <n v="12"/>
    <n v="2"/>
    <n v="1"/>
    <n v="5"/>
    <n v="4"/>
    <n v="0"/>
    <n v="4"/>
    <x v="1"/>
    <s v="Low"/>
    <n v="6281.2528616024974"/>
    <s v="Below salary"/>
    <s v="Medium Risk"/>
  </r>
  <r>
    <n v="37"/>
    <x v="1"/>
    <s v="Travel_Rarely"/>
    <n v="1462"/>
    <x v="1"/>
    <n v="11"/>
    <n v="3"/>
    <s v="Medical"/>
    <n v="1411"/>
    <n v="1"/>
    <x v="0"/>
    <n v="94"/>
    <n v="3"/>
    <n v="1"/>
    <x v="2"/>
    <n v="3"/>
    <s v="Single"/>
    <x v="943"/>
    <n v="19106"/>
    <n v="4"/>
    <x v="1"/>
    <n v="18"/>
    <n v="3"/>
    <n v="1"/>
    <n v="0"/>
    <n v="8"/>
    <n v="6"/>
    <n v="3"/>
    <n v="3"/>
    <n v="2"/>
    <n v="0"/>
    <n v="2"/>
    <x v="0"/>
    <s v="Mid"/>
    <n v="6281.2528616024974"/>
    <s v="Below salary"/>
    <s v="Low Risk"/>
  </r>
  <r>
    <n v="35"/>
    <x v="1"/>
    <s v="Travel_Frequently"/>
    <n v="200"/>
    <x v="1"/>
    <n v="18"/>
    <n v="2"/>
    <s v="Life Sciences"/>
    <n v="1412"/>
    <n v="3"/>
    <x v="1"/>
    <n v="60"/>
    <n v="3"/>
    <n v="3"/>
    <x v="3"/>
    <n v="4"/>
    <s v="Single"/>
    <x v="944"/>
    <n v="19944"/>
    <n v="2"/>
    <x v="1"/>
    <n v="11"/>
    <n v="3"/>
    <n v="3"/>
    <n v="0"/>
    <n v="10"/>
    <n v="2"/>
    <n v="3"/>
    <n v="2"/>
    <n v="2"/>
    <n v="2"/>
    <n v="2"/>
    <x v="2"/>
    <s v="High"/>
    <n v="6281.2528616024974"/>
    <s v="Above salary"/>
    <s v="Low Risk"/>
  </r>
  <r>
    <n v="25"/>
    <x v="1"/>
    <s v="Travel_Rarely"/>
    <n v="949"/>
    <x v="1"/>
    <n v="1"/>
    <n v="3"/>
    <s v="Technical Degree"/>
    <n v="1415"/>
    <n v="1"/>
    <x v="1"/>
    <n v="81"/>
    <n v="3"/>
    <n v="1"/>
    <x v="2"/>
    <n v="4"/>
    <s v="Married"/>
    <x v="945"/>
    <n v="4910"/>
    <n v="4"/>
    <x v="1"/>
    <n v="11"/>
    <n v="3"/>
    <n v="2"/>
    <n v="1"/>
    <n v="7"/>
    <n v="2"/>
    <n v="2"/>
    <n v="3"/>
    <n v="2"/>
    <n v="0"/>
    <n v="2"/>
    <x v="3"/>
    <s v="Mid"/>
    <n v="6281.2528616024974"/>
    <s v="Below salary"/>
    <s v="Low Risk"/>
  </r>
  <r>
    <n v="26"/>
    <x v="1"/>
    <s v="Travel_Rarely"/>
    <n v="652"/>
    <x v="1"/>
    <n v="7"/>
    <n v="3"/>
    <s v="Other"/>
    <n v="1417"/>
    <n v="3"/>
    <x v="1"/>
    <n v="100"/>
    <n v="4"/>
    <n v="1"/>
    <x v="2"/>
    <n v="1"/>
    <s v="Single"/>
    <x v="946"/>
    <n v="23577"/>
    <n v="0"/>
    <x v="1"/>
    <n v="12"/>
    <n v="3"/>
    <n v="4"/>
    <n v="0"/>
    <n v="8"/>
    <n v="2"/>
    <n v="3"/>
    <n v="7"/>
    <n v="7"/>
    <n v="0"/>
    <n v="7"/>
    <x v="2"/>
    <s v="Mid"/>
    <n v="6281.2528616024974"/>
    <s v="Below salary"/>
    <s v="Medium Risk"/>
  </r>
  <r>
    <n v="29"/>
    <x v="1"/>
    <s v="Travel_Rarely"/>
    <n v="332"/>
    <x v="2"/>
    <n v="17"/>
    <n v="3"/>
    <s v="Other"/>
    <n v="1419"/>
    <n v="2"/>
    <x v="1"/>
    <n v="51"/>
    <n v="2"/>
    <n v="3"/>
    <x v="8"/>
    <n v="1"/>
    <s v="Single"/>
    <x v="947"/>
    <n v="9769"/>
    <n v="1"/>
    <x v="1"/>
    <n v="13"/>
    <n v="3"/>
    <n v="1"/>
    <n v="0"/>
    <n v="10"/>
    <n v="3"/>
    <n v="2"/>
    <n v="10"/>
    <n v="9"/>
    <n v="0"/>
    <n v="9"/>
    <x v="2"/>
    <s v="High"/>
    <n v="6654.5079365079364"/>
    <s v="Above salary"/>
    <s v="Medium Risk"/>
  </r>
  <r>
    <n v="49"/>
    <x v="0"/>
    <s v="Travel_Frequently"/>
    <n v="1475"/>
    <x v="1"/>
    <n v="28"/>
    <n v="2"/>
    <s v="Life Sciences"/>
    <n v="1420"/>
    <n v="1"/>
    <x v="1"/>
    <n v="97"/>
    <n v="2"/>
    <n v="2"/>
    <x v="2"/>
    <n v="1"/>
    <s v="Single"/>
    <x v="948"/>
    <n v="22710"/>
    <n v="3"/>
    <x v="1"/>
    <n v="20"/>
    <n v="4"/>
    <n v="1"/>
    <n v="0"/>
    <n v="20"/>
    <n v="2"/>
    <n v="3"/>
    <n v="4"/>
    <n v="3"/>
    <n v="1"/>
    <n v="3"/>
    <x v="1"/>
    <s v="Mid"/>
    <n v="6281.2528616024974"/>
    <s v="Below salary"/>
    <s v="Medium Risk"/>
  </r>
  <r>
    <n v="29"/>
    <x v="0"/>
    <s v="Travel_Frequently"/>
    <n v="337"/>
    <x v="1"/>
    <n v="14"/>
    <n v="1"/>
    <s v="Other"/>
    <n v="1421"/>
    <n v="3"/>
    <x v="0"/>
    <n v="84"/>
    <n v="3"/>
    <n v="3"/>
    <x v="4"/>
    <n v="4"/>
    <s v="Single"/>
    <x v="949"/>
    <n v="22930"/>
    <n v="0"/>
    <x v="0"/>
    <n v="12"/>
    <n v="3"/>
    <n v="1"/>
    <n v="0"/>
    <n v="9"/>
    <n v="1"/>
    <n v="3"/>
    <n v="8"/>
    <n v="7"/>
    <n v="7"/>
    <n v="7"/>
    <x v="2"/>
    <s v="High"/>
    <n v="6281.2528616024974"/>
    <s v="Above salary"/>
    <s v="Medium Risk"/>
  </r>
  <r>
    <n v="54"/>
    <x v="1"/>
    <s v="Travel_Rarely"/>
    <n v="971"/>
    <x v="1"/>
    <n v="1"/>
    <n v="3"/>
    <s v="Medical"/>
    <n v="1422"/>
    <n v="4"/>
    <x v="0"/>
    <n v="54"/>
    <n v="3"/>
    <n v="4"/>
    <x v="7"/>
    <n v="4"/>
    <s v="Single"/>
    <x v="109"/>
    <n v="5652"/>
    <n v="6"/>
    <x v="1"/>
    <n v="19"/>
    <n v="3"/>
    <n v="4"/>
    <n v="0"/>
    <n v="29"/>
    <n v="3"/>
    <n v="2"/>
    <n v="20"/>
    <n v="7"/>
    <n v="12"/>
    <n v="7"/>
    <x v="1"/>
    <s v="Very High"/>
    <n v="6281.2528616024974"/>
    <s v="Above salary"/>
    <s v="Low Risk"/>
  </r>
  <r>
    <n v="58"/>
    <x v="1"/>
    <s v="Travel_Rarely"/>
    <n v="1055"/>
    <x v="1"/>
    <n v="1"/>
    <n v="3"/>
    <s v="Medical"/>
    <n v="1423"/>
    <n v="4"/>
    <x v="0"/>
    <n v="76"/>
    <n v="3"/>
    <n v="5"/>
    <x v="7"/>
    <n v="1"/>
    <s v="Married"/>
    <x v="950"/>
    <n v="22456"/>
    <n v="3"/>
    <x v="0"/>
    <n v="21"/>
    <n v="4"/>
    <n v="3"/>
    <n v="1"/>
    <n v="32"/>
    <n v="3"/>
    <n v="3"/>
    <n v="9"/>
    <n v="8"/>
    <n v="1"/>
    <n v="5"/>
    <x v="1"/>
    <s v="Very High"/>
    <n v="6281.2528616024974"/>
    <s v="Above salary"/>
    <s v="High Risk"/>
  </r>
  <r>
    <n v="55"/>
    <x v="1"/>
    <s v="Travel_Rarely"/>
    <n v="1136"/>
    <x v="1"/>
    <n v="1"/>
    <n v="4"/>
    <s v="Medical"/>
    <n v="1424"/>
    <n v="2"/>
    <x v="1"/>
    <n v="81"/>
    <n v="4"/>
    <n v="4"/>
    <x v="7"/>
    <n v="4"/>
    <s v="Divorced"/>
    <x v="951"/>
    <n v="12414"/>
    <n v="2"/>
    <x v="1"/>
    <n v="13"/>
    <n v="3"/>
    <n v="4"/>
    <n v="2"/>
    <n v="31"/>
    <n v="4"/>
    <n v="4"/>
    <n v="7"/>
    <n v="7"/>
    <n v="0"/>
    <n v="0"/>
    <x v="1"/>
    <s v="Very High"/>
    <n v="6281.2528616024974"/>
    <s v="Above salary"/>
    <s v="Low Risk"/>
  </r>
  <r>
    <n v="36"/>
    <x v="1"/>
    <s v="Travel_Rarely"/>
    <n v="1174"/>
    <x v="0"/>
    <n v="3"/>
    <n v="4"/>
    <s v="Marketing"/>
    <n v="1425"/>
    <n v="1"/>
    <x v="0"/>
    <n v="99"/>
    <n v="3"/>
    <n v="2"/>
    <x v="0"/>
    <n v="2"/>
    <s v="Single"/>
    <x v="952"/>
    <n v="20763"/>
    <n v="3"/>
    <x v="0"/>
    <n v="16"/>
    <n v="3"/>
    <n v="4"/>
    <n v="0"/>
    <n v="15"/>
    <n v="3"/>
    <n v="3"/>
    <n v="5"/>
    <n v="4"/>
    <n v="0"/>
    <n v="1"/>
    <x v="0"/>
    <s v="High"/>
    <n v="6959.17264573991"/>
    <s v="Above salary"/>
    <s v="High Risk"/>
  </r>
  <r>
    <n v="31"/>
    <x v="0"/>
    <s v="Travel_Frequently"/>
    <n v="667"/>
    <x v="0"/>
    <n v="1"/>
    <n v="4"/>
    <s v="Life Sciences"/>
    <n v="1427"/>
    <n v="2"/>
    <x v="0"/>
    <n v="50"/>
    <n v="1"/>
    <n v="1"/>
    <x v="6"/>
    <n v="3"/>
    <s v="Single"/>
    <x v="953"/>
    <n v="16154"/>
    <n v="1"/>
    <x v="1"/>
    <n v="12"/>
    <n v="3"/>
    <n v="2"/>
    <n v="0"/>
    <n v="1"/>
    <n v="3"/>
    <n v="3"/>
    <n v="1"/>
    <n v="0"/>
    <n v="0"/>
    <n v="0"/>
    <x v="2"/>
    <s v="Low"/>
    <n v="6959.17264573991"/>
    <s v="Below salary"/>
    <s v="Low Risk"/>
  </r>
  <r>
    <n v="30"/>
    <x v="1"/>
    <s v="Travel_Rarely"/>
    <n v="855"/>
    <x v="0"/>
    <n v="7"/>
    <n v="4"/>
    <s v="Marketing"/>
    <n v="1428"/>
    <n v="4"/>
    <x v="0"/>
    <n v="73"/>
    <n v="3"/>
    <n v="2"/>
    <x v="0"/>
    <n v="1"/>
    <s v="Divorced"/>
    <x v="586"/>
    <n v="12761"/>
    <n v="7"/>
    <x v="1"/>
    <n v="14"/>
    <n v="3"/>
    <n v="2"/>
    <n v="2"/>
    <n v="8"/>
    <n v="3"/>
    <n v="3"/>
    <n v="3"/>
    <n v="2"/>
    <n v="0"/>
    <n v="2"/>
    <x v="2"/>
    <s v="Mid"/>
    <n v="6959.17264573991"/>
    <s v="Below salary"/>
    <s v="Medium Risk"/>
  </r>
  <r>
    <n v="31"/>
    <x v="1"/>
    <s v="Travel_Rarely"/>
    <n v="182"/>
    <x v="1"/>
    <n v="8"/>
    <n v="5"/>
    <s v="Life Sciences"/>
    <n v="1430"/>
    <n v="1"/>
    <x v="0"/>
    <n v="93"/>
    <n v="3"/>
    <n v="4"/>
    <x v="7"/>
    <n v="2"/>
    <s v="Single"/>
    <x v="954"/>
    <n v="8847"/>
    <n v="3"/>
    <x v="1"/>
    <n v="11"/>
    <n v="3"/>
    <n v="3"/>
    <n v="0"/>
    <n v="9"/>
    <n v="3"/>
    <n v="4"/>
    <n v="3"/>
    <n v="2"/>
    <n v="1"/>
    <n v="0"/>
    <x v="2"/>
    <s v="Very High"/>
    <n v="6281.2528616024974"/>
    <s v="Above salary"/>
    <s v="Medium Risk"/>
  </r>
  <r>
    <n v="34"/>
    <x v="1"/>
    <s v="Travel_Frequently"/>
    <n v="560"/>
    <x v="1"/>
    <n v="1"/>
    <n v="4"/>
    <s v="Other"/>
    <n v="1431"/>
    <n v="4"/>
    <x v="1"/>
    <n v="91"/>
    <n v="3"/>
    <n v="1"/>
    <x v="1"/>
    <n v="1"/>
    <s v="Divorced"/>
    <x v="932"/>
    <n v="20284"/>
    <n v="5"/>
    <x v="1"/>
    <n v="14"/>
    <n v="3"/>
    <n v="3"/>
    <n v="2"/>
    <n v="10"/>
    <n v="2"/>
    <n v="3"/>
    <n v="4"/>
    <n v="3"/>
    <n v="1"/>
    <n v="3"/>
    <x v="2"/>
    <s v="Low"/>
    <n v="6281.2528616024974"/>
    <s v="Below salary"/>
    <s v="Medium Risk"/>
  </r>
  <r>
    <n v="31"/>
    <x v="0"/>
    <s v="Travel_Rarely"/>
    <n v="202"/>
    <x v="1"/>
    <n v="8"/>
    <n v="3"/>
    <s v="Life Sciences"/>
    <n v="1433"/>
    <n v="1"/>
    <x v="0"/>
    <n v="34"/>
    <n v="2"/>
    <n v="1"/>
    <x v="1"/>
    <n v="2"/>
    <s v="Single"/>
    <x v="955"/>
    <n v="22262"/>
    <n v="1"/>
    <x v="1"/>
    <n v="12"/>
    <n v="3"/>
    <n v="3"/>
    <n v="0"/>
    <n v="1"/>
    <n v="3"/>
    <n v="4"/>
    <n v="1"/>
    <n v="0"/>
    <n v="0"/>
    <n v="0"/>
    <x v="2"/>
    <s v="Low"/>
    <n v="6281.2528616024974"/>
    <s v="Below salary"/>
    <s v="Medium Risk"/>
  </r>
  <r>
    <n v="27"/>
    <x v="1"/>
    <s v="Travel_Rarely"/>
    <n v="1377"/>
    <x v="1"/>
    <n v="11"/>
    <n v="1"/>
    <s v="Life Sciences"/>
    <n v="1434"/>
    <n v="2"/>
    <x v="1"/>
    <n v="91"/>
    <n v="3"/>
    <n v="1"/>
    <x v="2"/>
    <n v="1"/>
    <s v="Married"/>
    <x v="956"/>
    <n v="7679"/>
    <n v="0"/>
    <x v="1"/>
    <n v="14"/>
    <n v="3"/>
    <n v="2"/>
    <n v="0"/>
    <n v="6"/>
    <n v="3"/>
    <n v="4"/>
    <n v="5"/>
    <n v="0"/>
    <n v="1"/>
    <n v="4"/>
    <x v="2"/>
    <s v="Low"/>
    <n v="6281.2528616024974"/>
    <s v="Below salary"/>
    <s v="Medium Risk"/>
  </r>
  <r>
    <n v="36"/>
    <x v="1"/>
    <s v="Travel_Rarely"/>
    <n v="172"/>
    <x v="1"/>
    <n v="4"/>
    <n v="4"/>
    <s v="Life Sciences"/>
    <n v="1435"/>
    <n v="1"/>
    <x v="1"/>
    <n v="37"/>
    <n v="2"/>
    <n v="2"/>
    <x v="2"/>
    <n v="4"/>
    <s v="Single"/>
    <x v="957"/>
    <n v="22604"/>
    <n v="1"/>
    <x v="1"/>
    <n v="16"/>
    <n v="3"/>
    <n v="3"/>
    <n v="0"/>
    <n v="10"/>
    <n v="2"/>
    <n v="2"/>
    <n v="10"/>
    <n v="4"/>
    <n v="1"/>
    <n v="8"/>
    <x v="0"/>
    <s v="Mid"/>
    <n v="6281.2528616024974"/>
    <s v="Below salary"/>
    <s v="Low Risk"/>
  </r>
  <r>
    <n v="36"/>
    <x v="1"/>
    <s v="Travel_Rarely"/>
    <n v="329"/>
    <x v="0"/>
    <n v="16"/>
    <n v="4"/>
    <s v="Marketing"/>
    <n v="1436"/>
    <n v="3"/>
    <x v="0"/>
    <n v="98"/>
    <n v="2"/>
    <n v="2"/>
    <x v="0"/>
    <n v="1"/>
    <s v="Married"/>
    <x v="958"/>
    <n v="13494"/>
    <n v="4"/>
    <x v="1"/>
    <n v="13"/>
    <n v="3"/>
    <n v="1"/>
    <n v="2"/>
    <n v="11"/>
    <n v="3"/>
    <n v="2"/>
    <n v="3"/>
    <n v="2"/>
    <n v="0"/>
    <n v="2"/>
    <x v="0"/>
    <s v="Mid"/>
    <n v="6959.17264573991"/>
    <s v="Below salary"/>
    <s v="Medium Risk"/>
  </r>
  <r>
    <n v="47"/>
    <x v="1"/>
    <s v="Travel_Rarely"/>
    <n v="465"/>
    <x v="1"/>
    <n v="1"/>
    <n v="3"/>
    <s v="Technical Degree"/>
    <n v="1438"/>
    <n v="1"/>
    <x v="1"/>
    <n v="74"/>
    <n v="3"/>
    <n v="1"/>
    <x v="1"/>
    <n v="4"/>
    <s v="Married"/>
    <x v="959"/>
    <n v="10205"/>
    <n v="7"/>
    <x v="1"/>
    <n v="12"/>
    <n v="3"/>
    <n v="3"/>
    <n v="1"/>
    <n v="17"/>
    <n v="2"/>
    <n v="2"/>
    <n v="6"/>
    <n v="5"/>
    <n v="1"/>
    <n v="2"/>
    <x v="1"/>
    <s v="Mid"/>
    <n v="6281.2528616024974"/>
    <s v="Below salary"/>
    <s v="Low Risk"/>
  </r>
  <r>
    <n v="25"/>
    <x v="0"/>
    <s v="Travel_Rarely"/>
    <n v="383"/>
    <x v="0"/>
    <n v="9"/>
    <n v="2"/>
    <s v="Life Sciences"/>
    <n v="1439"/>
    <n v="1"/>
    <x v="1"/>
    <n v="68"/>
    <n v="2"/>
    <n v="1"/>
    <x v="6"/>
    <n v="1"/>
    <s v="Married"/>
    <x v="960"/>
    <n v="15182"/>
    <n v="3"/>
    <x v="1"/>
    <n v="12"/>
    <n v="3"/>
    <n v="1"/>
    <n v="0"/>
    <n v="6"/>
    <n v="2"/>
    <n v="3"/>
    <n v="3"/>
    <n v="2"/>
    <n v="2"/>
    <n v="2"/>
    <x v="3"/>
    <s v="Mid"/>
    <n v="6959.17264573991"/>
    <s v="Below salary"/>
    <s v="Medium Risk"/>
  </r>
  <r>
    <n v="37"/>
    <x v="1"/>
    <s v="Non-Travel"/>
    <n v="1413"/>
    <x v="1"/>
    <n v="5"/>
    <n v="2"/>
    <s v="Technical Degree"/>
    <n v="1440"/>
    <n v="3"/>
    <x v="1"/>
    <n v="84"/>
    <n v="4"/>
    <n v="1"/>
    <x v="2"/>
    <n v="3"/>
    <s v="Single"/>
    <x v="961"/>
    <n v="25470"/>
    <n v="0"/>
    <x v="1"/>
    <n v="14"/>
    <n v="3"/>
    <n v="1"/>
    <n v="0"/>
    <n v="7"/>
    <n v="2"/>
    <n v="1"/>
    <n v="6"/>
    <n v="5"/>
    <n v="1"/>
    <n v="3"/>
    <x v="0"/>
    <s v="Mid"/>
    <n v="6281.2528616024974"/>
    <s v="Below salary"/>
    <s v="Low Risk"/>
  </r>
  <r>
    <n v="56"/>
    <x v="1"/>
    <s v="Travel_Rarely"/>
    <n v="1255"/>
    <x v="1"/>
    <n v="1"/>
    <n v="2"/>
    <s v="Life Sciences"/>
    <n v="1441"/>
    <n v="1"/>
    <x v="0"/>
    <n v="90"/>
    <n v="3"/>
    <n v="1"/>
    <x v="1"/>
    <n v="1"/>
    <s v="Married"/>
    <x v="962"/>
    <n v="10494"/>
    <n v="2"/>
    <x v="1"/>
    <n v="22"/>
    <n v="4"/>
    <n v="4"/>
    <n v="1"/>
    <n v="5"/>
    <n v="3"/>
    <n v="4"/>
    <n v="3"/>
    <n v="2"/>
    <n v="1"/>
    <n v="0"/>
    <x v="1"/>
    <s v="Low"/>
    <n v="6281.2528616024974"/>
    <s v="Below salary"/>
    <s v="Medium Risk"/>
  </r>
  <r>
    <n v="47"/>
    <x v="1"/>
    <s v="Travel_Rarely"/>
    <n v="359"/>
    <x v="1"/>
    <n v="2"/>
    <n v="4"/>
    <s v="Medical"/>
    <n v="1443"/>
    <n v="1"/>
    <x v="0"/>
    <n v="82"/>
    <n v="3"/>
    <n v="4"/>
    <x v="7"/>
    <n v="3"/>
    <s v="Married"/>
    <x v="963"/>
    <n v="26703"/>
    <n v="3"/>
    <x v="1"/>
    <n v="19"/>
    <n v="3"/>
    <n v="2"/>
    <n v="2"/>
    <n v="26"/>
    <n v="2"/>
    <n v="4"/>
    <n v="20"/>
    <n v="17"/>
    <n v="5"/>
    <n v="6"/>
    <x v="1"/>
    <s v="Very High"/>
    <n v="6281.2528616024974"/>
    <s v="Above salary"/>
    <s v="Low Risk"/>
  </r>
  <r>
    <n v="24"/>
    <x v="1"/>
    <s v="Travel_Rarely"/>
    <n v="1476"/>
    <x v="0"/>
    <n v="4"/>
    <n v="1"/>
    <s v="Medical"/>
    <n v="1445"/>
    <n v="4"/>
    <x v="0"/>
    <n v="42"/>
    <n v="3"/>
    <n v="2"/>
    <x v="0"/>
    <n v="3"/>
    <s v="Married"/>
    <x v="964"/>
    <n v="15211"/>
    <n v="1"/>
    <x v="0"/>
    <n v="12"/>
    <n v="3"/>
    <n v="3"/>
    <n v="2"/>
    <n v="5"/>
    <n v="3"/>
    <n v="3"/>
    <n v="5"/>
    <n v="4"/>
    <n v="0"/>
    <n v="3"/>
    <x v="3"/>
    <s v="Mid"/>
    <n v="6959.17264573991"/>
    <s v="Below salary"/>
    <s v="Medium Risk"/>
  </r>
  <r>
    <n v="32"/>
    <x v="1"/>
    <s v="Travel_Rarely"/>
    <n v="601"/>
    <x v="0"/>
    <n v="7"/>
    <n v="5"/>
    <s v="Marketing"/>
    <n v="1446"/>
    <n v="4"/>
    <x v="1"/>
    <n v="97"/>
    <n v="3"/>
    <n v="2"/>
    <x v="0"/>
    <n v="4"/>
    <s v="Married"/>
    <x v="965"/>
    <n v="23343"/>
    <n v="4"/>
    <x v="1"/>
    <n v="12"/>
    <n v="3"/>
    <n v="3"/>
    <n v="1"/>
    <n v="7"/>
    <n v="3"/>
    <n v="2"/>
    <n v="4"/>
    <n v="3"/>
    <n v="0"/>
    <n v="3"/>
    <x v="2"/>
    <s v="High"/>
    <n v="6959.17264573991"/>
    <s v="Above salary"/>
    <s v="Low Risk"/>
  </r>
  <r>
    <n v="34"/>
    <x v="1"/>
    <s v="Travel_Rarely"/>
    <n v="401"/>
    <x v="1"/>
    <n v="1"/>
    <n v="3"/>
    <s v="Life Sciences"/>
    <n v="1447"/>
    <n v="4"/>
    <x v="0"/>
    <n v="86"/>
    <n v="2"/>
    <n v="1"/>
    <x v="2"/>
    <n v="2"/>
    <s v="Married"/>
    <x v="635"/>
    <n v="3708"/>
    <n v="5"/>
    <x v="1"/>
    <n v="17"/>
    <n v="3"/>
    <n v="1"/>
    <n v="1"/>
    <n v="7"/>
    <n v="2"/>
    <n v="2"/>
    <n v="5"/>
    <n v="4"/>
    <n v="0"/>
    <n v="2"/>
    <x v="2"/>
    <s v="Mid"/>
    <n v="6281.2528616024974"/>
    <s v="Below salary"/>
    <s v="Medium Risk"/>
  </r>
  <r>
    <n v="41"/>
    <x v="1"/>
    <s v="Travel_Rarely"/>
    <n v="1283"/>
    <x v="1"/>
    <n v="5"/>
    <n v="5"/>
    <s v="Medical"/>
    <n v="1448"/>
    <n v="2"/>
    <x v="1"/>
    <n v="90"/>
    <n v="4"/>
    <n v="1"/>
    <x v="1"/>
    <n v="3"/>
    <s v="Married"/>
    <x v="459"/>
    <n v="5561"/>
    <n v="2"/>
    <x v="0"/>
    <n v="12"/>
    <n v="3"/>
    <n v="1"/>
    <n v="0"/>
    <n v="7"/>
    <n v="5"/>
    <n v="2"/>
    <n v="4"/>
    <n v="2"/>
    <n v="0"/>
    <n v="3"/>
    <x v="0"/>
    <s v="Low"/>
    <n v="6281.2528616024974"/>
    <s v="Below salary"/>
    <s v="Medium Risk"/>
  </r>
  <r>
    <n v="40"/>
    <x v="1"/>
    <s v="Non-Travel"/>
    <n v="663"/>
    <x v="1"/>
    <n v="9"/>
    <n v="4"/>
    <s v="Other"/>
    <n v="1449"/>
    <n v="3"/>
    <x v="1"/>
    <n v="81"/>
    <n v="3"/>
    <n v="2"/>
    <x v="2"/>
    <n v="3"/>
    <s v="Divorced"/>
    <x v="966"/>
    <n v="23099"/>
    <n v="3"/>
    <x v="1"/>
    <n v="11"/>
    <n v="3"/>
    <n v="3"/>
    <n v="2"/>
    <n v="11"/>
    <n v="2"/>
    <n v="4"/>
    <n v="8"/>
    <n v="7"/>
    <n v="0"/>
    <n v="7"/>
    <x v="0"/>
    <s v="Mid"/>
    <n v="6281.2528616024974"/>
    <s v="Below salary"/>
    <s v="Low Risk"/>
  </r>
  <r>
    <n v="31"/>
    <x v="1"/>
    <s v="Travel_Rarely"/>
    <n v="326"/>
    <x v="0"/>
    <n v="8"/>
    <n v="2"/>
    <s v="Life Sciences"/>
    <n v="1453"/>
    <n v="1"/>
    <x v="1"/>
    <n v="31"/>
    <n v="3"/>
    <n v="3"/>
    <x v="0"/>
    <n v="4"/>
    <s v="Divorced"/>
    <x v="967"/>
    <n v="8386"/>
    <n v="1"/>
    <x v="1"/>
    <n v="18"/>
    <n v="3"/>
    <n v="1"/>
    <n v="1"/>
    <n v="13"/>
    <n v="5"/>
    <n v="3"/>
    <n v="13"/>
    <n v="7"/>
    <n v="9"/>
    <n v="9"/>
    <x v="2"/>
    <s v="High"/>
    <n v="6959.17264573991"/>
    <s v="Above salary"/>
    <s v="Low Risk"/>
  </r>
  <r>
    <n v="46"/>
    <x v="0"/>
    <s v="Travel_Rarely"/>
    <n v="377"/>
    <x v="0"/>
    <n v="9"/>
    <n v="3"/>
    <s v="Marketing"/>
    <n v="1457"/>
    <n v="1"/>
    <x v="1"/>
    <n v="52"/>
    <n v="3"/>
    <n v="3"/>
    <x v="0"/>
    <n v="4"/>
    <s v="Divorced"/>
    <x v="61"/>
    <n v="15986"/>
    <n v="4"/>
    <x v="1"/>
    <n v="11"/>
    <n v="3"/>
    <n v="1"/>
    <n v="1"/>
    <n v="28"/>
    <n v="1"/>
    <n v="4"/>
    <n v="7"/>
    <n v="7"/>
    <n v="4"/>
    <n v="3"/>
    <x v="1"/>
    <s v="High"/>
    <n v="6959.17264573991"/>
    <s v="Above salary"/>
    <s v="Low Risk"/>
  </r>
  <r>
    <n v="39"/>
    <x v="0"/>
    <s v="Non-Travel"/>
    <n v="592"/>
    <x v="1"/>
    <n v="2"/>
    <n v="3"/>
    <s v="Life Sciences"/>
    <n v="1458"/>
    <n v="1"/>
    <x v="0"/>
    <n v="54"/>
    <n v="2"/>
    <n v="1"/>
    <x v="2"/>
    <n v="1"/>
    <s v="Single"/>
    <x v="968"/>
    <n v="17181"/>
    <n v="2"/>
    <x v="0"/>
    <n v="23"/>
    <n v="4"/>
    <n v="2"/>
    <n v="0"/>
    <n v="11"/>
    <n v="2"/>
    <n v="4"/>
    <n v="1"/>
    <n v="0"/>
    <n v="0"/>
    <n v="0"/>
    <x v="0"/>
    <s v="Mid"/>
    <n v="6281.2528616024974"/>
    <s v="Below salary"/>
    <s v="High Risk"/>
  </r>
  <r>
    <n v="31"/>
    <x v="0"/>
    <s v="Travel_Frequently"/>
    <n v="1445"/>
    <x v="1"/>
    <n v="1"/>
    <n v="5"/>
    <s v="Life Sciences"/>
    <n v="1459"/>
    <n v="3"/>
    <x v="0"/>
    <n v="100"/>
    <n v="4"/>
    <n v="3"/>
    <x v="3"/>
    <n v="2"/>
    <s v="Single"/>
    <x v="969"/>
    <n v="8931"/>
    <n v="1"/>
    <x v="1"/>
    <n v="11"/>
    <n v="3"/>
    <n v="1"/>
    <n v="0"/>
    <n v="10"/>
    <n v="2"/>
    <n v="3"/>
    <n v="10"/>
    <n v="8"/>
    <n v="4"/>
    <n v="7"/>
    <x v="2"/>
    <s v="High"/>
    <n v="6281.2528616024974"/>
    <s v="Above salary"/>
    <s v="Medium Risk"/>
  </r>
  <r>
    <n v="45"/>
    <x v="1"/>
    <s v="Travel_Rarely"/>
    <n v="1038"/>
    <x v="1"/>
    <n v="20"/>
    <n v="3"/>
    <s v="Medical"/>
    <n v="1460"/>
    <n v="2"/>
    <x v="1"/>
    <n v="95"/>
    <n v="1"/>
    <n v="3"/>
    <x v="4"/>
    <n v="1"/>
    <s v="Divorced"/>
    <x v="970"/>
    <n v="19863"/>
    <n v="2"/>
    <x v="0"/>
    <n v="18"/>
    <n v="3"/>
    <n v="2"/>
    <n v="1"/>
    <n v="24"/>
    <n v="2"/>
    <n v="3"/>
    <n v="7"/>
    <n v="7"/>
    <n v="0"/>
    <n v="7"/>
    <x v="0"/>
    <s v="High"/>
    <n v="6281.2528616024974"/>
    <s v="Above salary"/>
    <s v="High Risk"/>
  </r>
  <r>
    <n v="31"/>
    <x v="1"/>
    <s v="Travel_Rarely"/>
    <n v="1398"/>
    <x v="2"/>
    <n v="8"/>
    <n v="2"/>
    <s v="Medical"/>
    <n v="1461"/>
    <n v="4"/>
    <x v="0"/>
    <n v="96"/>
    <n v="4"/>
    <n v="1"/>
    <x v="8"/>
    <n v="2"/>
    <s v="Single"/>
    <x v="971"/>
    <n v="24609"/>
    <n v="9"/>
    <x v="1"/>
    <n v="18"/>
    <n v="3"/>
    <n v="4"/>
    <n v="0"/>
    <n v="8"/>
    <n v="3"/>
    <n v="3"/>
    <n v="3"/>
    <n v="2"/>
    <n v="0"/>
    <n v="2"/>
    <x v="2"/>
    <s v="Low"/>
    <n v="6654.5079365079364"/>
    <s v="Below salary"/>
    <s v="Medium Risk"/>
  </r>
  <r>
    <n v="31"/>
    <x v="0"/>
    <s v="Travel_Frequently"/>
    <n v="523"/>
    <x v="1"/>
    <n v="2"/>
    <n v="3"/>
    <s v="Life Sciences"/>
    <n v="1464"/>
    <n v="2"/>
    <x v="1"/>
    <n v="94"/>
    <n v="3"/>
    <n v="1"/>
    <x v="2"/>
    <n v="4"/>
    <s v="Married"/>
    <x v="972"/>
    <n v="21081"/>
    <n v="6"/>
    <x v="0"/>
    <n v="13"/>
    <n v="3"/>
    <n v="3"/>
    <n v="1"/>
    <n v="7"/>
    <n v="2"/>
    <n v="1"/>
    <n v="2"/>
    <n v="2"/>
    <n v="2"/>
    <n v="2"/>
    <x v="2"/>
    <s v="Mid"/>
    <n v="6281.2528616024974"/>
    <s v="Below salary"/>
    <s v="Medium Risk"/>
  </r>
  <r>
    <n v="45"/>
    <x v="1"/>
    <s v="Travel_Rarely"/>
    <n v="1448"/>
    <x v="1"/>
    <n v="29"/>
    <n v="3"/>
    <s v="Technical Degree"/>
    <n v="1465"/>
    <n v="2"/>
    <x v="1"/>
    <n v="55"/>
    <n v="3"/>
    <n v="3"/>
    <x v="3"/>
    <n v="4"/>
    <s v="Married"/>
    <x v="973"/>
    <n v="14720"/>
    <n v="4"/>
    <x v="0"/>
    <n v="18"/>
    <n v="3"/>
    <n v="4"/>
    <n v="2"/>
    <n v="10"/>
    <n v="4"/>
    <n v="4"/>
    <n v="3"/>
    <n v="1"/>
    <n v="1"/>
    <n v="2"/>
    <x v="0"/>
    <s v="High"/>
    <n v="6281.2528616024974"/>
    <s v="Above salary"/>
    <s v="Medium Risk"/>
  </r>
  <r>
    <n v="48"/>
    <x v="1"/>
    <s v="Travel_Rarely"/>
    <n v="1221"/>
    <x v="0"/>
    <n v="7"/>
    <n v="3"/>
    <s v="Marketing"/>
    <n v="1466"/>
    <n v="3"/>
    <x v="1"/>
    <n v="96"/>
    <n v="3"/>
    <n v="2"/>
    <x v="0"/>
    <n v="1"/>
    <s v="Divorced"/>
    <x v="974"/>
    <n v="24795"/>
    <n v="4"/>
    <x v="1"/>
    <n v="11"/>
    <n v="3"/>
    <n v="1"/>
    <n v="3"/>
    <n v="15"/>
    <n v="3"/>
    <n v="3"/>
    <n v="2"/>
    <n v="2"/>
    <n v="2"/>
    <n v="2"/>
    <x v="1"/>
    <s v="Mid"/>
    <n v="6959.17264573991"/>
    <s v="Below salary"/>
    <s v="Medium Risk"/>
  </r>
  <r>
    <n v="34"/>
    <x v="0"/>
    <s v="Travel_Rarely"/>
    <n v="1107"/>
    <x v="2"/>
    <n v="9"/>
    <n v="4"/>
    <s v="Technical Degree"/>
    <n v="1467"/>
    <n v="1"/>
    <x v="0"/>
    <n v="52"/>
    <n v="3"/>
    <n v="1"/>
    <x v="8"/>
    <n v="3"/>
    <s v="Married"/>
    <x v="975"/>
    <n v="3072"/>
    <n v="1"/>
    <x v="1"/>
    <n v="15"/>
    <n v="3"/>
    <n v="4"/>
    <n v="0"/>
    <n v="2"/>
    <n v="0"/>
    <n v="3"/>
    <n v="2"/>
    <n v="2"/>
    <n v="2"/>
    <n v="2"/>
    <x v="2"/>
    <s v="Low"/>
    <n v="6654.5079365079364"/>
    <s v="Below salary"/>
    <s v="Low Risk"/>
  </r>
  <r>
    <n v="40"/>
    <x v="1"/>
    <s v="Non-Travel"/>
    <n v="218"/>
    <x v="1"/>
    <n v="8"/>
    <n v="1"/>
    <s v="Medical"/>
    <n v="1468"/>
    <n v="4"/>
    <x v="1"/>
    <n v="55"/>
    <n v="2"/>
    <n v="3"/>
    <x v="7"/>
    <n v="2"/>
    <s v="Divorced"/>
    <x v="976"/>
    <n v="25178"/>
    <n v="2"/>
    <x v="1"/>
    <n v="11"/>
    <n v="3"/>
    <n v="3"/>
    <n v="1"/>
    <n v="16"/>
    <n v="5"/>
    <n v="3"/>
    <n v="9"/>
    <n v="8"/>
    <n v="4"/>
    <n v="8"/>
    <x v="0"/>
    <s v="Very High"/>
    <n v="6281.2528616024974"/>
    <s v="Above salary"/>
    <s v="Medium Risk"/>
  </r>
  <r>
    <n v="28"/>
    <x v="1"/>
    <s v="Travel_Rarely"/>
    <n v="866"/>
    <x v="0"/>
    <n v="5"/>
    <n v="3"/>
    <s v="Medical"/>
    <n v="1469"/>
    <n v="4"/>
    <x v="1"/>
    <n v="84"/>
    <n v="3"/>
    <n v="2"/>
    <x v="0"/>
    <n v="1"/>
    <s v="Single"/>
    <x v="977"/>
    <n v="23490"/>
    <n v="0"/>
    <x v="1"/>
    <n v="18"/>
    <n v="3"/>
    <n v="4"/>
    <n v="0"/>
    <n v="6"/>
    <n v="4"/>
    <n v="3"/>
    <n v="5"/>
    <n v="4"/>
    <n v="1"/>
    <n v="3"/>
    <x v="2"/>
    <s v="High"/>
    <n v="6959.17264573991"/>
    <s v="Above salary"/>
    <s v="Medium Risk"/>
  </r>
  <r>
    <n v="44"/>
    <x v="1"/>
    <s v="Non-Travel"/>
    <n v="981"/>
    <x v="1"/>
    <n v="5"/>
    <n v="3"/>
    <s v="Life Sciences"/>
    <n v="1471"/>
    <n v="3"/>
    <x v="1"/>
    <n v="90"/>
    <n v="2"/>
    <n v="1"/>
    <x v="2"/>
    <n v="3"/>
    <s v="Single"/>
    <x v="612"/>
    <n v="7973"/>
    <n v="3"/>
    <x v="1"/>
    <n v="14"/>
    <n v="3"/>
    <n v="4"/>
    <n v="0"/>
    <n v="7"/>
    <n v="5"/>
    <n v="3"/>
    <n v="5"/>
    <n v="2"/>
    <n v="0"/>
    <n v="3"/>
    <x v="0"/>
    <s v="Mid"/>
    <n v="6281.2528616024974"/>
    <s v="Below salary"/>
    <s v="Low Risk"/>
  </r>
  <r>
    <n v="53"/>
    <x v="1"/>
    <s v="Travel_Rarely"/>
    <n v="447"/>
    <x v="1"/>
    <n v="2"/>
    <n v="3"/>
    <s v="Medical"/>
    <n v="1472"/>
    <n v="4"/>
    <x v="1"/>
    <n v="39"/>
    <n v="4"/>
    <n v="4"/>
    <x v="7"/>
    <n v="2"/>
    <s v="Single"/>
    <x v="978"/>
    <n v="19764"/>
    <n v="4"/>
    <x v="1"/>
    <n v="12"/>
    <n v="3"/>
    <n v="2"/>
    <n v="0"/>
    <n v="35"/>
    <n v="2"/>
    <n v="2"/>
    <n v="9"/>
    <n v="8"/>
    <n v="8"/>
    <n v="8"/>
    <x v="1"/>
    <s v="Very High"/>
    <n v="6281.2528616024974"/>
    <s v="Above salary"/>
    <s v="Medium Risk"/>
  </r>
  <r>
    <n v="49"/>
    <x v="1"/>
    <s v="Travel_Rarely"/>
    <n v="1495"/>
    <x v="1"/>
    <n v="5"/>
    <n v="4"/>
    <s v="Technical Degree"/>
    <n v="1473"/>
    <n v="1"/>
    <x v="1"/>
    <n v="96"/>
    <n v="3"/>
    <n v="2"/>
    <x v="4"/>
    <n v="3"/>
    <s v="Married"/>
    <x v="979"/>
    <n v="21534"/>
    <n v="2"/>
    <x v="1"/>
    <n v="14"/>
    <n v="3"/>
    <n v="2"/>
    <n v="1"/>
    <n v="20"/>
    <n v="0"/>
    <n v="2"/>
    <n v="3"/>
    <n v="2"/>
    <n v="1"/>
    <n v="2"/>
    <x v="1"/>
    <s v="Mid"/>
    <n v="6281.2528616024974"/>
    <s v="Above salary"/>
    <s v="Low Risk"/>
  </r>
  <r>
    <n v="40"/>
    <x v="1"/>
    <s v="Travel_Rarely"/>
    <n v="896"/>
    <x v="1"/>
    <n v="2"/>
    <n v="3"/>
    <s v="Medical"/>
    <n v="1474"/>
    <n v="3"/>
    <x v="1"/>
    <n v="68"/>
    <n v="3"/>
    <n v="1"/>
    <x v="1"/>
    <n v="3"/>
    <s v="Divorced"/>
    <x v="980"/>
    <n v="8045"/>
    <n v="2"/>
    <x v="1"/>
    <n v="14"/>
    <n v="3"/>
    <n v="3"/>
    <n v="1"/>
    <n v="8"/>
    <n v="3"/>
    <n v="4"/>
    <n v="3"/>
    <n v="1"/>
    <n v="1"/>
    <n v="2"/>
    <x v="0"/>
    <s v="Low"/>
    <n v="6281.2528616024974"/>
    <s v="Below salary"/>
    <s v="Low Risk"/>
  </r>
  <r>
    <n v="44"/>
    <x v="1"/>
    <s v="Travel_Rarely"/>
    <n v="1467"/>
    <x v="1"/>
    <n v="20"/>
    <n v="3"/>
    <s v="Life Sciences"/>
    <n v="1475"/>
    <n v="4"/>
    <x v="1"/>
    <n v="49"/>
    <n v="3"/>
    <n v="1"/>
    <x v="1"/>
    <n v="2"/>
    <s v="Single"/>
    <x v="959"/>
    <n v="21158"/>
    <n v="1"/>
    <x v="1"/>
    <n v="13"/>
    <n v="3"/>
    <n v="3"/>
    <n v="0"/>
    <n v="6"/>
    <n v="3"/>
    <n v="2"/>
    <n v="5"/>
    <n v="2"/>
    <n v="1"/>
    <n v="3"/>
    <x v="0"/>
    <s v="Mid"/>
    <n v="6281.2528616024974"/>
    <s v="Below salary"/>
    <s v="Medium Risk"/>
  </r>
  <r>
    <n v="33"/>
    <x v="1"/>
    <s v="Travel_Frequently"/>
    <n v="430"/>
    <x v="0"/>
    <n v="7"/>
    <n v="3"/>
    <s v="Medical"/>
    <n v="1477"/>
    <n v="4"/>
    <x v="1"/>
    <n v="54"/>
    <n v="3"/>
    <n v="2"/>
    <x v="0"/>
    <n v="1"/>
    <s v="Married"/>
    <x v="981"/>
    <n v="17456"/>
    <n v="0"/>
    <x v="1"/>
    <n v="14"/>
    <n v="3"/>
    <n v="1"/>
    <n v="2"/>
    <n v="5"/>
    <n v="2"/>
    <n v="3"/>
    <n v="4"/>
    <n v="3"/>
    <n v="0"/>
    <n v="3"/>
    <x v="2"/>
    <s v="Mid"/>
    <n v="6959.17264573991"/>
    <s v="Below salary"/>
    <s v="Medium Risk"/>
  </r>
  <r>
    <n v="34"/>
    <x v="1"/>
    <s v="Travel_Rarely"/>
    <n v="1326"/>
    <x v="0"/>
    <n v="3"/>
    <n v="3"/>
    <s v="Other"/>
    <n v="1478"/>
    <n v="4"/>
    <x v="1"/>
    <n v="81"/>
    <n v="1"/>
    <n v="2"/>
    <x v="0"/>
    <n v="1"/>
    <s v="Single"/>
    <x v="982"/>
    <n v="15891"/>
    <n v="3"/>
    <x v="1"/>
    <n v="18"/>
    <n v="3"/>
    <n v="4"/>
    <n v="0"/>
    <n v="15"/>
    <n v="2"/>
    <n v="3"/>
    <n v="13"/>
    <n v="9"/>
    <n v="3"/>
    <n v="12"/>
    <x v="2"/>
    <s v="Mid"/>
    <n v="6959.17264573991"/>
    <s v="Below salary"/>
    <s v="Medium Risk"/>
  </r>
  <r>
    <n v="30"/>
    <x v="1"/>
    <s v="Travel_Rarely"/>
    <n v="1358"/>
    <x v="0"/>
    <n v="16"/>
    <n v="1"/>
    <s v="Life Sciences"/>
    <n v="1479"/>
    <n v="4"/>
    <x v="1"/>
    <n v="96"/>
    <n v="3"/>
    <n v="2"/>
    <x v="0"/>
    <n v="3"/>
    <s v="Married"/>
    <x v="983"/>
    <n v="2939"/>
    <n v="8"/>
    <x v="1"/>
    <n v="15"/>
    <n v="3"/>
    <n v="3"/>
    <n v="2"/>
    <n v="4"/>
    <n v="2"/>
    <n v="2"/>
    <n v="2"/>
    <n v="1"/>
    <n v="2"/>
    <n v="2"/>
    <x v="2"/>
    <s v="Mid"/>
    <n v="6959.17264573991"/>
    <s v="Below salary"/>
    <s v="Low Risk"/>
  </r>
  <r>
    <n v="42"/>
    <x v="1"/>
    <s v="Travel_Frequently"/>
    <n v="748"/>
    <x v="1"/>
    <n v="9"/>
    <n v="2"/>
    <s v="Medical"/>
    <n v="1480"/>
    <n v="1"/>
    <x v="0"/>
    <n v="74"/>
    <n v="3"/>
    <n v="1"/>
    <x v="2"/>
    <n v="4"/>
    <s v="Single"/>
    <x v="984"/>
    <n v="16458"/>
    <n v="1"/>
    <x v="1"/>
    <n v="13"/>
    <n v="3"/>
    <n v="3"/>
    <n v="0"/>
    <n v="12"/>
    <n v="3"/>
    <n v="3"/>
    <n v="12"/>
    <n v="9"/>
    <n v="5"/>
    <n v="8"/>
    <x v="0"/>
    <s v="Mid"/>
    <n v="6281.2528616024974"/>
    <s v="Below salary"/>
    <s v="Low Risk"/>
  </r>
  <r>
    <n v="44"/>
    <x v="1"/>
    <s v="Travel_Frequently"/>
    <n v="383"/>
    <x v="0"/>
    <n v="1"/>
    <n v="5"/>
    <s v="Marketing"/>
    <n v="1481"/>
    <n v="1"/>
    <x v="0"/>
    <n v="79"/>
    <n v="3"/>
    <n v="2"/>
    <x v="0"/>
    <n v="3"/>
    <s v="Married"/>
    <x v="985"/>
    <n v="9282"/>
    <n v="7"/>
    <x v="1"/>
    <n v="12"/>
    <n v="3"/>
    <n v="3"/>
    <n v="1"/>
    <n v="11"/>
    <n v="4"/>
    <n v="2"/>
    <n v="1"/>
    <n v="0"/>
    <n v="0"/>
    <n v="0"/>
    <x v="0"/>
    <s v="Mid"/>
    <n v="6959.17264573991"/>
    <s v="Below salary"/>
    <s v="Low Risk"/>
  </r>
  <r>
    <n v="30"/>
    <x v="1"/>
    <s v="Non-Travel"/>
    <n v="990"/>
    <x v="1"/>
    <n v="7"/>
    <n v="3"/>
    <s v="Technical Degree"/>
    <n v="1482"/>
    <n v="3"/>
    <x v="1"/>
    <n v="64"/>
    <n v="3"/>
    <n v="1"/>
    <x v="1"/>
    <n v="3"/>
    <s v="Divorced"/>
    <x v="986"/>
    <n v="7152"/>
    <n v="1"/>
    <x v="1"/>
    <n v="13"/>
    <n v="3"/>
    <n v="2"/>
    <n v="2"/>
    <n v="1"/>
    <n v="2"/>
    <n v="2"/>
    <n v="1"/>
    <n v="0"/>
    <n v="0"/>
    <n v="0"/>
    <x v="2"/>
    <s v="Low"/>
    <n v="6281.2528616024974"/>
    <s v="Below salary"/>
    <s v="Low Risk"/>
  </r>
  <r>
    <n v="57"/>
    <x v="1"/>
    <s v="Travel_Rarely"/>
    <n v="405"/>
    <x v="1"/>
    <n v="1"/>
    <n v="2"/>
    <s v="Life Sciences"/>
    <n v="1483"/>
    <n v="2"/>
    <x v="1"/>
    <n v="93"/>
    <n v="4"/>
    <n v="2"/>
    <x v="1"/>
    <n v="3"/>
    <s v="Married"/>
    <x v="987"/>
    <n v="2721"/>
    <n v="0"/>
    <x v="1"/>
    <n v="24"/>
    <n v="4"/>
    <n v="1"/>
    <n v="1"/>
    <n v="13"/>
    <n v="2"/>
    <n v="2"/>
    <n v="12"/>
    <n v="9"/>
    <n v="2"/>
    <n v="8"/>
    <x v="1"/>
    <s v="Mid"/>
    <n v="6281.2528616024974"/>
    <s v="Below salary"/>
    <s v="Low Risk"/>
  </r>
  <r>
    <n v="49"/>
    <x v="1"/>
    <s v="Travel_Rarely"/>
    <n v="1490"/>
    <x v="1"/>
    <n v="7"/>
    <n v="4"/>
    <s v="Life Sciences"/>
    <n v="1484"/>
    <n v="3"/>
    <x v="1"/>
    <n v="35"/>
    <n v="3"/>
    <n v="3"/>
    <x v="4"/>
    <n v="2"/>
    <s v="Divorced"/>
    <x v="988"/>
    <n v="20948"/>
    <n v="3"/>
    <x v="1"/>
    <n v="14"/>
    <n v="3"/>
    <n v="2"/>
    <n v="2"/>
    <n v="29"/>
    <n v="3"/>
    <n v="3"/>
    <n v="8"/>
    <n v="7"/>
    <n v="0"/>
    <n v="7"/>
    <x v="1"/>
    <s v="High"/>
    <n v="6281.2528616024974"/>
    <s v="Above salary"/>
    <s v="Medium Risk"/>
  </r>
  <r>
    <n v="34"/>
    <x v="1"/>
    <s v="Travel_Frequently"/>
    <n v="829"/>
    <x v="1"/>
    <n v="15"/>
    <n v="3"/>
    <s v="Medical"/>
    <n v="1485"/>
    <n v="2"/>
    <x v="1"/>
    <n v="71"/>
    <n v="3"/>
    <n v="4"/>
    <x v="7"/>
    <n v="1"/>
    <s v="Divorced"/>
    <x v="989"/>
    <n v="11929"/>
    <n v="7"/>
    <x v="1"/>
    <n v="14"/>
    <n v="3"/>
    <n v="4"/>
    <n v="2"/>
    <n v="16"/>
    <n v="3"/>
    <n v="2"/>
    <n v="14"/>
    <n v="8"/>
    <n v="6"/>
    <n v="9"/>
    <x v="2"/>
    <s v="Very High"/>
    <n v="6281.2528616024974"/>
    <s v="Above salary"/>
    <s v="Medium Risk"/>
  </r>
  <r>
    <n v="28"/>
    <x v="0"/>
    <s v="Travel_Frequently"/>
    <n v="1496"/>
    <x v="0"/>
    <n v="1"/>
    <n v="3"/>
    <s v="Technical Degree"/>
    <n v="1486"/>
    <n v="1"/>
    <x v="1"/>
    <n v="92"/>
    <n v="3"/>
    <n v="1"/>
    <x v="6"/>
    <n v="3"/>
    <s v="Married"/>
    <x v="3"/>
    <n v="15747"/>
    <n v="3"/>
    <x v="1"/>
    <n v="15"/>
    <n v="3"/>
    <n v="4"/>
    <n v="1"/>
    <n v="5"/>
    <n v="3"/>
    <n v="4"/>
    <n v="3"/>
    <n v="2"/>
    <n v="1"/>
    <n v="2"/>
    <x v="2"/>
    <s v="Low"/>
    <n v="6959.17264573991"/>
    <s v="Below salary"/>
    <s v="Low Risk"/>
  </r>
  <r>
    <n v="29"/>
    <x v="0"/>
    <s v="Travel_Frequently"/>
    <n v="115"/>
    <x v="0"/>
    <n v="13"/>
    <n v="3"/>
    <s v="Technical Degree"/>
    <n v="1487"/>
    <n v="1"/>
    <x v="0"/>
    <n v="51"/>
    <n v="3"/>
    <n v="2"/>
    <x v="0"/>
    <n v="2"/>
    <s v="Single"/>
    <x v="990"/>
    <n v="17485"/>
    <n v="5"/>
    <x v="1"/>
    <n v="11"/>
    <n v="3"/>
    <n v="1"/>
    <n v="0"/>
    <n v="7"/>
    <n v="4"/>
    <n v="1"/>
    <n v="5"/>
    <n v="3"/>
    <n v="0"/>
    <n v="0"/>
    <x v="2"/>
    <s v="Mid"/>
    <n v="6959.17264573991"/>
    <s v="Below salary"/>
    <s v="Medium Risk"/>
  </r>
  <r>
    <n v="34"/>
    <x v="0"/>
    <s v="Travel_Rarely"/>
    <n v="790"/>
    <x v="0"/>
    <n v="24"/>
    <n v="4"/>
    <s v="Medical"/>
    <n v="1489"/>
    <n v="1"/>
    <x v="0"/>
    <n v="40"/>
    <n v="2"/>
    <n v="2"/>
    <x v="0"/>
    <n v="2"/>
    <s v="Single"/>
    <x v="991"/>
    <n v="7815"/>
    <n v="0"/>
    <x v="0"/>
    <n v="23"/>
    <n v="4"/>
    <n v="3"/>
    <n v="0"/>
    <n v="16"/>
    <n v="2"/>
    <n v="4"/>
    <n v="15"/>
    <n v="9"/>
    <n v="10"/>
    <n v="10"/>
    <x v="2"/>
    <s v="Mid"/>
    <n v="6959.17264573991"/>
    <s v="Below salary"/>
    <s v="High Risk"/>
  </r>
  <r>
    <n v="35"/>
    <x v="1"/>
    <s v="Travel_Rarely"/>
    <n v="660"/>
    <x v="0"/>
    <n v="7"/>
    <n v="1"/>
    <s v="Life Sciences"/>
    <n v="1492"/>
    <n v="4"/>
    <x v="1"/>
    <n v="76"/>
    <n v="3"/>
    <n v="1"/>
    <x v="6"/>
    <n v="3"/>
    <s v="Married"/>
    <x v="639"/>
    <n v="16192"/>
    <n v="1"/>
    <x v="1"/>
    <n v="13"/>
    <n v="3"/>
    <n v="1"/>
    <n v="1"/>
    <n v="1"/>
    <n v="3"/>
    <n v="3"/>
    <n v="1"/>
    <n v="0"/>
    <n v="0"/>
    <n v="0"/>
    <x v="2"/>
    <s v="Low"/>
    <n v="6959.17264573991"/>
    <s v="Below salary"/>
    <s v="Low Risk"/>
  </r>
  <r>
    <n v="24"/>
    <x v="0"/>
    <s v="Travel_Frequently"/>
    <n v="381"/>
    <x v="1"/>
    <n v="9"/>
    <n v="3"/>
    <s v="Medical"/>
    <n v="1494"/>
    <n v="2"/>
    <x v="1"/>
    <n v="89"/>
    <n v="3"/>
    <n v="1"/>
    <x v="2"/>
    <n v="1"/>
    <s v="Single"/>
    <x v="992"/>
    <n v="16998"/>
    <n v="2"/>
    <x v="0"/>
    <n v="11"/>
    <n v="3"/>
    <n v="3"/>
    <n v="0"/>
    <n v="4"/>
    <n v="2"/>
    <n v="2"/>
    <n v="0"/>
    <n v="0"/>
    <n v="0"/>
    <n v="0"/>
    <x v="3"/>
    <s v="Mid"/>
    <n v="6281.2528616024974"/>
    <s v="Below salary"/>
    <s v="High Risk"/>
  </r>
  <r>
    <n v="24"/>
    <x v="1"/>
    <s v="Non-Travel"/>
    <n v="830"/>
    <x v="0"/>
    <n v="13"/>
    <n v="2"/>
    <s v="Life Sciences"/>
    <n v="1495"/>
    <n v="4"/>
    <x v="0"/>
    <n v="78"/>
    <n v="3"/>
    <n v="1"/>
    <x v="6"/>
    <n v="2"/>
    <s v="Married"/>
    <x v="462"/>
    <n v="7103"/>
    <n v="1"/>
    <x v="1"/>
    <n v="13"/>
    <n v="3"/>
    <n v="3"/>
    <n v="1"/>
    <n v="1"/>
    <n v="2"/>
    <n v="3"/>
    <n v="1"/>
    <n v="0"/>
    <n v="0"/>
    <n v="0"/>
    <x v="3"/>
    <s v="Low"/>
    <n v="6959.17264573991"/>
    <s v="Below salary"/>
    <s v="Medium Risk"/>
  </r>
  <r>
    <n v="44"/>
    <x v="1"/>
    <s v="Travel_Frequently"/>
    <n v="1193"/>
    <x v="1"/>
    <n v="2"/>
    <n v="1"/>
    <s v="Medical"/>
    <n v="1496"/>
    <n v="2"/>
    <x v="1"/>
    <n v="86"/>
    <n v="3"/>
    <n v="3"/>
    <x v="3"/>
    <n v="3"/>
    <s v="Single"/>
    <x v="993"/>
    <n v="19719"/>
    <n v="5"/>
    <x v="0"/>
    <n v="18"/>
    <n v="3"/>
    <n v="2"/>
    <n v="0"/>
    <n v="16"/>
    <n v="2"/>
    <n v="2"/>
    <n v="2"/>
    <n v="2"/>
    <n v="2"/>
    <n v="2"/>
    <x v="0"/>
    <s v="High"/>
    <n v="6281.2528616024974"/>
    <s v="Above salary"/>
    <s v="Medium Risk"/>
  </r>
  <r>
    <n v="29"/>
    <x v="1"/>
    <s v="Travel_Rarely"/>
    <n v="1246"/>
    <x v="0"/>
    <n v="19"/>
    <n v="3"/>
    <s v="Life Sciences"/>
    <n v="1497"/>
    <n v="3"/>
    <x v="1"/>
    <n v="77"/>
    <n v="2"/>
    <n v="2"/>
    <x v="0"/>
    <n v="3"/>
    <s v="Divorced"/>
    <x v="994"/>
    <n v="23757"/>
    <n v="1"/>
    <x v="1"/>
    <n v="14"/>
    <n v="3"/>
    <n v="3"/>
    <n v="2"/>
    <n v="10"/>
    <n v="3"/>
    <n v="3"/>
    <n v="10"/>
    <n v="7"/>
    <n v="0"/>
    <n v="4"/>
    <x v="2"/>
    <s v="High"/>
    <n v="6959.17264573991"/>
    <s v="Above salary"/>
    <s v="Low Risk"/>
  </r>
  <r>
    <n v="30"/>
    <x v="1"/>
    <s v="Travel_Rarely"/>
    <n v="330"/>
    <x v="2"/>
    <n v="1"/>
    <n v="3"/>
    <s v="Life Sciences"/>
    <n v="1499"/>
    <n v="3"/>
    <x v="1"/>
    <n v="46"/>
    <n v="3"/>
    <n v="1"/>
    <x v="8"/>
    <n v="3"/>
    <s v="Divorced"/>
    <x v="995"/>
    <n v="15428"/>
    <n v="0"/>
    <x v="1"/>
    <n v="21"/>
    <n v="4"/>
    <n v="1"/>
    <n v="1"/>
    <n v="6"/>
    <n v="3"/>
    <n v="4"/>
    <n v="5"/>
    <n v="3"/>
    <n v="1"/>
    <n v="3"/>
    <x v="2"/>
    <s v="Low"/>
    <n v="6654.5079365079364"/>
    <s v="Below salary"/>
    <s v="Low Risk"/>
  </r>
  <r>
    <n v="55"/>
    <x v="1"/>
    <s v="Travel_Rarely"/>
    <n v="1229"/>
    <x v="1"/>
    <n v="4"/>
    <n v="4"/>
    <s v="Life Sciences"/>
    <n v="1501"/>
    <n v="4"/>
    <x v="1"/>
    <n v="30"/>
    <n v="3"/>
    <n v="2"/>
    <x v="4"/>
    <n v="3"/>
    <s v="Married"/>
    <x v="996"/>
    <n v="16143"/>
    <n v="0"/>
    <x v="0"/>
    <n v="16"/>
    <n v="3"/>
    <n v="2"/>
    <n v="0"/>
    <n v="4"/>
    <n v="2"/>
    <n v="3"/>
    <n v="3"/>
    <n v="2"/>
    <n v="1"/>
    <n v="2"/>
    <x v="1"/>
    <s v="Mid"/>
    <n v="6281.2528616024974"/>
    <s v="Below salary"/>
    <s v="Medium Risk"/>
  </r>
  <r>
    <n v="33"/>
    <x v="1"/>
    <s v="Travel_Rarely"/>
    <n v="1099"/>
    <x v="1"/>
    <n v="4"/>
    <n v="4"/>
    <s v="Medical"/>
    <n v="1502"/>
    <n v="1"/>
    <x v="0"/>
    <n v="82"/>
    <n v="2"/>
    <n v="1"/>
    <x v="2"/>
    <n v="2"/>
    <s v="Married"/>
    <x v="997"/>
    <n v="8192"/>
    <n v="8"/>
    <x v="1"/>
    <n v="11"/>
    <n v="3"/>
    <n v="4"/>
    <n v="0"/>
    <n v="8"/>
    <n v="5"/>
    <n v="3"/>
    <n v="5"/>
    <n v="4"/>
    <n v="0"/>
    <n v="2"/>
    <x v="2"/>
    <s v="Mid"/>
    <n v="6281.2528616024974"/>
    <s v="Below salary"/>
    <s v="Medium Risk"/>
  </r>
  <r>
    <n v="47"/>
    <x v="1"/>
    <s v="Travel_Rarely"/>
    <n v="571"/>
    <x v="0"/>
    <n v="14"/>
    <n v="3"/>
    <s v="Medical"/>
    <n v="1503"/>
    <n v="3"/>
    <x v="0"/>
    <n v="78"/>
    <n v="3"/>
    <n v="2"/>
    <x v="0"/>
    <n v="3"/>
    <s v="Married"/>
    <x v="998"/>
    <n v="24200"/>
    <n v="3"/>
    <x v="0"/>
    <n v="17"/>
    <n v="3"/>
    <n v="3"/>
    <n v="1"/>
    <n v="11"/>
    <n v="4"/>
    <n v="2"/>
    <n v="5"/>
    <n v="4"/>
    <n v="1"/>
    <n v="2"/>
    <x v="1"/>
    <s v="Mid"/>
    <n v="6959.17264573991"/>
    <s v="Below salary"/>
    <s v="Medium Risk"/>
  </r>
  <r>
    <n v="28"/>
    <x v="0"/>
    <s v="Travel_Frequently"/>
    <n v="289"/>
    <x v="1"/>
    <n v="2"/>
    <n v="2"/>
    <s v="Medical"/>
    <n v="1504"/>
    <n v="3"/>
    <x v="1"/>
    <n v="38"/>
    <n v="2"/>
    <n v="1"/>
    <x v="2"/>
    <n v="1"/>
    <s v="Single"/>
    <x v="999"/>
    <n v="5355"/>
    <n v="7"/>
    <x v="1"/>
    <n v="11"/>
    <n v="3"/>
    <n v="3"/>
    <n v="0"/>
    <n v="8"/>
    <n v="2"/>
    <n v="2"/>
    <n v="0"/>
    <n v="0"/>
    <n v="0"/>
    <n v="0"/>
    <x v="2"/>
    <s v="Low"/>
    <n v="6281.2528616024974"/>
    <s v="Below salary"/>
    <s v="Medium Risk"/>
  </r>
  <r>
    <n v="28"/>
    <x v="1"/>
    <s v="Travel_Rarely"/>
    <n v="1423"/>
    <x v="1"/>
    <n v="1"/>
    <n v="3"/>
    <s v="Life Sciences"/>
    <n v="1506"/>
    <n v="1"/>
    <x v="1"/>
    <n v="72"/>
    <n v="2"/>
    <n v="1"/>
    <x v="1"/>
    <n v="3"/>
    <s v="Divorced"/>
    <x v="1000"/>
    <n v="12530"/>
    <n v="1"/>
    <x v="1"/>
    <n v="14"/>
    <n v="3"/>
    <n v="4"/>
    <n v="1"/>
    <n v="1"/>
    <n v="2"/>
    <n v="1"/>
    <n v="1"/>
    <n v="0"/>
    <n v="0"/>
    <n v="0"/>
    <x v="2"/>
    <s v="Low"/>
    <n v="6281.2528616024974"/>
    <s v="Below salary"/>
    <s v="Low Risk"/>
  </r>
  <r>
    <n v="28"/>
    <x v="1"/>
    <s v="Travel_Frequently"/>
    <n v="467"/>
    <x v="0"/>
    <n v="7"/>
    <n v="3"/>
    <s v="Life Sciences"/>
    <n v="1507"/>
    <n v="3"/>
    <x v="1"/>
    <n v="55"/>
    <n v="3"/>
    <n v="2"/>
    <x v="0"/>
    <n v="1"/>
    <s v="Single"/>
    <x v="249"/>
    <n v="11827"/>
    <n v="0"/>
    <x v="1"/>
    <n v="14"/>
    <n v="3"/>
    <n v="4"/>
    <n v="0"/>
    <n v="5"/>
    <n v="5"/>
    <n v="3"/>
    <n v="4"/>
    <n v="2"/>
    <n v="1"/>
    <n v="3"/>
    <x v="2"/>
    <s v="Mid"/>
    <n v="6959.17264573991"/>
    <s v="Below salary"/>
    <s v="Medium Risk"/>
  </r>
  <r>
    <n v="49"/>
    <x v="1"/>
    <s v="Travel_Rarely"/>
    <n v="271"/>
    <x v="1"/>
    <n v="3"/>
    <n v="2"/>
    <s v="Medical"/>
    <n v="1509"/>
    <n v="3"/>
    <x v="0"/>
    <n v="43"/>
    <n v="2"/>
    <n v="2"/>
    <x v="2"/>
    <n v="1"/>
    <s v="Married"/>
    <x v="1001"/>
    <n v="23070"/>
    <n v="4"/>
    <x v="1"/>
    <n v="25"/>
    <n v="4"/>
    <n v="1"/>
    <n v="1"/>
    <n v="10"/>
    <n v="3"/>
    <n v="3"/>
    <n v="3"/>
    <n v="2"/>
    <n v="1"/>
    <n v="2"/>
    <x v="1"/>
    <s v="Mid"/>
    <n v="6281.2528616024974"/>
    <s v="Below salary"/>
    <s v="Medium Risk"/>
  </r>
  <r>
    <n v="29"/>
    <x v="1"/>
    <s v="Travel_Frequently"/>
    <n v="410"/>
    <x v="1"/>
    <n v="2"/>
    <n v="1"/>
    <s v="Life Sciences"/>
    <n v="1513"/>
    <n v="4"/>
    <x v="0"/>
    <n v="97"/>
    <n v="3"/>
    <n v="1"/>
    <x v="2"/>
    <n v="2"/>
    <s v="Married"/>
    <x v="1002"/>
    <n v="4668"/>
    <n v="0"/>
    <x v="1"/>
    <n v="13"/>
    <n v="3"/>
    <n v="3"/>
    <n v="3"/>
    <n v="4"/>
    <n v="3"/>
    <n v="3"/>
    <n v="3"/>
    <n v="2"/>
    <n v="0"/>
    <n v="2"/>
    <x v="2"/>
    <s v="Mid"/>
    <n v="6281.2528616024974"/>
    <s v="Below salary"/>
    <s v="Medium Risk"/>
  </r>
  <r>
    <n v="28"/>
    <x v="1"/>
    <s v="Travel_Rarely"/>
    <n v="1083"/>
    <x v="1"/>
    <n v="29"/>
    <n v="1"/>
    <s v="Life Sciences"/>
    <n v="1514"/>
    <n v="3"/>
    <x v="1"/>
    <n v="96"/>
    <n v="1"/>
    <n v="2"/>
    <x v="3"/>
    <n v="2"/>
    <s v="Married"/>
    <x v="1003"/>
    <n v="3173"/>
    <n v="1"/>
    <x v="1"/>
    <n v="14"/>
    <n v="3"/>
    <n v="2"/>
    <n v="2"/>
    <n v="8"/>
    <n v="2"/>
    <n v="2"/>
    <n v="8"/>
    <n v="6"/>
    <n v="1"/>
    <n v="7"/>
    <x v="2"/>
    <s v="Mid"/>
    <n v="6281.2528616024974"/>
    <s v="Above salary"/>
    <s v="Medium Risk"/>
  </r>
  <r>
    <n v="33"/>
    <x v="1"/>
    <s v="Travel_Rarely"/>
    <n v="516"/>
    <x v="1"/>
    <n v="8"/>
    <n v="5"/>
    <s v="Life Sciences"/>
    <n v="1515"/>
    <n v="4"/>
    <x v="1"/>
    <n v="69"/>
    <n v="3"/>
    <n v="2"/>
    <x v="4"/>
    <n v="3"/>
    <s v="Single"/>
    <x v="1004"/>
    <n v="22049"/>
    <n v="2"/>
    <x v="0"/>
    <n v="17"/>
    <n v="3"/>
    <n v="1"/>
    <n v="0"/>
    <n v="14"/>
    <n v="6"/>
    <n v="3"/>
    <n v="0"/>
    <n v="0"/>
    <n v="0"/>
    <n v="0"/>
    <x v="2"/>
    <s v="Mid"/>
    <n v="6281.2528616024974"/>
    <s v="Above salary"/>
    <s v="Medium Risk"/>
  </r>
  <r>
    <n v="32"/>
    <x v="1"/>
    <s v="Travel_Rarely"/>
    <n v="495"/>
    <x v="1"/>
    <n v="10"/>
    <n v="3"/>
    <s v="Medical"/>
    <n v="1516"/>
    <n v="3"/>
    <x v="1"/>
    <n v="64"/>
    <n v="3"/>
    <n v="3"/>
    <x v="5"/>
    <n v="4"/>
    <s v="Single"/>
    <x v="1005"/>
    <n v="21072"/>
    <n v="2"/>
    <x v="1"/>
    <n v="25"/>
    <n v="4"/>
    <n v="2"/>
    <n v="0"/>
    <n v="10"/>
    <n v="5"/>
    <n v="4"/>
    <n v="5"/>
    <n v="2"/>
    <n v="0"/>
    <n v="0"/>
    <x v="2"/>
    <s v="High"/>
    <n v="6281.2528616024974"/>
    <s v="Above salary"/>
    <s v="Low Risk"/>
  </r>
  <r>
    <n v="54"/>
    <x v="1"/>
    <s v="Travel_Frequently"/>
    <n v="1050"/>
    <x v="1"/>
    <n v="11"/>
    <n v="4"/>
    <s v="Medical"/>
    <n v="1520"/>
    <n v="2"/>
    <x v="0"/>
    <n v="87"/>
    <n v="3"/>
    <n v="4"/>
    <x v="5"/>
    <n v="4"/>
    <s v="Divorced"/>
    <x v="1006"/>
    <n v="24456"/>
    <n v="3"/>
    <x v="1"/>
    <n v="20"/>
    <n v="4"/>
    <n v="1"/>
    <n v="1"/>
    <n v="26"/>
    <n v="2"/>
    <n v="3"/>
    <n v="14"/>
    <n v="9"/>
    <n v="1"/>
    <n v="12"/>
    <x v="1"/>
    <s v="Very High"/>
    <n v="6281.2528616024974"/>
    <s v="Above salary"/>
    <s v="Low Risk"/>
  </r>
  <r>
    <n v="29"/>
    <x v="0"/>
    <s v="Travel_Rarely"/>
    <n v="224"/>
    <x v="1"/>
    <n v="1"/>
    <n v="4"/>
    <s v="Technical Degree"/>
    <n v="1522"/>
    <n v="1"/>
    <x v="1"/>
    <n v="100"/>
    <n v="2"/>
    <n v="1"/>
    <x v="1"/>
    <n v="1"/>
    <s v="Single"/>
    <x v="898"/>
    <n v="7568"/>
    <n v="6"/>
    <x v="1"/>
    <n v="13"/>
    <n v="3"/>
    <n v="3"/>
    <n v="0"/>
    <n v="11"/>
    <n v="2"/>
    <n v="1"/>
    <n v="9"/>
    <n v="7"/>
    <n v="0"/>
    <n v="7"/>
    <x v="2"/>
    <s v="Low"/>
    <n v="6281.2528616024974"/>
    <s v="Below salary"/>
    <s v="Medium Risk"/>
  </r>
  <r>
    <n v="44"/>
    <x v="1"/>
    <s v="Travel_Rarely"/>
    <n v="136"/>
    <x v="1"/>
    <n v="28"/>
    <n v="3"/>
    <s v="Life Sciences"/>
    <n v="1523"/>
    <n v="4"/>
    <x v="1"/>
    <n v="32"/>
    <n v="3"/>
    <n v="4"/>
    <x v="7"/>
    <n v="1"/>
    <s v="Married"/>
    <x v="1007"/>
    <n v="22074"/>
    <n v="3"/>
    <x v="1"/>
    <n v="13"/>
    <n v="3"/>
    <n v="3"/>
    <n v="1"/>
    <n v="24"/>
    <n v="1"/>
    <n v="4"/>
    <n v="20"/>
    <n v="6"/>
    <n v="14"/>
    <n v="17"/>
    <x v="0"/>
    <s v="Very High"/>
    <n v="6281.2528616024974"/>
    <s v="Above salary"/>
    <s v="Medium Risk"/>
  </r>
  <r>
    <n v="39"/>
    <x v="1"/>
    <s v="Travel_Rarely"/>
    <n v="1089"/>
    <x v="1"/>
    <n v="6"/>
    <n v="3"/>
    <s v="Life Sciences"/>
    <n v="1525"/>
    <n v="2"/>
    <x v="0"/>
    <n v="32"/>
    <n v="3"/>
    <n v="3"/>
    <x v="3"/>
    <n v="2"/>
    <s v="Single"/>
    <x v="1008"/>
    <n v="9150"/>
    <n v="4"/>
    <x v="1"/>
    <n v="18"/>
    <n v="3"/>
    <n v="4"/>
    <n v="0"/>
    <n v="9"/>
    <n v="3"/>
    <n v="3"/>
    <n v="2"/>
    <n v="0"/>
    <n v="2"/>
    <n v="2"/>
    <x v="0"/>
    <s v="High"/>
    <n v="6281.2528616024974"/>
    <s v="Above salary"/>
    <s v="Medium Risk"/>
  </r>
  <r>
    <n v="46"/>
    <x v="1"/>
    <s v="Travel_Rarely"/>
    <n v="228"/>
    <x v="0"/>
    <n v="3"/>
    <n v="3"/>
    <s v="Life Sciences"/>
    <n v="1527"/>
    <n v="3"/>
    <x v="0"/>
    <n v="51"/>
    <n v="3"/>
    <n v="4"/>
    <x v="5"/>
    <n v="2"/>
    <s v="Married"/>
    <x v="1009"/>
    <n v="11380"/>
    <n v="8"/>
    <x v="1"/>
    <n v="12"/>
    <n v="3"/>
    <n v="4"/>
    <n v="1"/>
    <n v="23"/>
    <n v="2"/>
    <n v="4"/>
    <n v="13"/>
    <n v="12"/>
    <n v="5"/>
    <n v="1"/>
    <x v="1"/>
    <s v="Very High"/>
    <n v="6959.17264573991"/>
    <s v="Above salary"/>
    <s v="Medium Risk"/>
  </r>
  <r>
    <n v="35"/>
    <x v="1"/>
    <s v="Travel_Rarely"/>
    <n v="1029"/>
    <x v="1"/>
    <n v="16"/>
    <n v="3"/>
    <s v="Life Sciences"/>
    <n v="1529"/>
    <n v="4"/>
    <x v="0"/>
    <n v="91"/>
    <n v="2"/>
    <n v="3"/>
    <x v="4"/>
    <n v="2"/>
    <s v="Single"/>
    <x v="1010"/>
    <n v="21195"/>
    <n v="1"/>
    <x v="1"/>
    <n v="19"/>
    <n v="3"/>
    <n v="4"/>
    <n v="0"/>
    <n v="11"/>
    <n v="3"/>
    <n v="1"/>
    <n v="11"/>
    <n v="8"/>
    <n v="3"/>
    <n v="3"/>
    <x v="2"/>
    <s v="High"/>
    <n v="6281.2528616024974"/>
    <s v="Above salary"/>
    <s v="Medium Risk"/>
  </r>
  <r>
    <n v="23"/>
    <x v="1"/>
    <s v="Travel_Rarely"/>
    <n v="507"/>
    <x v="1"/>
    <n v="20"/>
    <n v="1"/>
    <s v="Life Sciences"/>
    <n v="1533"/>
    <n v="1"/>
    <x v="1"/>
    <n v="97"/>
    <n v="3"/>
    <n v="2"/>
    <x v="2"/>
    <n v="3"/>
    <s v="Single"/>
    <x v="1011"/>
    <n v="24812"/>
    <n v="0"/>
    <x v="1"/>
    <n v="14"/>
    <n v="3"/>
    <n v="2"/>
    <n v="0"/>
    <n v="5"/>
    <n v="2"/>
    <n v="3"/>
    <n v="4"/>
    <n v="3"/>
    <n v="1"/>
    <n v="2"/>
    <x v="3"/>
    <s v="Low"/>
    <n v="6281.2528616024974"/>
    <s v="Below salary"/>
    <s v="Low Risk"/>
  </r>
  <r>
    <n v="40"/>
    <x v="0"/>
    <s v="Travel_Rarely"/>
    <n v="676"/>
    <x v="1"/>
    <n v="9"/>
    <n v="4"/>
    <s v="Life Sciences"/>
    <n v="1534"/>
    <n v="4"/>
    <x v="1"/>
    <n v="86"/>
    <n v="3"/>
    <n v="1"/>
    <x v="2"/>
    <n v="1"/>
    <s v="Single"/>
    <x v="1012"/>
    <n v="21831"/>
    <n v="3"/>
    <x v="1"/>
    <n v="14"/>
    <n v="3"/>
    <n v="2"/>
    <n v="0"/>
    <n v="15"/>
    <n v="3"/>
    <n v="1"/>
    <n v="5"/>
    <n v="4"/>
    <n v="1"/>
    <n v="0"/>
    <x v="0"/>
    <s v="Low"/>
    <n v="6281.2528616024974"/>
    <s v="Below salary"/>
    <s v="Medium Risk"/>
  </r>
  <r>
    <n v="34"/>
    <x v="1"/>
    <s v="Travel_Rarely"/>
    <n v="971"/>
    <x v="0"/>
    <n v="1"/>
    <n v="3"/>
    <s v="Technical Degree"/>
    <n v="1535"/>
    <n v="4"/>
    <x v="1"/>
    <n v="64"/>
    <n v="2"/>
    <n v="3"/>
    <x v="0"/>
    <n v="3"/>
    <s v="Married"/>
    <x v="1013"/>
    <n v="12288"/>
    <n v="1"/>
    <x v="0"/>
    <n v="14"/>
    <n v="3"/>
    <n v="4"/>
    <n v="0"/>
    <n v="10"/>
    <n v="3"/>
    <n v="3"/>
    <n v="10"/>
    <n v="9"/>
    <n v="8"/>
    <n v="6"/>
    <x v="2"/>
    <s v="High"/>
    <n v="6959.17264573991"/>
    <s v="Above salary"/>
    <s v="Medium Risk"/>
  </r>
  <r>
    <n v="31"/>
    <x v="0"/>
    <s v="Travel_Frequently"/>
    <n v="561"/>
    <x v="1"/>
    <n v="3"/>
    <n v="3"/>
    <s v="Life Sciences"/>
    <n v="1537"/>
    <n v="4"/>
    <x v="0"/>
    <n v="33"/>
    <n v="3"/>
    <n v="1"/>
    <x v="1"/>
    <n v="3"/>
    <s v="Single"/>
    <x v="1014"/>
    <n v="4156"/>
    <n v="1"/>
    <x v="1"/>
    <n v="12"/>
    <n v="3"/>
    <n v="1"/>
    <n v="0"/>
    <n v="7"/>
    <n v="2"/>
    <n v="1"/>
    <n v="7"/>
    <n v="2"/>
    <n v="7"/>
    <n v="7"/>
    <x v="2"/>
    <s v="Mid"/>
    <n v="6281.2528616024974"/>
    <s v="Below salary"/>
    <s v="Low Risk"/>
  </r>
  <r>
    <n v="50"/>
    <x v="1"/>
    <s v="Travel_Frequently"/>
    <n v="333"/>
    <x v="1"/>
    <n v="22"/>
    <n v="5"/>
    <s v="Medical"/>
    <n v="1539"/>
    <n v="3"/>
    <x v="1"/>
    <n v="88"/>
    <n v="1"/>
    <n v="4"/>
    <x v="7"/>
    <n v="4"/>
    <s v="Single"/>
    <x v="1015"/>
    <n v="24450"/>
    <n v="1"/>
    <x v="0"/>
    <n v="13"/>
    <n v="3"/>
    <n v="4"/>
    <n v="0"/>
    <n v="32"/>
    <n v="2"/>
    <n v="3"/>
    <n v="32"/>
    <n v="6"/>
    <n v="13"/>
    <n v="9"/>
    <x v="1"/>
    <s v="Very High"/>
    <n v="6281.2528616024974"/>
    <s v="Above salary"/>
    <s v="Medium Risk"/>
  </r>
  <r>
    <n v="34"/>
    <x v="1"/>
    <s v="Travel_Rarely"/>
    <n v="1440"/>
    <x v="0"/>
    <n v="7"/>
    <n v="2"/>
    <s v="Technical Degree"/>
    <n v="1541"/>
    <n v="2"/>
    <x v="1"/>
    <n v="55"/>
    <n v="3"/>
    <n v="1"/>
    <x v="6"/>
    <n v="3"/>
    <s v="Married"/>
    <x v="1016"/>
    <n v="4944"/>
    <n v="0"/>
    <x v="0"/>
    <n v="25"/>
    <n v="4"/>
    <n v="2"/>
    <n v="1"/>
    <n v="12"/>
    <n v="4"/>
    <n v="3"/>
    <n v="11"/>
    <n v="10"/>
    <n v="5"/>
    <n v="7"/>
    <x v="2"/>
    <s v="Low"/>
    <n v="6959.17264573991"/>
    <s v="Below salary"/>
    <s v="Medium Risk"/>
  </r>
  <r>
    <n v="42"/>
    <x v="1"/>
    <s v="Travel_Rarely"/>
    <n v="1210"/>
    <x v="1"/>
    <n v="2"/>
    <n v="3"/>
    <s v="Medical"/>
    <n v="1542"/>
    <n v="3"/>
    <x v="1"/>
    <n v="68"/>
    <n v="2"/>
    <n v="1"/>
    <x v="2"/>
    <n v="2"/>
    <s v="Married"/>
    <x v="1017"/>
    <n v="24052"/>
    <n v="4"/>
    <x v="1"/>
    <n v="14"/>
    <n v="3"/>
    <n v="2"/>
    <n v="1"/>
    <n v="4"/>
    <n v="3"/>
    <n v="3"/>
    <n v="1"/>
    <n v="0"/>
    <n v="0"/>
    <n v="0"/>
    <x v="0"/>
    <s v="Mid"/>
    <n v="6281.2528616024974"/>
    <s v="Below salary"/>
    <s v="Medium Risk"/>
  </r>
  <r>
    <n v="37"/>
    <x v="1"/>
    <s v="Travel_Rarely"/>
    <n v="674"/>
    <x v="1"/>
    <n v="13"/>
    <n v="3"/>
    <s v="Medical"/>
    <n v="1543"/>
    <n v="1"/>
    <x v="1"/>
    <n v="47"/>
    <n v="3"/>
    <n v="2"/>
    <x v="1"/>
    <n v="4"/>
    <s v="Married"/>
    <x v="1018"/>
    <n v="3031"/>
    <n v="1"/>
    <x v="1"/>
    <n v="17"/>
    <n v="3"/>
    <n v="1"/>
    <n v="0"/>
    <n v="10"/>
    <n v="2"/>
    <n v="3"/>
    <n v="10"/>
    <n v="8"/>
    <n v="3"/>
    <n v="7"/>
    <x v="0"/>
    <s v="Mid"/>
    <n v="6281.2528616024974"/>
    <s v="Below salary"/>
    <s v="Low Risk"/>
  </r>
  <r>
    <n v="29"/>
    <x v="1"/>
    <s v="Travel_Rarely"/>
    <n v="441"/>
    <x v="1"/>
    <n v="8"/>
    <n v="1"/>
    <s v="Other"/>
    <n v="1544"/>
    <n v="3"/>
    <x v="0"/>
    <n v="39"/>
    <n v="1"/>
    <n v="2"/>
    <x v="4"/>
    <n v="1"/>
    <s v="Married"/>
    <x v="1019"/>
    <n v="7288"/>
    <n v="3"/>
    <x v="1"/>
    <n v="13"/>
    <n v="3"/>
    <n v="3"/>
    <n v="1"/>
    <n v="9"/>
    <n v="3"/>
    <n v="3"/>
    <n v="7"/>
    <n v="7"/>
    <n v="0"/>
    <n v="7"/>
    <x v="2"/>
    <s v="High"/>
    <n v="6281.2528616024974"/>
    <s v="Above salary"/>
    <s v="Medium Risk"/>
  </r>
  <r>
    <n v="33"/>
    <x v="1"/>
    <s v="Travel_Rarely"/>
    <n v="575"/>
    <x v="1"/>
    <n v="25"/>
    <n v="3"/>
    <s v="Life Sciences"/>
    <n v="1545"/>
    <n v="4"/>
    <x v="1"/>
    <n v="44"/>
    <n v="2"/>
    <n v="2"/>
    <x v="3"/>
    <n v="2"/>
    <s v="Single"/>
    <x v="1020"/>
    <n v="24152"/>
    <n v="1"/>
    <x v="1"/>
    <n v="13"/>
    <n v="3"/>
    <n v="4"/>
    <n v="0"/>
    <n v="5"/>
    <n v="2"/>
    <n v="3"/>
    <n v="5"/>
    <n v="3"/>
    <n v="0"/>
    <n v="2"/>
    <x v="2"/>
    <s v="Mid"/>
    <n v="6281.2528616024974"/>
    <s v="Below salary"/>
    <s v="Medium Risk"/>
  </r>
  <r>
    <n v="45"/>
    <x v="1"/>
    <s v="Travel_Rarely"/>
    <n v="950"/>
    <x v="1"/>
    <n v="28"/>
    <n v="3"/>
    <s v="Technical Degree"/>
    <n v="1546"/>
    <n v="4"/>
    <x v="1"/>
    <n v="97"/>
    <n v="3"/>
    <n v="1"/>
    <x v="1"/>
    <n v="4"/>
    <s v="Married"/>
    <x v="685"/>
    <n v="4585"/>
    <n v="4"/>
    <x v="1"/>
    <n v="20"/>
    <n v="4"/>
    <n v="4"/>
    <n v="1"/>
    <n v="8"/>
    <n v="3"/>
    <n v="3"/>
    <n v="5"/>
    <n v="4"/>
    <n v="0"/>
    <n v="3"/>
    <x v="0"/>
    <s v="Low"/>
    <n v="6281.2528616024974"/>
    <s v="Below salary"/>
    <s v="Low Risk"/>
  </r>
  <r>
    <n v="42"/>
    <x v="1"/>
    <s v="Travel_Frequently"/>
    <n v="288"/>
    <x v="1"/>
    <n v="2"/>
    <n v="3"/>
    <s v="Life Sciences"/>
    <n v="1547"/>
    <n v="4"/>
    <x v="1"/>
    <n v="40"/>
    <n v="3"/>
    <n v="3"/>
    <x v="4"/>
    <n v="4"/>
    <s v="Married"/>
    <x v="1021"/>
    <n v="18611"/>
    <n v="2"/>
    <x v="0"/>
    <n v="14"/>
    <n v="3"/>
    <n v="3"/>
    <n v="1"/>
    <n v="24"/>
    <n v="3"/>
    <n v="1"/>
    <n v="20"/>
    <n v="8"/>
    <n v="13"/>
    <n v="9"/>
    <x v="0"/>
    <s v="High"/>
    <n v="6281.2528616024974"/>
    <s v="Above salary"/>
    <s v="Medium Risk"/>
  </r>
  <r>
    <n v="40"/>
    <x v="1"/>
    <s v="Travel_Rarely"/>
    <n v="1342"/>
    <x v="0"/>
    <n v="9"/>
    <n v="2"/>
    <s v="Medical"/>
    <n v="1548"/>
    <n v="1"/>
    <x v="1"/>
    <n v="47"/>
    <n v="3"/>
    <n v="2"/>
    <x v="0"/>
    <n v="1"/>
    <s v="Married"/>
    <x v="67"/>
    <n v="19345"/>
    <n v="0"/>
    <x v="1"/>
    <n v="12"/>
    <n v="3"/>
    <n v="4"/>
    <n v="0"/>
    <n v="9"/>
    <n v="5"/>
    <n v="4"/>
    <n v="8"/>
    <n v="4"/>
    <n v="7"/>
    <n v="1"/>
    <x v="0"/>
    <s v="Mid"/>
    <n v="6959.17264573991"/>
    <s v="Below salary"/>
    <s v="Medium Risk"/>
  </r>
  <r>
    <n v="33"/>
    <x v="1"/>
    <s v="Travel_Rarely"/>
    <n v="589"/>
    <x v="1"/>
    <n v="28"/>
    <n v="4"/>
    <s v="Life Sciences"/>
    <n v="1549"/>
    <n v="2"/>
    <x v="1"/>
    <n v="79"/>
    <n v="3"/>
    <n v="2"/>
    <x v="2"/>
    <n v="3"/>
    <s v="Married"/>
    <x v="1022"/>
    <n v="22949"/>
    <n v="1"/>
    <x v="0"/>
    <n v="12"/>
    <n v="3"/>
    <n v="2"/>
    <n v="1"/>
    <n v="15"/>
    <n v="3"/>
    <n v="3"/>
    <n v="15"/>
    <n v="14"/>
    <n v="5"/>
    <n v="7"/>
    <x v="2"/>
    <s v="Mid"/>
    <n v="6281.2528616024974"/>
    <s v="Below salary"/>
    <s v="Medium Risk"/>
  </r>
  <r>
    <n v="40"/>
    <x v="1"/>
    <s v="Travel_Rarely"/>
    <n v="898"/>
    <x v="2"/>
    <n v="6"/>
    <n v="2"/>
    <s v="Medical"/>
    <n v="1550"/>
    <n v="3"/>
    <x v="1"/>
    <n v="38"/>
    <n v="3"/>
    <n v="4"/>
    <x v="5"/>
    <n v="4"/>
    <s v="Single"/>
    <x v="1023"/>
    <n v="17381"/>
    <n v="1"/>
    <x v="0"/>
    <n v="21"/>
    <n v="4"/>
    <n v="4"/>
    <n v="0"/>
    <n v="21"/>
    <n v="2"/>
    <n v="3"/>
    <n v="21"/>
    <n v="7"/>
    <n v="7"/>
    <n v="7"/>
    <x v="0"/>
    <s v="Very High"/>
    <n v="6654.5079365079364"/>
    <s v="Above salary"/>
    <s v="Medium Risk"/>
  </r>
  <r>
    <n v="24"/>
    <x v="1"/>
    <s v="Travel_Rarely"/>
    <n v="350"/>
    <x v="1"/>
    <n v="21"/>
    <n v="2"/>
    <s v="Technical Degree"/>
    <n v="1551"/>
    <n v="3"/>
    <x v="1"/>
    <n v="57"/>
    <n v="2"/>
    <n v="1"/>
    <x v="2"/>
    <n v="1"/>
    <s v="Divorced"/>
    <x v="1024"/>
    <n v="10036"/>
    <n v="0"/>
    <x v="1"/>
    <n v="14"/>
    <n v="3"/>
    <n v="2"/>
    <n v="3"/>
    <n v="2"/>
    <n v="3"/>
    <n v="3"/>
    <n v="1"/>
    <n v="1"/>
    <n v="0"/>
    <n v="0"/>
    <x v="3"/>
    <s v="Low"/>
    <n v="6281.2528616024974"/>
    <s v="Below salary"/>
    <s v="Medium Risk"/>
  </r>
  <r>
    <n v="40"/>
    <x v="1"/>
    <s v="Non-Travel"/>
    <n v="1142"/>
    <x v="1"/>
    <n v="8"/>
    <n v="2"/>
    <s v="Life Sciences"/>
    <n v="1552"/>
    <n v="4"/>
    <x v="1"/>
    <n v="72"/>
    <n v="3"/>
    <n v="2"/>
    <x v="4"/>
    <n v="4"/>
    <s v="Divorced"/>
    <x v="1025"/>
    <n v="8841"/>
    <n v="3"/>
    <x v="0"/>
    <n v="18"/>
    <n v="3"/>
    <n v="3"/>
    <n v="0"/>
    <n v="8"/>
    <n v="2"/>
    <n v="3"/>
    <n v="2"/>
    <n v="2"/>
    <n v="2"/>
    <n v="2"/>
    <x v="0"/>
    <s v="Mid"/>
    <n v="6281.2528616024974"/>
    <s v="Below salary"/>
    <s v="Medium Risk"/>
  </r>
  <r>
    <n v="45"/>
    <x v="1"/>
    <s v="Travel_Rarely"/>
    <n v="538"/>
    <x v="1"/>
    <n v="1"/>
    <n v="4"/>
    <s v="Technical Degree"/>
    <n v="1553"/>
    <n v="1"/>
    <x v="1"/>
    <n v="66"/>
    <n v="3"/>
    <n v="3"/>
    <x v="4"/>
    <n v="2"/>
    <s v="Divorced"/>
    <x v="1026"/>
    <n v="20933"/>
    <n v="1"/>
    <x v="1"/>
    <n v="12"/>
    <n v="3"/>
    <n v="1"/>
    <n v="3"/>
    <n v="10"/>
    <n v="4"/>
    <n v="3"/>
    <n v="10"/>
    <n v="8"/>
    <n v="7"/>
    <n v="7"/>
    <x v="0"/>
    <s v="High"/>
    <n v="6281.2528616024974"/>
    <s v="Above salary"/>
    <s v="Medium Risk"/>
  </r>
  <r>
    <n v="35"/>
    <x v="1"/>
    <s v="Travel_Rarely"/>
    <n v="1402"/>
    <x v="0"/>
    <n v="28"/>
    <n v="4"/>
    <s v="Life Sciences"/>
    <n v="1554"/>
    <n v="2"/>
    <x v="0"/>
    <n v="98"/>
    <n v="2"/>
    <n v="1"/>
    <x v="6"/>
    <n v="3"/>
    <s v="Married"/>
    <x v="1027"/>
    <n v="26204"/>
    <n v="0"/>
    <x v="1"/>
    <n v="23"/>
    <n v="4"/>
    <n v="1"/>
    <n v="2"/>
    <n v="6"/>
    <n v="5"/>
    <n v="3"/>
    <n v="5"/>
    <n v="3"/>
    <n v="4"/>
    <n v="2"/>
    <x v="2"/>
    <s v="Low"/>
    <n v="6959.17264573991"/>
    <s v="Below salary"/>
    <s v="Low Risk"/>
  </r>
  <r>
    <n v="32"/>
    <x v="1"/>
    <s v="Travel_Rarely"/>
    <n v="824"/>
    <x v="1"/>
    <n v="5"/>
    <n v="2"/>
    <s v="Life Sciences"/>
    <n v="1555"/>
    <n v="4"/>
    <x v="0"/>
    <n v="67"/>
    <n v="2"/>
    <n v="2"/>
    <x v="1"/>
    <n v="2"/>
    <s v="Married"/>
    <x v="1028"/>
    <n v="15624"/>
    <n v="3"/>
    <x v="1"/>
    <n v="12"/>
    <n v="3"/>
    <n v="1"/>
    <n v="1"/>
    <n v="12"/>
    <n v="2"/>
    <n v="3"/>
    <n v="7"/>
    <n v="1"/>
    <n v="2"/>
    <n v="5"/>
    <x v="2"/>
    <s v="Mid"/>
    <n v="6281.2528616024974"/>
    <s v="Below salary"/>
    <s v="Medium Risk"/>
  </r>
  <r>
    <n v="36"/>
    <x v="1"/>
    <s v="Travel_Rarely"/>
    <n v="1157"/>
    <x v="0"/>
    <n v="2"/>
    <n v="4"/>
    <s v="Life Sciences"/>
    <n v="1556"/>
    <n v="3"/>
    <x v="1"/>
    <n v="70"/>
    <n v="3"/>
    <n v="1"/>
    <x v="6"/>
    <n v="4"/>
    <s v="Single"/>
    <x v="1029"/>
    <n v="17001"/>
    <n v="3"/>
    <x v="0"/>
    <n v="21"/>
    <n v="4"/>
    <n v="4"/>
    <n v="0"/>
    <n v="7"/>
    <n v="3"/>
    <n v="2"/>
    <n v="3"/>
    <n v="2"/>
    <n v="1"/>
    <n v="2"/>
    <x v="0"/>
    <s v="Low"/>
    <n v="6959.17264573991"/>
    <s v="Below salary"/>
    <s v="Medium Risk"/>
  </r>
  <r>
    <n v="48"/>
    <x v="1"/>
    <s v="Travel_Rarely"/>
    <n v="492"/>
    <x v="0"/>
    <n v="16"/>
    <n v="4"/>
    <s v="Life Sciences"/>
    <n v="1557"/>
    <n v="3"/>
    <x v="0"/>
    <n v="96"/>
    <n v="3"/>
    <n v="2"/>
    <x v="0"/>
    <n v="3"/>
    <s v="Divorced"/>
    <x v="1030"/>
    <n v="13693"/>
    <n v="8"/>
    <x v="1"/>
    <n v="14"/>
    <n v="3"/>
    <n v="3"/>
    <n v="1"/>
    <n v="18"/>
    <n v="2"/>
    <n v="3"/>
    <n v="8"/>
    <n v="7"/>
    <n v="7"/>
    <n v="7"/>
    <x v="1"/>
    <s v="Mid"/>
    <n v="6959.17264573991"/>
    <s v="Below salary"/>
    <s v="Low Risk"/>
  </r>
  <r>
    <n v="29"/>
    <x v="1"/>
    <s v="Travel_Rarely"/>
    <n v="598"/>
    <x v="1"/>
    <n v="9"/>
    <n v="3"/>
    <s v="Life Sciences"/>
    <n v="1558"/>
    <n v="3"/>
    <x v="1"/>
    <n v="91"/>
    <n v="4"/>
    <n v="1"/>
    <x v="1"/>
    <n v="3"/>
    <s v="Married"/>
    <x v="163"/>
    <n v="22376"/>
    <n v="6"/>
    <x v="1"/>
    <n v="18"/>
    <n v="3"/>
    <n v="1"/>
    <n v="2"/>
    <n v="5"/>
    <n v="2"/>
    <n v="2"/>
    <n v="1"/>
    <n v="0"/>
    <n v="0"/>
    <n v="0"/>
    <x v="2"/>
    <s v="Low"/>
    <n v="6281.2528616024974"/>
    <s v="Below salary"/>
    <s v="Low Risk"/>
  </r>
  <r>
    <n v="33"/>
    <x v="1"/>
    <s v="Travel_Rarely"/>
    <n v="1242"/>
    <x v="0"/>
    <n v="8"/>
    <n v="4"/>
    <s v="Life Sciences"/>
    <n v="1560"/>
    <n v="1"/>
    <x v="1"/>
    <n v="46"/>
    <n v="3"/>
    <n v="2"/>
    <x v="0"/>
    <n v="1"/>
    <s v="Married"/>
    <x v="1031"/>
    <n v="10589"/>
    <n v="2"/>
    <x v="1"/>
    <n v="13"/>
    <n v="3"/>
    <n v="4"/>
    <n v="1"/>
    <n v="8"/>
    <n v="6"/>
    <n v="1"/>
    <n v="2"/>
    <n v="2"/>
    <n v="2"/>
    <n v="2"/>
    <x v="2"/>
    <s v="Mid"/>
    <n v="6959.17264573991"/>
    <s v="Below salary"/>
    <s v="Medium Risk"/>
  </r>
  <r>
    <n v="30"/>
    <x v="0"/>
    <s v="Travel_Rarely"/>
    <n v="740"/>
    <x v="0"/>
    <n v="1"/>
    <n v="3"/>
    <s v="Life Sciences"/>
    <n v="1562"/>
    <n v="2"/>
    <x v="1"/>
    <n v="64"/>
    <n v="2"/>
    <n v="2"/>
    <x v="0"/>
    <n v="1"/>
    <s v="Married"/>
    <x v="1032"/>
    <n v="5323"/>
    <n v="1"/>
    <x v="1"/>
    <n v="11"/>
    <n v="3"/>
    <n v="4"/>
    <n v="1"/>
    <n v="10"/>
    <n v="4"/>
    <n v="3"/>
    <n v="10"/>
    <n v="8"/>
    <n v="6"/>
    <n v="7"/>
    <x v="2"/>
    <s v="High"/>
    <n v="6959.17264573991"/>
    <s v="Above salary"/>
    <s v="Medium Risk"/>
  </r>
  <r>
    <n v="38"/>
    <x v="1"/>
    <s v="Travel_Frequently"/>
    <n v="888"/>
    <x v="2"/>
    <n v="10"/>
    <n v="4"/>
    <s v="Human Resources"/>
    <n v="1563"/>
    <n v="3"/>
    <x v="1"/>
    <n v="71"/>
    <n v="3"/>
    <n v="2"/>
    <x v="8"/>
    <n v="3"/>
    <s v="Married"/>
    <x v="1033"/>
    <n v="14814"/>
    <n v="3"/>
    <x v="1"/>
    <n v="11"/>
    <n v="3"/>
    <n v="3"/>
    <n v="0"/>
    <n v="10"/>
    <n v="2"/>
    <n v="3"/>
    <n v="6"/>
    <n v="3"/>
    <n v="1"/>
    <n v="2"/>
    <x v="0"/>
    <s v="Mid"/>
    <n v="6654.5079365079364"/>
    <s v="Below salary"/>
    <s v="Low Risk"/>
  </r>
  <r>
    <n v="35"/>
    <x v="1"/>
    <s v="Travel_Rarely"/>
    <n v="992"/>
    <x v="1"/>
    <n v="1"/>
    <n v="3"/>
    <s v="Medical"/>
    <n v="1564"/>
    <n v="4"/>
    <x v="1"/>
    <n v="68"/>
    <n v="2"/>
    <n v="1"/>
    <x v="2"/>
    <n v="1"/>
    <s v="Single"/>
    <x v="533"/>
    <n v="21731"/>
    <n v="1"/>
    <x v="1"/>
    <n v="19"/>
    <n v="3"/>
    <n v="2"/>
    <n v="0"/>
    <n v="3"/>
    <n v="3"/>
    <n v="3"/>
    <n v="3"/>
    <n v="0"/>
    <n v="1"/>
    <n v="2"/>
    <x v="2"/>
    <s v="Low"/>
    <n v="6281.2528616024974"/>
    <s v="Below salary"/>
    <s v="Medium Risk"/>
  </r>
  <r>
    <n v="30"/>
    <x v="1"/>
    <s v="Travel_Rarely"/>
    <n v="1288"/>
    <x v="0"/>
    <n v="29"/>
    <n v="4"/>
    <s v="Technical Degree"/>
    <n v="1568"/>
    <n v="3"/>
    <x v="1"/>
    <n v="33"/>
    <n v="3"/>
    <n v="3"/>
    <x v="0"/>
    <n v="2"/>
    <s v="Married"/>
    <x v="1034"/>
    <n v="17799"/>
    <n v="3"/>
    <x v="1"/>
    <n v="12"/>
    <n v="3"/>
    <n v="2"/>
    <n v="1"/>
    <n v="9"/>
    <n v="3"/>
    <n v="3"/>
    <n v="4"/>
    <n v="2"/>
    <n v="1"/>
    <n v="3"/>
    <x v="2"/>
    <s v="High"/>
    <n v="6959.17264573991"/>
    <s v="Above salary"/>
    <s v="Medium Risk"/>
  </r>
  <r>
    <n v="35"/>
    <x v="0"/>
    <s v="Travel_Rarely"/>
    <n v="104"/>
    <x v="1"/>
    <n v="2"/>
    <n v="3"/>
    <s v="Life Sciences"/>
    <n v="1569"/>
    <n v="1"/>
    <x v="0"/>
    <n v="69"/>
    <n v="3"/>
    <n v="1"/>
    <x v="2"/>
    <n v="1"/>
    <s v="Divorced"/>
    <x v="1035"/>
    <n v="26619"/>
    <n v="1"/>
    <x v="0"/>
    <n v="12"/>
    <n v="3"/>
    <n v="4"/>
    <n v="1"/>
    <n v="1"/>
    <n v="2"/>
    <n v="3"/>
    <n v="1"/>
    <n v="0"/>
    <n v="0"/>
    <n v="0"/>
    <x v="2"/>
    <s v="Low"/>
    <n v="6281.2528616024974"/>
    <s v="Below salary"/>
    <s v="High Risk"/>
  </r>
  <r>
    <n v="53"/>
    <x v="0"/>
    <s v="Travel_Rarely"/>
    <n v="607"/>
    <x v="1"/>
    <n v="2"/>
    <n v="5"/>
    <s v="Technical Degree"/>
    <n v="1572"/>
    <n v="3"/>
    <x v="0"/>
    <n v="78"/>
    <n v="2"/>
    <n v="3"/>
    <x v="3"/>
    <n v="4"/>
    <s v="Married"/>
    <x v="1036"/>
    <n v="14618"/>
    <n v="0"/>
    <x v="1"/>
    <n v="16"/>
    <n v="3"/>
    <n v="2"/>
    <n v="1"/>
    <n v="34"/>
    <n v="4"/>
    <n v="3"/>
    <n v="33"/>
    <n v="7"/>
    <n v="1"/>
    <n v="9"/>
    <x v="1"/>
    <s v="High"/>
    <n v="6281.2528616024974"/>
    <s v="Above salary"/>
    <s v="Low Risk"/>
  </r>
  <r>
    <n v="38"/>
    <x v="0"/>
    <s v="Travel_Rarely"/>
    <n v="903"/>
    <x v="1"/>
    <n v="2"/>
    <n v="3"/>
    <s v="Medical"/>
    <n v="1573"/>
    <n v="3"/>
    <x v="1"/>
    <n v="81"/>
    <n v="3"/>
    <n v="2"/>
    <x v="3"/>
    <n v="2"/>
    <s v="Married"/>
    <x v="1037"/>
    <n v="7653"/>
    <n v="4"/>
    <x v="1"/>
    <n v="11"/>
    <n v="3"/>
    <n v="1"/>
    <n v="2"/>
    <n v="7"/>
    <n v="2"/>
    <n v="3"/>
    <n v="5"/>
    <n v="2"/>
    <n v="1"/>
    <n v="4"/>
    <x v="0"/>
    <s v="Mid"/>
    <n v="6281.2528616024974"/>
    <s v="Below salary"/>
    <s v="Medium Risk"/>
  </r>
  <r>
    <n v="32"/>
    <x v="1"/>
    <s v="Non-Travel"/>
    <n v="1200"/>
    <x v="1"/>
    <n v="1"/>
    <n v="4"/>
    <s v="Technical Degree"/>
    <n v="1574"/>
    <n v="4"/>
    <x v="1"/>
    <n v="62"/>
    <n v="3"/>
    <n v="2"/>
    <x v="1"/>
    <n v="1"/>
    <s v="Married"/>
    <x v="1038"/>
    <n v="25174"/>
    <n v="4"/>
    <x v="1"/>
    <n v="14"/>
    <n v="3"/>
    <n v="2"/>
    <n v="1"/>
    <n v="9"/>
    <n v="3"/>
    <n v="2"/>
    <n v="6"/>
    <n v="5"/>
    <n v="1"/>
    <n v="2"/>
    <x v="2"/>
    <s v="Mid"/>
    <n v="6281.2528616024974"/>
    <s v="Below salary"/>
    <s v="Medium Risk"/>
  </r>
  <r>
    <n v="48"/>
    <x v="1"/>
    <s v="Travel_Rarely"/>
    <n v="1108"/>
    <x v="1"/>
    <n v="15"/>
    <n v="4"/>
    <s v="Other"/>
    <n v="1576"/>
    <n v="3"/>
    <x v="0"/>
    <n v="65"/>
    <n v="3"/>
    <n v="1"/>
    <x v="1"/>
    <n v="1"/>
    <s v="Married"/>
    <x v="1039"/>
    <n v="16530"/>
    <n v="8"/>
    <x v="1"/>
    <n v="12"/>
    <n v="3"/>
    <n v="4"/>
    <n v="1"/>
    <n v="10"/>
    <n v="3"/>
    <n v="2"/>
    <n v="8"/>
    <n v="2"/>
    <n v="7"/>
    <n v="6"/>
    <x v="1"/>
    <s v="Low"/>
    <n v="6281.2528616024974"/>
    <s v="Below salary"/>
    <s v="Medium Risk"/>
  </r>
  <r>
    <n v="34"/>
    <x v="1"/>
    <s v="Travel_Rarely"/>
    <n v="479"/>
    <x v="1"/>
    <n v="7"/>
    <n v="4"/>
    <s v="Medical"/>
    <n v="1577"/>
    <n v="1"/>
    <x v="1"/>
    <n v="35"/>
    <n v="3"/>
    <n v="1"/>
    <x v="1"/>
    <n v="4"/>
    <s v="Single"/>
    <x v="1040"/>
    <n v="22061"/>
    <n v="1"/>
    <x v="1"/>
    <n v="13"/>
    <n v="3"/>
    <n v="3"/>
    <n v="0"/>
    <n v="1"/>
    <n v="4"/>
    <n v="1"/>
    <n v="1"/>
    <n v="0"/>
    <n v="0"/>
    <n v="0"/>
    <x v="2"/>
    <s v="Low"/>
    <n v="6281.2528616024974"/>
    <s v="Below salary"/>
    <s v="Low Risk"/>
  </r>
  <r>
    <n v="55"/>
    <x v="1"/>
    <s v="Travel_Rarely"/>
    <n v="685"/>
    <x v="0"/>
    <n v="26"/>
    <n v="5"/>
    <s v="Marketing"/>
    <n v="1578"/>
    <n v="3"/>
    <x v="1"/>
    <n v="60"/>
    <n v="2"/>
    <n v="5"/>
    <x v="5"/>
    <n v="4"/>
    <s v="Married"/>
    <x v="1041"/>
    <n v="23037"/>
    <n v="1"/>
    <x v="1"/>
    <n v="21"/>
    <n v="4"/>
    <n v="3"/>
    <n v="1"/>
    <n v="36"/>
    <n v="3"/>
    <n v="3"/>
    <n v="36"/>
    <n v="6"/>
    <n v="2"/>
    <n v="13"/>
    <x v="1"/>
    <s v="Very High"/>
    <n v="6959.17264573991"/>
    <s v="Above salary"/>
    <s v="Low Risk"/>
  </r>
  <r>
    <n v="34"/>
    <x v="1"/>
    <s v="Travel_Rarely"/>
    <n v="1351"/>
    <x v="1"/>
    <n v="1"/>
    <n v="4"/>
    <s v="Life Sciences"/>
    <n v="1580"/>
    <n v="2"/>
    <x v="1"/>
    <n v="45"/>
    <n v="3"/>
    <n v="2"/>
    <x v="1"/>
    <n v="4"/>
    <s v="Married"/>
    <x v="299"/>
    <n v="13008"/>
    <n v="9"/>
    <x v="1"/>
    <n v="17"/>
    <n v="3"/>
    <n v="2"/>
    <n v="1"/>
    <n v="9"/>
    <n v="3"/>
    <n v="2"/>
    <n v="2"/>
    <n v="2"/>
    <n v="2"/>
    <n v="1"/>
    <x v="2"/>
    <s v="Mid"/>
    <n v="6281.2528616024974"/>
    <s v="Below salary"/>
    <s v="Low Risk"/>
  </r>
  <r>
    <n v="26"/>
    <x v="1"/>
    <s v="Travel_Rarely"/>
    <n v="474"/>
    <x v="1"/>
    <n v="3"/>
    <n v="3"/>
    <s v="Life Sciences"/>
    <n v="1581"/>
    <n v="1"/>
    <x v="0"/>
    <n v="89"/>
    <n v="3"/>
    <n v="1"/>
    <x v="1"/>
    <n v="4"/>
    <s v="Married"/>
    <x v="1042"/>
    <n v="11133"/>
    <n v="1"/>
    <x v="1"/>
    <n v="21"/>
    <n v="4"/>
    <n v="1"/>
    <n v="0"/>
    <n v="1"/>
    <n v="5"/>
    <n v="3"/>
    <n v="1"/>
    <n v="0"/>
    <n v="0"/>
    <n v="0"/>
    <x v="2"/>
    <s v="Low"/>
    <n v="6281.2528616024974"/>
    <s v="Below salary"/>
    <s v="Low Risk"/>
  </r>
  <r>
    <n v="38"/>
    <x v="1"/>
    <s v="Travel_Rarely"/>
    <n v="1245"/>
    <x v="0"/>
    <n v="14"/>
    <n v="3"/>
    <s v="Life Sciences"/>
    <n v="1582"/>
    <n v="3"/>
    <x v="1"/>
    <n v="80"/>
    <n v="3"/>
    <n v="2"/>
    <x v="0"/>
    <n v="2"/>
    <s v="Married"/>
    <x v="1043"/>
    <n v="12355"/>
    <n v="0"/>
    <x v="1"/>
    <n v="11"/>
    <n v="3"/>
    <n v="4"/>
    <n v="1"/>
    <n v="10"/>
    <n v="3"/>
    <n v="3"/>
    <n v="9"/>
    <n v="8"/>
    <n v="7"/>
    <n v="7"/>
    <x v="0"/>
    <s v="High"/>
    <n v="6959.17264573991"/>
    <s v="Above salary"/>
    <s v="Medium Risk"/>
  </r>
  <r>
    <n v="38"/>
    <x v="1"/>
    <s v="Travel_Rarely"/>
    <n v="437"/>
    <x v="0"/>
    <n v="16"/>
    <n v="3"/>
    <s v="Life Sciences"/>
    <n v="1583"/>
    <n v="2"/>
    <x v="0"/>
    <n v="90"/>
    <n v="3"/>
    <n v="2"/>
    <x v="0"/>
    <n v="2"/>
    <s v="Single"/>
    <x v="1044"/>
    <n v="16379"/>
    <n v="2"/>
    <x v="1"/>
    <n v="12"/>
    <n v="3"/>
    <n v="2"/>
    <n v="0"/>
    <n v="8"/>
    <n v="5"/>
    <n v="4"/>
    <n v="3"/>
    <n v="2"/>
    <n v="1"/>
    <n v="2"/>
    <x v="0"/>
    <s v="Mid"/>
    <n v="6959.17264573991"/>
    <s v="Below salary"/>
    <s v="Medium Risk"/>
  </r>
  <r>
    <n v="36"/>
    <x v="1"/>
    <s v="Travel_Rarely"/>
    <n v="884"/>
    <x v="0"/>
    <n v="1"/>
    <n v="4"/>
    <s v="Life Sciences"/>
    <n v="1585"/>
    <n v="2"/>
    <x v="0"/>
    <n v="73"/>
    <n v="3"/>
    <n v="2"/>
    <x v="0"/>
    <n v="3"/>
    <s v="Single"/>
    <x v="1045"/>
    <n v="21447"/>
    <n v="6"/>
    <x v="1"/>
    <n v="13"/>
    <n v="3"/>
    <n v="1"/>
    <n v="0"/>
    <n v="15"/>
    <n v="5"/>
    <n v="3"/>
    <n v="1"/>
    <n v="0"/>
    <n v="0"/>
    <n v="0"/>
    <x v="0"/>
    <s v="Mid"/>
    <n v="6959.17264573991"/>
    <s v="Below salary"/>
    <s v="Low Risk"/>
  </r>
  <r>
    <n v="29"/>
    <x v="1"/>
    <s v="Travel_Rarely"/>
    <n v="1370"/>
    <x v="1"/>
    <n v="3"/>
    <n v="1"/>
    <s v="Medical"/>
    <n v="1586"/>
    <n v="2"/>
    <x v="1"/>
    <n v="87"/>
    <n v="3"/>
    <n v="1"/>
    <x v="2"/>
    <n v="1"/>
    <s v="Single"/>
    <x v="1046"/>
    <n v="16213"/>
    <n v="1"/>
    <x v="0"/>
    <n v="18"/>
    <n v="3"/>
    <n v="4"/>
    <n v="0"/>
    <n v="10"/>
    <n v="3"/>
    <n v="3"/>
    <n v="10"/>
    <n v="9"/>
    <n v="1"/>
    <n v="5"/>
    <x v="2"/>
    <s v="Mid"/>
    <n v="6281.2528616024974"/>
    <s v="Below salary"/>
    <s v="High Risk"/>
  </r>
  <r>
    <n v="35"/>
    <x v="1"/>
    <s v="Travel_Rarely"/>
    <n v="670"/>
    <x v="1"/>
    <n v="10"/>
    <n v="4"/>
    <s v="Medical"/>
    <n v="1587"/>
    <n v="1"/>
    <x v="0"/>
    <n v="51"/>
    <n v="3"/>
    <n v="2"/>
    <x v="4"/>
    <n v="3"/>
    <s v="Single"/>
    <x v="528"/>
    <n v="4223"/>
    <n v="3"/>
    <x v="0"/>
    <n v="16"/>
    <n v="3"/>
    <n v="3"/>
    <n v="0"/>
    <n v="10"/>
    <n v="4"/>
    <n v="3"/>
    <n v="5"/>
    <n v="2"/>
    <n v="0"/>
    <n v="4"/>
    <x v="2"/>
    <s v="Mid"/>
    <n v="6281.2528616024974"/>
    <s v="Below salary"/>
    <s v="Medium Risk"/>
  </r>
  <r>
    <n v="39"/>
    <x v="1"/>
    <s v="Travel_Rarely"/>
    <n v="1462"/>
    <x v="0"/>
    <n v="6"/>
    <n v="3"/>
    <s v="Medical"/>
    <n v="1588"/>
    <n v="4"/>
    <x v="1"/>
    <n v="38"/>
    <n v="4"/>
    <n v="3"/>
    <x v="0"/>
    <n v="3"/>
    <s v="Married"/>
    <x v="1047"/>
    <n v="4658"/>
    <n v="2"/>
    <x v="1"/>
    <n v="11"/>
    <n v="3"/>
    <n v="1"/>
    <n v="1"/>
    <n v="11"/>
    <n v="3"/>
    <n v="3"/>
    <n v="7"/>
    <n v="6"/>
    <n v="7"/>
    <n v="6"/>
    <x v="0"/>
    <s v="High"/>
    <n v="6959.17264573991"/>
    <s v="Above salary"/>
    <s v="Low Risk"/>
  </r>
  <r>
    <n v="29"/>
    <x v="1"/>
    <s v="Travel_Frequently"/>
    <n v="995"/>
    <x v="1"/>
    <n v="2"/>
    <n v="1"/>
    <s v="Life Sciences"/>
    <n v="1590"/>
    <n v="1"/>
    <x v="1"/>
    <n v="87"/>
    <n v="3"/>
    <n v="2"/>
    <x v="4"/>
    <n v="4"/>
    <s v="Divorced"/>
    <x v="1048"/>
    <n v="24483"/>
    <n v="1"/>
    <x v="1"/>
    <n v="19"/>
    <n v="3"/>
    <n v="4"/>
    <n v="1"/>
    <n v="6"/>
    <n v="0"/>
    <n v="4"/>
    <n v="6"/>
    <n v="4"/>
    <n v="1"/>
    <n v="3"/>
    <x v="2"/>
    <s v="High"/>
    <n v="6281.2528616024974"/>
    <s v="Above salary"/>
    <s v="Low Risk"/>
  </r>
  <r>
    <n v="50"/>
    <x v="1"/>
    <s v="Travel_Rarely"/>
    <n v="264"/>
    <x v="0"/>
    <n v="9"/>
    <n v="3"/>
    <s v="Marketing"/>
    <n v="1591"/>
    <n v="3"/>
    <x v="1"/>
    <n v="59"/>
    <n v="3"/>
    <n v="5"/>
    <x v="5"/>
    <n v="3"/>
    <s v="Married"/>
    <x v="1049"/>
    <n v="19519"/>
    <n v="4"/>
    <x v="0"/>
    <n v="16"/>
    <n v="3"/>
    <n v="3"/>
    <n v="1"/>
    <n v="27"/>
    <n v="2"/>
    <n v="3"/>
    <n v="1"/>
    <n v="0"/>
    <n v="0"/>
    <n v="0"/>
    <x v="1"/>
    <s v="Very High"/>
    <n v="6959.17264573991"/>
    <s v="Above salary"/>
    <s v="Medium Risk"/>
  </r>
  <r>
    <n v="23"/>
    <x v="1"/>
    <s v="Travel_Rarely"/>
    <n v="977"/>
    <x v="1"/>
    <n v="10"/>
    <n v="3"/>
    <s v="Technical Degree"/>
    <n v="1592"/>
    <n v="4"/>
    <x v="1"/>
    <n v="45"/>
    <n v="4"/>
    <n v="1"/>
    <x v="1"/>
    <n v="3"/>
    <s v="Married"/>
    <x v="97"/>
    <n v="12826"/>
    <n v="2"/>
    <x v="1"/>
    <n v="16"/>
    <n v="3"/>
    <n v="4"/>
    <n v="1"/>
    <n v="4"/>
    <n v="2"/>
    <n v="3"/>
    <n v="2"/>
    <n v="2"/>
    <n v="2"/>
    <n v="2"/>
    <x v="3"/>
    <s v="Low"/>
    <n v="6281.2528616024974"/>
    <s v="Below salary"/>
    <s v="Low Risk"/>
  </r>
  <r>
    <n v="36"/>
    <x v="1"/>
    <s v="Travel_Frequently"/>
    <n v="1302"/>
    <x v="1"/>
    <n v="6"/>
    <n v="4"/>
    <s v="Life Sciences"/>
    <n v="1594"/>
    <n v="1"/>
    <x v="1"/>
    <n v="80"/>
    <n v="4"/>
    <n v="2"/>
    <x v="2"/>
    <n v="1"/>
    <s v="Married"/>
    <x v="622"/>
    <n v="19711"/>
    <n v="3"/>
    <x v="0"/>
    <n v="13"/>
    <n v="3"/>
    <n v="4"/>
    <n v="1"/>
    <n v="9"/>
    <n v="3"/>
    <n v="3"/>
    <n v="3"/>
    <n v="2"/>
    <n v="0"/>
    <n v="2"/>
    <x v="0"/>
    <s v="Mid"/>
    <n v="6281.2528616024974"/>
    <s v="Below salary"/>
    <s v="High Risk"/>
  </r>
  <r>
    <n v="42"/>
    <x v="1"/>
    <s v="Travel_Rarely"/>
    <n v="1059"/>
    <x v="1"/>
    <n v="9"/>
    <n v="2"/>
    <s v="Other"/>
    <n v="1595"/>
    <n v="4"/>
    <x v="1"/>
    <n v="93"/>
    <n v="2"/>
    <n v="5"/>
    <x v="5"/>
    <n v="4"/>
    <s v="Single"/>
    <x v="1050"/>
    <n v="26362"/>
    <n v="8"/>
    <x v="1"/>
    <n v="22"/>
    <n v="4"/>
    <n v="4"/>
    <n v="0"/>
    <n v="24"/>
    <n v="2"/>
    <n v="3"/>
    <n v="1"/>
    <n v="0"/>
    <n v="0"/>
    <n v="1"/>
    <x v="0"/>
    <s v="Very High"/>
    <n v="6281.2528616024974"/>
    <s v="Above salary"/>
    <s v="Low Risk"/>
  </r>
  <r>
    <n v="35"/>
    <x v="1"/>
    <s v="Travel_Rarely"/>
    <n v="750"/>
    <x v="1"/>
    <n v="28"/>
    <n v="3"/>
    <s v="Life Sciences"/>
    <n v="1596"/>
    <n v="2"/>
    <x v="1"/>
    <n v="46"/>
    <n v="4"/>
    <n v="2"/>
    <x v="2"/>
    <n v="3"/>
    <s v="Married"/>
    <x v="21"/>
    <n v="25348"/>
    <n v="1"/>
    <x v="1"/>
    <n v="17"/>
    <n v="3"/>
    <n v="4"/>
    <n v="2"/>
    <n v="10"/>
    <n v="3"/>
    <n v="2"/>
    <n v="10"/>
    <n v="9"/>
    <n v="6"/>
    <n v="8"/>
    <x v="2"/>
    <s v="Mid"/>
    <n v="6281.2528616024974"/>
    <s v="Below salary"/>
    <s v="Low Risk"/>
  </r>
  <r>
    <n v="34"/>
    <x v="1"/>
    <s v="Travel_Frequently"/>
    <n v="653"/>
    <x v="1"/>
    <n v="10"/>
    <n v="4"/>
    <s v="Technical Degree"/>
    <n v="1597"/>
    <n v="4"/>
    <x v="1"/>
    <n v="92"/>
    <n v="2"/>
    <n v="2"/>
    <x v="4"/>
    <n v="3"/>
    <s v="Married"/>
    <x v="1051"/>
    <n v="15332"/>
    <n v="1"/>
    <x v="1"/>
    <n v="14"/>
    <n v="3"/>
    <n v="2"/>
    <n v="1"/>
    <n v="8"/>
    <n v="3"/>
    <n v="2"/>
    <n v="8"/>
    <n v="2"/>
    <n v="7"/>
    <n v="7"/>
    <x v="2"/>
    <s v="Mid"/>
    <n v="6281.2528616024974"/>
    <s v="Below salary"/>
    <s v="Low Risk"/>
  </r>
  <r>
    <n v="40"/>
    <x v="1"/>
    <s v="Travel_Rarely"/>
    <n v="118"/>
    <x v="0"/>
    <n v="14"/>
    <n v="2"/>
    <s v="Life Sciences"/>
    <n v="1598"/>
    <n v="4"/>
    <x v="0"/>
    <n v="84"/>
    <n v="3"/>
    <n v="2"/>
    <x v="0"/>
    <n v="1"/>
    <s v="Married"/>
    <x v="912"/>
    <n v="11262"/>
    <n v="1"/>
    <x v="1"/>
    <n v="15"/>
    <n v="3"/>
    <n v="3"/>
    <n v="1"/>
    <n v="5"/>
    <n v="2"/>
    <n v="3"/>
    <n v="5"/>
    <n v="4"/>
    <n v="1"/>
    <n v="2"/>
    <x v="0"/>
    <s v="Mid"/>
    <n v="6959.17264573991"/>
    <s v="Below salary"/>
    <s v="Medium Risk"/>
  </r>
  <r>
    <n v="43"/>
    <x v="1"/>
    <s v="Travel_Rarely"/>
    <n v="990"/>
    <x v="1"/>
    <n v="27"/>
    <n v="3"/>
    <s v="Technical Degree"/>
    <n v="1599"/>
    <n v="4"/>
    <x v="1"/>
    <n v="87"/>
    <n v="4"/>
    <n v="1"/>
    <x v="2"/>
    <n v="2"/>
    <s v="Divorced"/>
    <x v="204"/>
    <n v="5855"/>
    <n v="5"/>
    <x v="1"/>
    <n v="12"/>
    <n v="3"/>
    <n v="3"/>
    <n v="1"/>
    <n v="8"/>
    <n v="0"/>
    <n v="3"/>
    <n v="6"/>
    <n v="4"/>
    <n v="0"/>
    <n v="2"/>
    <x v="0"/>
    <s v="Mid"/>
    <n v="6281.2528616024974"/>
    <s v="Below salary"/>
    <s v="Medium Risk"/>
  </r>
  <r>
    <n v="35"/>
    <x v="1"/>
    <s v="Travel_Rarely"/>
    <n v="1349"/>
    <x v="1"/>
    <n v="7"/>
    <n v="2"/>
    <s v="Life Sciences"/>
    <n v="1601"/>
    <n v="3"/>
    <x v="1"/>
    <n v="63"/>
    <n v="2"/>
    <n v="1"/>
    <x v="2"/>
    <n v="4"/>
    <s v="Married"/>
    <x v="1052"/>
    <n v="7713"/>
    <n v="1"/>
    <x v="1"/>
    <n v="18"/>
    <n v="3"/>
    <n v="4"/>
    <n v="1"/>
    <n v="1"/>
    <n v="5"/>
    <n v="2"/>
    <n v="1"/>
    <n v="0"/>
    <n v="0"/>
    <n v="1"/>
    <x v="2"/>
    <s v="Low"/>
    <n v="6281.2528616024974"/>
    <s v="Below salary"/>
    <s v="Low Risk"/>
  </r>
  <r>
    <n v="46"/>
    <x v="1"/>
    <s v="Travel_Rarely"/>
    <n v="563"/>
    <x v="0"/>
    <n v="1"/>
    <n v="4"/>
    <s v="Life Sciences"/>
    <n v="1602"/>
    <n v="4"/>
    <x v="1"/>
    <n v="56"/>
    <n v="4"/>
    <n v="4"/>
    <x v="5"/>
    <n v="1"/>
    <s v="Single"/>
    <x v="1053"/>
    <n v="3156"/>
    <n v="1"/>
    <x v="1"/>
    <n v="15"/>
    <n v="3"/>
    <n v="2"/>
    <n v="0"/>
    <n v="27"/>
    <n v="5"/>
    <n v="1"/>
    <n v="26"/>
    <n v="0"/>
    <n v="0"/>
    <n v="12"/>
    <x v="1"/>
    <s v="Very High"/>
    <n v="6959.17264573991"/>
    <s v="Above salary"/>
    <s v="Medium Risk"/>
  </r>
  <r>
    <n v="28"/>
    <x v="0"/>
    <s v="Travel_Rarely"/>
    <n v="329"/>
    <x v="1"/>
    <n v="24"/>
    <n v="3"/>
    <s v="Medical"/>
    <n v="1604"/>
    <n v="3"/>
    <x v="1"/>
    <n v="51"/>
    <n v="3"/>
    <n v="1"/>
    <x v="2"/>
    <n v="2"/>
    <s v="Married"/>
    <x v="1054"/>
    <n v="7324"/>
    <n v="1"/>
    <x v="0"/>
    <n v="17"/>
    <n v="3"/>
    <n v="3"/>
    <n v="3"/>
    <n v="1"/>
    <n v="3"/>
    <n v="3"/>
    <n v="1"/>
    <n v="1"/>
    <n v="0"/>
    <n v="0"/>
    <x v="2"/>
    <s v="Low"/>
    <n v="6281.2528616024974"/>
    <s v="Below salary"/>
    <s v="High Risk"/>
  </r>
  <r>
    <n v="22"/>
    <x v="1"/>
    <s v="Non-Travel"/>
    <n v="457"/>
    <x v="1"/>
    <n v="26"/>
    <n v="2"/>
    <s v="Other"/>
    <n v="1605"/>
    <n v="2"/>
    <x v="0"/>
    <n v="85"/>
    <n v="2"/>
    <n v="1"/>
    <x v="1"/>
    <n v="3"/>
    <s v="Married"/>
    <x v="1055"/>
    <n v="10293"/>
    <n v="1"/>
    <x v="0"/>
    <n v="14"/>
    <n v="3"/>
    <n v="2"/>
    <n v="0"/>
    <n v="4"/>
    <n v="2"/>
    <n v="2"/>
    <n v="4"/>
    <n v="2"/>
    <n v="1"/>
    <n v="3"/>
    <x v="3"/>
    <s v="Low"/>
    <n v="6281.2528616024974"/>
    <s v="Below salary"/>
    <s v="Medium Risk"/>
  </r>
  <r>
    <n v="50"/>
    <x v="1"/>
    <s v="Travel_Frequently"/>
    <n v="1234"/>
    <x v="1"/>
    <n v="20"/>
    <n v="5"/>
    <s v="Medical"/>
    <n v="1606"/>
    <n v="2"/>
    <x v="1"/>
    <n v="41"/>
    <n v="3"/>
    <n v="4"/>
    <x v="4"/>
    <n v="3"/>
    <s v="Married"/>
    <x v="1056"/>
    <n v="20689"/>
    <n v="2"/>
    <x v="0"/>
    <n v="15"/>
    <n v="3"/>
    <n v="3"/>
    <n v="1"/>
    <n v="32"/>
    <n v="3"/>
    <n v="3"/>
    <n v="30"/>
    <n v="8"/>
    <n v="12"/>
    <n v="13"/>
    <x v="1"/>
    <s v="High"/>
    <n v="6281.2528616024974"/>
    <s v="Above salary"/>
    <s v="Medium Risk"/>
  </r>
  <r>
    <n v="32"/>
    <x v="1"/>
    <s v="Travel_Rarely"/>
    <n v="634"/>
    <x v="1"/>
    <n v="5"/>
    <n v="4"/>
    <s v="Other"/>
    <n v="1607"/>
    <n v="2"/>
    <x v="0"/>
    <n v="35"/>
    <n v="4"/>
    <n v="1"/>
    <x v="1"/>
    <n v="4"/>
    <s v="Married"/>
    <x v="1057"/>
    <n v="18783"/>
    <n v="3"/>
    <x v="1"/>
    <n v="17"/>
    <n v="3"/>
    <n v="4"/>
    <n v="2"/>
    <n v="6"/>
    <n v="3"/>
    <n v="3"/>
    <n v="3"/>
    <n v="2"/>
    <n v="0"/>
    <n v="2"/>
    <x v="2"/>
    <s v="Mid"/>
    <n v="6281.2528616024974"/>
    <s v="Below salary"/>
    <s v="Low Risk"/>
  </r>
  <r>
    <n v="44"/>
    <x v="1"/>
    <s v="Travel_Rarely"/>
    <n v="1313"/>
    <x v="1"/>
    <n v="7"/>
    <n v="3"/>
    <s v="Medical"/>
    <n v="1608"/>
    <n v="2"/>
    <x v="0"/>
    <n v="31"/>
    <n v="3"/>
    <n v="5"/>
    <x v="7"/>
    <n v="4"/>
    <s v="Divorced"/>
    <x v="1058"/>
    <n v="3549"/>
    <n v="0"/>
    <x v="0"/>
    <n v="14"/>
    <n v="3"/>
    <n v="4"/>
    <n v="1"/>
    <n v="23"/>
    <n v="4"/>
    <n v="2"/>
    <n v="22"/>
    <n v="7"/>
    <n v="1"/>
    <n v="10"/>
    <x v="0"/>
    <s v="Very High"/>
    <n v="6281.2528616024974"/>
    <s v="Above salary"/>
    <s v="Medium Risk"/>
  </r>
  <r>
    <n v="30"/>
    <x v="1"/>
    <s v="Travel_Rarely"/>
    <n v="241"/>
    <x v="1"/>
    <n v="7"/>
    <n v="3"/>
    <s v="Medical"/>
    <n v="1609"/>
    <n v="2"/>
    <x v="1"/>
    <n v="48"/>
    <n v="2"/>
    <n v="1"/>
    <x v="1"/>
    <n v="2"/>
    <s v="Married"/>
    <x v="1059"/>
    <n v="5348"/>
    <n v="1"/>
    <x v="1"/>
    <n v="12"/>
    <n v="3"/>
    <n v="2"/>
    <n v="1"/>
    <n v="6"/>
    <n v="3"/>
    <n v="2"/>
    <n v="6"/>
    <n v="4"/>
    <n v="1"/>
    <n v="1"/>
    <x v="2"/>
    <s v="Low"/>
    <n v="6281.2528616024974"/>
    <s v="Below salary"/>
    <s v="Medium Risk"/>
  </r>
  <r>
    <n v="45"/>
    <x v="1"/>
    <s v="Travel_Rarely"/>
    <n v="1015"/>
    <x v="1"/>
    <n v="5"/>
    <n v="5"/>
    <s v="Medical"/>
    <n v="1611"/>
    <n v="3"/>
    <x v="0"/>
    <n v="50"/>
    <n v="1"/>
    <n v="2"/>
    <x v="2"/>
    <n v="1"/>
    <s v="Single"/>
    <x v="939"/>
    <n v="23447"/>
    <n v="1"/>
    <x v="0"/>
    <n v="14"/>
    <n v="3"/>
    <n v="1"/>
    <n v="0"/>
    <n v="10"/>
    <n v="3"/>
    <n v="3"/>
    <n v="10"/>
    <n v="7"/>
    <n v="1"/>
    <n v="4"/>
    <x v="0"/>
    <s v="Mid"/>
    <n v="6281.2528616024974"/>
    <s v="Below salary"/>
    <s v="High Risk"/>
  </r>
  <r>
    <n v="45"/>
    <x v="1"/>
    <s v="Non-Travel"/>
    <n v="336"/>
    <x v="0"/>
    <n v="26"/>
    <n v="3"/>
    <s v="Marketing"/>
    <n v="1612"/>
    <n v="1"/>
    <x v="1"/>
    <n v="52"/>
    <n v="2"/>
    <n v="2"/>
    <x v="0"/>
    <n v="1"/>
    <s v="Married"/>
    <x v="1060"/>
    <n v="24162"/>
    <n v="1"/>
    <x v="1"/>
    <n v="15"/>
    <n v="3"/>
    <n v="1"/>
    <n v="1"/>
    <n v="10"/>
    <n v="2"/>
    <n v="3"/>
    <n v="10"/>
    <n v="7"/>
    <n v="4"/>
    <n v="5"/>
    <x v="0"/>
    <s v="Mid"/>
    <n v="6959.17264573991"/>
    <s v="Below salary"/>
    <s v="Medium Risk"/>
  </r>
  <r>
    <n v="31"/>
    <x v="1"/>
    <s v="Travel_Frequently"/>
    <n v="715"/>
    <x v="0"/>
    <n v="2"/>
    <n v="4"/>
    <s v="Other"/>
    <n v="1613"/>
    <n v="4"/>
    <x v="1"/>
    <n v="54"/>
    <n v="3"/>
    <n v="2"/>
    <x v="0"/>
    <n v="1"/>
    <s v="Single"/>
    <x v="1061"/>
    <n v="21602"/>
    <n v="7"/>
    <x v="1"/>
    <n v="13"/>
    <n v="3"/>
    <n v="4"/>
    <n v="0"/>
    <n v="10"/>
    <n v="3"/>
    <n v="3"/>
    <n v="5"/>
    <n v="2"/>
    <n v="0"/>
    <n v="3"/>
    <x v="2"/>
    <s v="Mid"/>
    <n v="6959.17264573991"/>
    <s v="Below salary"/>
    <s v="Medium Risk"/>
  </r>
  <r>
    <n v="36"/>
    <x v="1"/>
    <s v="Travel_Rarely"/>
    <n v="559"/>
    <x v="1"/>
    <n v="12"/>
    <n v="4"/>
    <s v="Life Sciences"/>
    <n v="1614"/>
    <n v="3"/>
    <x v="0"/>
    <n v="76"/>
    <n v="3"/>
    <n v="2"/>
    <x v="3"/>
    <n v="3"/>
    <s v="Married"/>
    <x v="1062"/>
    <n v="12421"/>
    <n v="9"/>
    <x v="0"/>
    <n v="12"/>
    <n v="3"/>
    <n v="2"/>
    <n v="2"/>
    <n v="7"/>
    <n v="2"/>
    <n v="3"/>
    <n v="3"/>
    <n v="2"/>
    <n v="1"/>
    <n v="1"/>
    <x v="0"/>
    <s v="Mid"/>
    <n v="6281.2528616024974"/>
    <s v="Below salary"/>
    <s v="Medium Risk"/>
  </r>
  <r>
    <n v="34"/>
    <x v="1"/>
    <s v="Travel_Frequently"/>
    <n v="426"/>
    <x v="1"/>
    <n v="10"/>
    <n v="4"/>
    <s v="Life Sciences"/>
    <n v="1615"/>
    <n v="3"/>
    <x v="1"/>
    <n v="42"/>
    <n v="4"/>
    <n v="2"/>
    <x v="3"/>
    <n v="4"/>
    <s v="Divorced"/>
    <x v="927"/>
    <n v="17000"/>
    <n v="1"/>
    <x v="1"/>
    <n v="13"/>
    <n v="3"/>
    <n v="1"/>
    <n v="1"/>
    <n v="9"/>
    <n v="3"/>
    <n v="3"/>
    <n v="9"/>
    <n v="7"/>
    <n v="7"/>
    <n v="2"/>
    <x v="2"/>
    <s v="Mid"/>
    <n v="6281.2528616024974"/>
    <s v="Below salary"/>
    <s v="Low Risk"/>
  </r>
  <r>
    <n v="49"/>
    <x v="1"/>
    <s v="Travel_Rarely"/>
    <n v="722"/>
    <x v="1"/>
    <n v="25"/>
    <n v="4"/>
    <s v="Life Sciences"/>
    <n v="1617"/>
    <n v="3"/>
    <x v="0"/>
    <n v="84"/>
    <n v="3"/>
    <n v="1"/>
    <x v="2"/>
    <n v="1"/>
    <s v="Married"/>
    <x v="1063"/>
    <n v="22102"/>
    <n v="1"/>
    <x v="1"/>
    <n v="14"/>
    <n v="3"/>
    <n v="4"/>
    <n v="1"/>
    <n v="10"/>
    <n v="3"/>
    <n v="2"/>
    <n v="9"/>
    <n v="6"/>
    <n v="1"/>
    <n v="4"/>
    <x v="1"/>
    <s v="Mid"/>
    <n v="6281.2528616024974"/>
    <s v="Below salary"/>
    <s v="Medium Risk"/>
  </r>
  <r>
    <n v="39"/>
    <x v="1"/>
    <s v="Travel_Rarely"/>
    <n v="1387"/>
    <x v="1"/>
    <n v="10"/>
    <n v="5"/>
    <s v="Medical"/>
    <n v="1618"/>
    <n v="2"/>
    <x v="1"/>
    <n v="76"/>
    <n v="3"/>
    <n v="2"/>
    <x v="3"/>
    <n v="1"/>
    <s v="Married"/>
    <x v="1064"/>
    <n v="3835"/>
    <n v="2"/>
    <x v="1"/>
    <n v="13"/>
    <n v="3"/>
    <n v="4"/>
    <n v="3"/>
    <n v="10"/>
    <n v="3"/>
    <n v="3"/>
    <n v="7"/>
    <n v="7"/>
    <n v="7"/>
    <n v="7"/>
    <x v="0"/>
    <s v="Mid"/>
    <n v="6281.2528616024974"/>
    <s v="Below salary"/>
    <s v="Medium Risk"/>
  </r>
  <r>
    <n v="27"/>
    <x v="1"/>
    <s v="Travel_Rarely"/>
    <n v="1302"/>
    <x v="1"/>
    <n v="19"/>
    <n v="3"/>
    <s v="Other"/>
    <n v="1619"/>
    <n v="4"/>
    <x v="1"/>
    <n v="67"/>
    <n v="2"/>
    <n v="1"/>
    <x v="2"/>
    <n v="1"/>
    <s v="Divorced"/>
    <x v="1065"/>
    <n v="16290"/>
    <n v="1"/>
    <x v="1"/>
    <n v="11"/>
    <n v="3"/>
    <n v="1"/>
    <n v="2"/>
    <n v="7"/>
    <n v="3"/>
    <n v="3"/>
    <n v="7"/>
    <n v="7"/>
    <n v="0"/>
    <n v="7"/>
    <x v="2"/>
    <s v="Mid"/>
    <n v="6281.2528616024974"/>
    <s v="Below salary"/>
    <s v="Medium Risk"/>
  </r>
  <r>
    <n v="35"/>
    <x v="1"/>
    <s v="Travel_Rarely"/>
    <n v="819"/>
    <x v="1"/>
    <n v="18"/>
    <n v="5"/>
    <s v="Life Sciences"/>
    <n v="1621"/>
    <n v="2"/>
    <x v="1"/>
    <n v="48"/>
    <n v="4"/>
    <n v="2"/>
    <x v="1"/>
    <n v="1"/>
    <s v="Married"/>
    <x v="1066"/>
    <n v="26312"/>
    <n v="1"/>
    <x v="1"/>
    <n v="11"/>
    <n v="3"/>
    <n v="4"/>
    <n v="0"/>
    <n v="16"/>
    <n v="2"/>
    <n v="3"/>
    <n v="16"/>
    <n v="15"/>
    <n v="1"/>
    <n v="10"/>
    <x v="2"/>
    <s v="Mid"/>
    <n v="6281.2528616024974"/>
    <s v="Below salary"/>
    <s v="Medium Risk"/>
  </r>
  <r>
    <n v="28"/>
    <x v="1"/>
    <s v="Travel_Rarely"/>
    <n v="580"/>
    <x v="1"/>
    <n v="27"/>
    <n v="3"/>
    <s v="Medical"/>
    <n v="1622"/>
    <n v="2"/>
    <x v="0"/>
    <n v="39"/>
    <n v="1"/>
    <n v="2"/>
    <x v="3"/>
    <n v="1"/>
    <s v="Divorced"/>
    <x v="1067"/>
    <n v="20460"/>
    <n v="0"/>
    <x v="1"/>
    <n v="21"/>
    <n v="4"/>
    <n v="2"/>
    <n v="1"/>
    <n v="6"/>
    <n v="5"/>
    <n v="2"/>
    <n v="5"/>
    <n v="3"/>
    <n v="0"/>
    <n v="0"/>
    <x v="2"/>
    <s v="Mid"/>
    <n v="6281.2528616024974"/>
    <s v="Below salary"/>
    <s v="Medium Risk"/>
  </r>
  <r>
    <n v="21"/>
    <x v="1"/>
    <s v="Travel_Rarely"/>
    <n v="546"/>
    <x v="1"/>
    <n v="5"/>
    <n v="1"/>
    <s v="Medical"/>
    <n v="1623"/>
    <n v="3"/>
    <x v="1"/>
    <n v="97"/>
    <n v="3"/>
    <n v="1"/>
    <x v="1"/>
    <n v="4"/>
    <s v="Single"/>
    <x v="1068"/>
    <n v="26009"/>
    <n v="1"/>
    <x v="1"/>
    <n v="18"/>
    <n v="3"/>
    <n v="3"/>
    <n v="0"/>
    <n v="3"/>
    <n v="2"/>
    <n v="3"/>
    <n v="2"/>
    <n v="2"/>
    <n v="2"/>
    <n v="2"/>
    <x v="3"/>
    <s v="Mid"/>
    <n v="6281.2528616024974"/>
    <s v="Below salary"/>
    <s v="Low Risk"/>
  </r>
  <r>
    <n v="18"/>
    <x v="0"/>
    <s v="Travel_Frequently"/>
    <n v="544"/>
    <x v="0"/>
    <n v="3"/>
    <n v="2"/>
    <s v="Medical"/>
    <n v="1624"/>
    <n v="2"/>
    <x v="0"/>
    <n v="70"/>
    <n v="3"/>
    <n v="1"/>
    <x v="6"/>
    <n v="4"/>
    <s v="Single"/>
    <x v="1069"/>
    <n v="18420"/>
    <n v="1"/>
    <x v="0"/>
    <n v="12"/>
    <n v="3"/>
    <n v="3"/>
    <n v="0"/>
    <n v="0"/>
    <n v="2"/>
    <n v="4"/>
    <n v="0"/>
    <n v="0"/>
    <n v="0"/>
    <n v="0"/>
    <x v="3"/>
    <s v="Low"/>
    <n v="6959.17264573991"/>
    <s v="Below salary"/>
    <s v="Medium Risk"/>
  </r>
  <r>
    <n v="47"/>
    <x v="1"/>
    <s v="Travel_Rarely"/>
    <n v="1176"/>
    <x v="2"/>
    <n v="26"/>
    <n v="4"/>
    <s v="Life Sciences"/>
    <n v="1625"/>
    <n v="4"/>
    <x v="0"/>
    <n v="98"/>
    <n v="3"/>
    <n v="5"/>
    <x v="5"/>
    <n v="3"/>
    <s v="Married"/>
    <x v="1070"/>
    <n v="5220"/>
    <n v="3"/>
    <x v="1"/>
    <n v="11"/>
    <n v="3"/>
    <n v="3"/>
    <n v="1"/>
    <n v="27"/>
    <n v="2"/>
    <n v="3"/>
    <n v="5"/>
    <n v="2"/>
    <n v="1"/>
    <n v="0"/>
    <x v="1"/>
    <s v="Very High"/>
    <n v="6654.5079365079364"/>
    <s v="Above salary"/>
    <s v="Low Risk"/>
  </r>
  <r>
    <n v="39"/>
    <x v="1"/>
    <s v="Travel_Rarely"/>
    <n v="170"/>
    <x v="1"/>
    <n v="3"/>
    <n v="2"/>
    <s v="Medical"/>
    <n v="1627"/>
    <n v="3"/>
    <x v="1"/>
    <n v="76"/>
    <n v="2"/>
    <n v="2"/>
    <x v="2"/>
    <n v="3"/>
    <s v="Divorced"/>
    <x v="1071"/>
    <n v="10302"/>
    <n v="0"/>
    <x v="1"/>
    <n v="15"/>
    <n v="3"/>
    <n v="4"/>
    <n v="1"/>
    <n v="11"/>
    <n v="3"/>
    <n v="3"/>
    <n v="10"/>
    <n v="8"/>
    <n v="0"/>
    <n v="7"/>
    <x v="0"/>
    <s v="Mid"/>
    <n v="6281.2528616024974"/>
    <s v="Below salary"/>
    <s v="Low Risk"/>
  </r>
  <r>
    <n v="40"/>
    <x v="1"/>
    <s v="Travel_Rarely"/>
    <n v="884"/>
    <x v="1"/>
    <n v="15"/>
    <n v="3"/>
    <s v="Life Sciences"/>
    <n v="1628"/>
    <n v="1"/>
    <x v="0"/>
    <n v="80"/>
    <n v="2"/>
    <n v="3"/>
    <x v="3"/>
    <n v="3"/>
    <s v="Married"/>
    <x v="1072"/>
    <n v="25800"/>
    <n v="1"/>
    <x v="1"/>
    <n v="13"/>
    <n v="3"/>
    <n v="4"/>
    <n v="2"/>
    <n v="18"/>
    <n v="2"/>
    <n v="3"/>
    <n v="18"/>
    <n v="15"/>
    <n v="14"/>
    <n v="12"/>
    <x v="0"/>
    <s v="High"/>
    <n v="6281.2528616024974"/>
    <s v="Above salary"/>
    <s v="Low Risk"/>
  </r>
  <r>
    <n v="35"/>
    <x v="1"/>
    <s v="Non-Travel"/>
    <n v="208"/>
    <x v="1"/>
    <n v="8"/>
    <n v="4"/>
    <s v="Life Sciences"/>
    <n v="1630"/>
    <n v="3"/>
    <x v="0"/>
    <n v="52"/>
    <n v="3"/>
    <n v="2"/>
    <x v="4"/>
    <n v="3"/>
    <s v="Married"/>
    <x v="691"/>
    <n v="12250"/>
    <n v="1"/>
    <x v="1"/>
    <n v="12"/>
    <n v="3"/>
    <n v="4"/>
    <n v="1"/>
    <n v="15"/>
    <n v="5"/>
    <n v="3"/>
    <n v="14"/>
    <n v="11"/>
    <n v="2"/>
    <n v="9"/>
    <x v="2"/>
    <s v="Mid"/>
    <n v="6281.2528616024974"/>
    <s v="Below salary"/>
    <s v="Low Risk"/>
  </r>
  <r>
    <n v="37"/>
    <x v="1"/>
    <s v="Travel_Rarely"/>
    <n v="671"/>
    <x v="1"/>
    <n v="19"/>
    <n v="3"/>
    <s v="Life Sciences"/>
    <n v="1631"/>
    <n v="3"/>
    <x v="1"/>
    <n v="85"/>
    <n v="3"/>
    <n v="2"/>
    <x v="3"/>
    <n v="3"/>
    <s v="Married"/>
    <x v="1073"/>
    <n v="26493"/>
    <n v="3"/>
    <x v="1"/>
    <n v="17"/>
    <n v="3"/>
    <n v="1"/>
    <n v="3"/>
    <n v="9"/>
    <n v="2"/>
    <n v="2"/>
    <n v="4"/>
    <n v="3"/>
    <n v="0"/>
    <n v="2"/>
    <x v="0"/>
    <s v="Mid"/>
    <n v="6281.2528616024974"/>
    <s v="Below salary"/>
    <s v="Low Risk"/>
  </r>
  <r>
    <n v="39"/>
    <x v="1"/>
    <s v="Travel_Frequently"/>
    <n v="711"/>
    <x v="1"/>
    <n v="4"/>
    <n v="3"/>
    <s v="Medical"/>
    <n v="1633"/>
    <n v="1"/>
    <x v="0"/>
    <n v="81"/>
    <n v="3"/>
    <n v="2"/>
    <x v="3"/>
    <n v="3"/>
    <s v="Single"/>
    <x v="1074"/>
    <n v="3140"/>
    <n v="0"/>
    <x v="1"/>
    <n v="13"/>
    <n v="3"/>
    <n v="4"/>
    <n v="0"/>
    <n v="10"/>
    <n v="2"/>
    <n v="1"/>
    <n v="9"/>
    <n v="2"/>
    <n v="3"/>
    <n v="8"/>
    <x v="0"/>
    <s v="Mid"/>
    <n v="6281.2528616024974"/>
    <s v="Below salary"/>
    <s v="Low Risk"/>
  </r>
  <r>
    <n v="45"/>
    <x v="1"/>
    <s v="Travel_Rarely"/>
    <n v="1329"/>
    <x v="1"/>
    <n v="2"/>
    <n v="2"/>
    <s v="Other"/>
    <n v="1635"/>
    <n v="4"/>
    <x v="0"/>
    <n v="59"/>
    <n v="2"/>
    <n v="2"/>
    <x v="3"/>
    <n v="4"/>
    <s v="Divorced"/>
    <x v="1075"/>
    <n v="5388"/>
    <n v="1"/>
    <x v="1"/>
    <n v="19"/>
    <n v="3"/>
    <n v="1"/>
    <n v="2"/>
    <n v="10"/>
    <n v="3"/>
    <n v="3"/>
    <n v="10"/>
    <n v="7"/>
    <n v="3"/>
    <n v="9"/>
    <x v="0"/>
    <s v="Mid"/>
    <n v="6281.2528616024974"/>
    <s v="Below salary"/>
    <s v="Low Risk"/>
  </r>
  <r>
    <n v="38"/>
    <x v="1"/>
    <s v="Travel_Rarely"/>
    <n v="397"/>
    <x v="1"/>
    <n v="2"/>
    <n v="2"/>
    <s v="Medical"/>
    <n v="1638"/>
    <n v="4"/>
    <x v="0"/>
    <n v="54"/>
    <n v="2"/>
    <n v="3"/>
    <x v="3"/>
    <n v="3"/>
    <s v="Married"/>
    <x v="751"/>
    <n v="14199"/>
    <n v="3"/>
    <x v="0"/>
    <n v="19"/>
    <n v="3"/>
    <n v="4"/>
    <n v="1"/>
    <n v="10"/>
    <n v="6"/>
    <n v="4"/>
    <n v="5"/>
    <n v="4"/>
    <n v="0"/>
    <n v="2"/>
    <x v="0"/>
    <s v="High"/>
    <n v="6281.2528616024974"/>
    <s v="Above salary"/>
    <s v="Medium Risk"/>
  </r>
  <r>
    <n v="35"/>
    <x v="0"/>
    <s v="Travel_Rarely"/>
    <n v="737"/>
    <x v="0"/>
    <n v="10"/>
    <n v="3"/>
    <s v="Medical"/>
    <n v="1639"/>
    <n v="4"/>
    <x v="1"/>
    <n v="55"/>
    <n v="2"/>
    <n v="3"/>
    <x v="0"/>
    <n v="1"/>
    <s v="Married"/>
    <x v="1076"/>
    <n v="21530"/>
    <n v="9"/>
    <x v="1"/>
    <n v="17"/>
    <n v="3"/>
    <n v="3"/>
    <n v="0"/>
    <n v="15"/>
    <n v="3"/>
    <n v="3"/>
    <n v="13"/>
    <n v="12"/>
    <n v="6"/>
    <n v="0"/>
    <x v="2"/>
    <s v="High"/>
    <n v="6959.17264573991"/>
    <s v="Above salary"/>
    <s v="Medium Risk"/>
  </r>
  <r>
    <n v="37"/>
    <x v="1"/>
    <s v="Travel_Rarely"/>
    <n v="1470"/>
    <x v="1"/>
    <n v="10"/>
    <n v="3"/>
    <s v="Medical"/>
    <n v="1640"/>
    <n v="2"/>
    <x v="0"/>
    <n v="71"/>
    <n v="3"/>
    <n v="1"/>
    <x v="1"/>
    <n v="2"/>
    <s v="Married"/>
    <x v="1077"/>
    <n v="9953"/>
    <n v="1"/>
    <x v="1"/>
    <n v="11"/>
    <n v="3"/>
    <n v="1"/>
    <n v="1"/>
    <n v="8"/>
    <n v="2"/>
    <n v="1"/>
    <n v="8"/>
    <n v="4"/>
    <n v="7"/>
    <n v="7"/>
    <x v="0"/>
    <s v="Mid"/>
    <n v="6281.2528616024974"/>
    <s v="Below salary"/>
    <s v="Medium Risk"/>
  </r>
  <r>
    <n v="40"/>
    <x v="1"/>
    <s v="Travel_Rarely"/>
    <n v="448"/>
    <x v="1"/>
    <n v="16"/>
    <n v="3"/>
    <s v="Life Sciences"/>
    <n v="1641"/>
    <n v="3"/>
    <x v="0"/>
    <n v="84"/>
    <n v="3"/>
    <n v="3"/>
    <x v="3"/>
    <n v="4"/>
    <s v="Single"/>
    <x v="1078"/>
    <n v="19948"/>
    <n v="6"/>
    <x v="0"/>
    <n v="15"/>
    <n v="3"/>
    <n v="4"/>
    <n v="0"/>
    <n v="18"/>
    <n v="2"/>
    <n v="2"/>
    <n v="4"/>
    <n v="2"/>
    <n v="3"/>
    <n v="3"/>
    <x v="0"/>
    <s v="High"/>
    <n v="6281.2528616024974"/>
    <s v="Above salary"/>
    <s v="Medium Risk"/>
  </r>
  <r>
    <n v="44"/>
    <x v="1"/>
    <s v="Travel_Frequently"/>
    <n v="602"/>
    <x v="2"/>
    <n v="1"/>
    <n v="5"/>
    <s v="Human Resources"/>
    <n v="1642"/>
    <n v="1"/>
    <x v="1"/>
    <n v="37"/>
    <n v="3"/>
    <n v="2"/>
    <x v="8"/>
    <n v="4"/>
    <s v="Married"/>
    <x v="1079"/>
    <n v="10503"/>
    <n v="4"/>
    <x v="0"/>
    <n v="11"/>
    <n v="3"/>
    <n v="3"/>
    <n v="0"/>
    <n v="14"/>
    <n v="3"/>
    <n v="3"/>
    <n v="10"/>
    <n v="7"/>
    <n v="0"/>
    <n v="2"/>
    <x v="0"/>
    <s v="Mid"/>
    <n v="6654.5079365079364"/>
    <s v="Below salary"/>
    <s v="Medium Risk"/>
  </r>
  <r>
    <n v="48"/>
    <x v="1"/>
    <s v="Travel_Frequently"/>
    <n v="365"/>
    <x v="1"/>
    <n v="4"/>
    <n v="5"/>
    <s v="Medical"/>
    <n v="1644"/>
    <n v="3"/>
    <x v="1"/>
    <n v="89"/>
    <n v="2"/>
    <n v="4"/>
    <x v="5"/>
    <n v="4"/>
    <s v="Married"/>
    <x v="1080"/>
    <n v="5602"/>
    <n v="2"/>
    <x v="1"/>
    <n v="25"/>
    <n v="4"/>
    <n v="2"/>
    <n v="1"/>
    <n v="23"/>
    <n v="3"/>
    <n v="3"/>
    <n v="2"/>
    <n v="2"/>
    <n v="2"/>
    <n v="2"/>
    <x v="1"/>
    <s v="Very High"/>
    <n v="6281.2528616024974"/>
    <s v="Above salary"/>
    <s v="Low Risk"/>
  </r>
  <r>
    <n v="35"/>
    <x v="0"/>
    <s v="Travel_Rarely"/>
    <n v="763"/>
    <x v="0"/>
    <n v="15"/>
    <n v="2"/>
    <s v="Medical"/>
    <n v="1645"/>
    <n v="1"/>
    <x v="1"/>
    <n v="59"/>
    <n v="1"/>
    <n v="2"/>
    <x v="0"/>
    <n v="4"/>
    <s v="Divorced"/>
    <x v="1081"/>
    <n v="22098"/>
    <n v="6"/>
    <x v="0"/>
    <n v="14"/>
    <n v="3"/>
    <n v="4"/>
    <n v="2"/>
    <n v="7"/>
    <n v="2"/>
    <n v="2"/>
    <n v="2"/>
    <n v="2"/>
    <n v="2"/>
    <n v="2"/>
    <x v="2"/>
    <s v="Mid"/>
    <n v="6959.17264573991"/>
    <s v="Below salary"/>
    <s v="Medium Risk"/>
  </r>
  <r>
    <n v="24"/>
    <x v="1"/>
    <s v="Travel_Frequently"/>
    <n v="567"/>
    <x v="1"/>
    <n v="2"/>
    <n v="1"/>
    <s v="Technical Degree"/>
    <n v="1646"/>
    <n v="1"/>
    <x v="0"/>
    <n v="32"/>
    <n v="3"/>
    <n v="1"/>
    <x v="1"/>
    <n v="4"/>
    <s v="Single"/>
    <x v="841"/>
    <n v="17218"/>
    <n v="1"/>
    <x v="0"/>
    <n v="13"/>
    <n v="3"/>
    <n v="3"/>
    <n v="0"/>
    <n v="6"/>
    <n v="2"/>
    <n v="3"/>
    <n v="6"/>
    <n v="3"/>
    <n v="1"/>
    <n v="3"/>
    <x v="3"/>
    <s v="Mid"/>
    <n v="6281.2528616024974"/>
    <s v="Below salary"/>
    <s v="Medium Risk"/>
  </r>
  <r>
    <n v="27"/>
    <x v="1"/>
    <s v="Travel_Rarely"/>
    <n v="486"/>
    <x v="1"/>
    <n v="8"/>
    <n v="3"/>
    <s v="Medical"/>
    <n v="1647"/>
    <n v="2"/>
    <x v="0"/>
    <n v="86"/>
    <n v="4"/>
    <n v="1"/>
    <x v="1"/>
    <n v="3"/>
    <s v="Married"/>
    <x v="1082"/>
    <n v="22490"/>
    <n v="7"/>
    <x v="1"/>
    <n v="17"/>
    <n v="3"/>
    <n v="1"/>
    <n v="0"/>
    <n v="5"/>
    <n v="0"/>
    <n v="3"/>
    <n v="3"/>
    <n v="2"/>
    <n v="0"/>
    <n v="2"/>
    <x v="2"/>
    <s v="Mid"/>
    <n v="6281.2528616024974"/>
    <s v="Below salary"/>
    <s v="Low Risk"/>
  </r>
  <r>
    <n v="27"/>
    <x v="1"/>
    <s v="Travel_Frequently"/>
    <n v="591"/>
    <x v="1"/>
    <n v="2"/>
    <n v="3"/>
    <s v="Medical"/>
    <n v="1648"/>
    <n v="4"/>
    <x v="1"/>
    <n v="87"/>
    <n v="3"/>
    <n v="1"/>
    <x v="1"/>
    <n v="4"/>
    <s v="Single"/>
    <x v="1083"/>
    <n v="6297"/>
    <n v="2"/>
    <x v="1"/>
    <n v="13"/>
    <n v="3"/>
    <n v="3"/>
    <n v="0"/>
    <n v="6"/>
    <n v="0"/>
    <n v="2"/>
    <n v="4"/>
    <n v="2"/>
    <n v="1"/>
    <n v="2"/>
    <x v="2"/>
    <s v="Low"/>
    <n v="6281.2528616024974"/>
    <s v="Below salary"/>
    <s v="Low Risk"/>
  </r>
  <r>
    <n v="40"/>
    <x v="0"/>
    <s v="Travel_Rarely"/>
    <n v="1329"/>
    <x v="1"/>
    <n v="7"/>
    <n v="3"/>
    <s v="Life Sciences"/>
    <n v="1649"/>
    <n v="1"/>
    <x v="1"/>
    <n v="73"/>
    <n v="3"/>
    <n v="1"/>
    <x v="2"/>
    <n v="1"/>
    <s v="Single"/>
    <x v="1084"/>
    <n v="3339"/>
    <n v="3"/>
    <x v="0"/>
    <n v="14"/>
    <n v="3"/>
    <n v="2"/>
    <n v="0"/>
    <n v="10"/>
    <n v="3"/>
    <n v="1"/>
    <n v="4"/>
    <n v="2"/>
    <n v="0"/>
    <n v="3"/>
    <x v="0"/>
    <s v="Low"/>
    <n v="6281.2528616024974"/>
    <s v="Below salary"/>
    <s v="High Risk"/>
  </r>
  <r>
    <n v="29"/>
    <x v="1"/>
    <s v="Travel_Rarely"/>
    <n v="469"/>
    <x v="0"/>
    <n v="10"/>
    <n v="3"/>
    <s v="Medical"/>
    <n v="1650"/>
    <n v="3"/>
    <x v="1"/>
    <n v="42"/>
    <n v="2"/>
    <n v="2"/>
    <x v="0"/>
    <n v="3"/>
    <s v="Single"/>
    <x v="1085"/>
    <n v="23413"/>
    <n v="9"/>
    <x v="1"/>
    <n v="11"/>
    <n v="3"/>
    <n v="3"/>
    <n v="0"/>
    <n v="8"/>
    <n v="2"/>
    <n v="3"/>
    <n v="5"/>
    <n v="2"/>
    <n v="1"/>
    <n v="4"/>
    <x v="2"/>
    <s v="Mid"/>
    <n v="6959.17264573991"/>
    <s v="Below salary"/>
    <s v="Low Risk"/>
  </r>
  <r>
    <n v="36"/>
    <x v="1"/>
    <s v="Travel_Rarely"/>
    <n v="711"/>
    <x v="1"/>
    <n v="5"/>
    <n v="4"/>
    <s v="Life Sciences"/>
    <n v="1651"/>
    <n v="2"/>
    <x v="0"/>
    <n v="42"/>
    <n v="3"/>
    <n v="3"/>
    <x v="4"/>
    <n v="1"/>
    <s v="Married"/>
    <x v="1086"/>
    <n v="22792"/>
    <n v="4"/>
    <x v="1"/>
    <n v="12"/>
    <n v="3"/>
    <n v="3"/>
    <n v="2"/>
    <n v="9"/>
    <n v="6"/>
    <n v="3"/>
    <n v="3"/>
    <n v="2"/>
    <n v="0"/>
    <n v="2"/>
    <x v="0"/>
    <s v="High"/>
    <n v="6281.2528616024974"/>
    <s v="Above salary"/>
    <s v="Medium Risk"/>
  </r>
  <r>
    <n v="25"/>
    <x v="1"/>
    <s v="Travel_Frequently"/>
    <n v="772"/>
    <x v="1"/>
    <n v="2"/>
    <n v="1"/>
    <s v="Life Sciences"/>
    <n v="1653"/>
    <n v="4"/>
    <x v="1"/>
    <n v="77"/>
    <n v="4"/>
    <n v="2"/>
    <x v="3"/>
    <n v="3"/>
    <s v="Divorced"/>
    <x v="1087"/>
    <n v="4973"/>
    <n v="1"/>
    <x v="1"/>
    <n v="17"/>
    <n v="3"/>
    <n v="3"/>
    <n v="2"/>
    <n v="7"/>
    <n v="6"/>
    <n v="3"/>
    <n v="7"/>
    <n v="7"/>
    <n v="0"/>
    <n v="7"/>
    <x v="3"/>
    <s v="Mid"/>
    <n v="6281.2528616024974"/>
    <s v="Below salary"/>
    <s v="Low Risk"/>
  </r>
  <r>
    <n v="39"/>
    <x v="1"/>
    <s v="Travel_Rarely"/>
    <n v="492"/>
    <x v="1"/>
    <n v="12"/>
    <n v="3"/>
    <s v="Medical"/>
    <n v="1654"/>
    <n v="4"/>
    <x v="1"/>
    <n v="66"/>
    <n v="3"/>
    <n v="2"/>
    <x v="3"/>
    <n v="2"/>
    <s v="Married"/>
    <x v="1088"/>
    <n v="7693"/>
    <n v="4"/>
    <x v="1"/>
    <n v="21"/>
    <n v="4"/>
    <n v="3"/>
    <n v="0"/>
    <n v="7"/>
    <n v="3"/>
    <n v="3"/>
    <n v="5"/>
    <n v="4"/>
    <n v="1"/>
    <n v="0"/>
    <x v="0"/>
    <s v="Mid"/>
    <n v="6281.2528616024974"/>
    <s v="Below salary"/>
    <s v="Medium Risk"/>
  </r>
  <r>
    <n v="49"/>
    <x v="1"/>
    <s v="Travel_Rarely"/>
    <n v="301"/>
    <x v="1"/>
    <n v="22"/>
    <n v="4"/>
    <s v="Other"/>
    <n v="1655"/>
    <n v="1"/>
    <x v="0"/>
    <n v="72"/>
    <n v="3"/>
    <n v="4"/>
    <x v="7"/>
    <n v="2"/>
    <s v="Married"/>
    <x v="1089"/>
    <n v="3498"/>
    <n v="3"/>
    <x v="1"/>
    <n v="16"/>
    <n v="3"/>
    <n v="2"/>
    <n v="2"/>
    <n v="27"/>
    <n v="2"/>
    <n v="3"/>
    <n v="4"/>
    <n v="2"/>
    <n v="1"/>
    <n v="2"/>
    <x v="1"/>
    <s v="Very High"/>
    <n v="6281.2528616024974"/>
    <s v="Above salary"/>
    <s v="Medium Risk"/>
  </r>
  <r>
    <n v="50"/>
    <x v="1"/>
    <s v="Travel_Rarely"/>
    <n v="813"/>
    <x v="1"/>
    <n v="17"/>
    <n v="5"/>
    <s v="Life Sciences"/>
    <n v="1656"/>
    <n v="4"/>
    <x v="0"/>
    <n v="50"/>
    <n v="2"/>
    <n v="3"/>
    <x v="7"/>
    <n v="1"/>
    <s v="Divorced"/>
    <x v="1090"/>
    <n v="21981"/>
    <n v="5"/>
    <x v="1"/>
    <n v="15"/>
    <n v="3"/>
    <n v="3"/>
    <n v="3"/>
    <n v="19"/>
    <n v="3"/>
    <n v="3"/>
    <n v="14"/>
    <n v="11"/>
    <n v="1"/>
    <n v="11"/>
    <x v="1"/>
    <s v="Very High"/>
    <n v="6281.2528616024974"/>
    <s v="Above salary"/>
    <s v="Medium Risk"/>
  </r>
  <r>
    <n v="20"/>
    <x v="1"/>
    <s v="Travel_Rarely"/>
    <n v="1141"/>
    <x v="0"/>
    <n v="2"/>
    <n v="3"/>
    <s v="Medical"/>
    <n v="1657"/>
    <n v="3"/>
    <x v="0"/>
    <n v="31"/>
    <n v="3"/>
    <n v="1"/>
    <x v="6"/>
    <n v="3"/>
    <s v="Single"/>
    <x v="1091"/>
    <n v="13251"/>
    <n v="1"/>
    <x v="1"/>
    <n v="19"/>
    <n v="3"/>
    <n v="1"/>
    <n v="0"/>
    <n v="2"/>
    <n v="3"/>
    <n v="3"/>
    <n v="2"/>
    <n v="2"/>
    <n v="2"/>
    <n v="2"/>
    <x v="3"/>
    <s v="Low"/>
    <n v="6959.17264573991"/>
    <s v="Below salary"/>
    <s v="Low Risk"/>
  </r>
  <r>
    <n v="34"/>
    <x v="1"/>
    <s v="Travel_Rarely"/>
    <n v="1130"/>
    <x v="1"/>
    <n v="3"/>
    <n v="3"/>
    <s v="Life Sciences"/>
    <n v="1658"/>
    <n v="4"/>
    <x v="0"/>
    <n v="66"/>
    <n v="3"/>
    <n v="2"/>
    <x v="1"/>
    <n v="2"/>
    <s v="Divorced"/>
    <x v="1092"/>
    <n v="19332"/>
    <n v="1"/>
    <x v="1"/>
    <n v="12"/>
    <n v="3"/>
    <n v="3"/>
    <n v="1"/>
    <n v="11"/>
    <n v="2"/>
    <n v="3"/>
    <n v="11"/>
    <n v="8"/>
    <n v="7"/>
    <n v="9"/>
    <x v="2"/>
    <s v="Mid"/>
    <n v="6281.2528616024974"/>
    <s v="Below salary"/>
    <s v="Medium Risk"/>
  </r>
  <r>
    <n v="36"/>
    <x v="1"/>
    <s v="Travel_Rarely"/>
    <n v="311"/>
    <x v="1"/>
    <n v="7"/>
    <n v="3"/>
    <s v="Life Sciences"/>
    <n v="1659"/>
    <n v="1"/>
    <x v="1"/>
    <n v="77"/>
    <n v="3"/>
    <n v="1"/>
    <x v="2"/>
    <n v="2"/>
    <s v="Single"/>
    <x v="1093"/>
    <n v="10950"/>
    <n v="2"/>
    <x v="1"/>
    <n v="11"/>
    <n v="3"/>
    <n v="3"/>
    <n v="0"/>
    <n v="15"/>
    <n v="4"/>
    <n v="3"/>
    <n v="4"/>
    <n v="3"/>
    <n v="1"/>
    <n v="3"/>
    <x v="0"/>
    <s v="Low"/>
    <n v="6281.2528616024974"/>
    <s v="Below salary"/>
    <s v="Medium Risk"/>
  </r>
  <r>
    <n v="49"/>
    <x v="1"/>
    <s v="Travel_Rarely"/>
    <n v="465"/>
    <x v="1"/>
    <n v="6"/>
    <n v="1"/>
    <s v="Life Sciences"/>
    <n v="1661"/>
    <n v="3"/>
    <x v="0"/>
    <n v="41"/>
    <n v="2"/>
    <n v="4"/>
    <x v="4"/>
    <n v="3"/>
    <s v="Married"/>
    <x v="1094"/>
    <n v="11652"/>
    <n v="2"/>
    <x v="0"/>
    <n v="19"/>
    <n v="3"/>
    <n v="2"/>
    <n v="1"/>
    <n v="30"/>
    <n v="3"/>
    <n v="3"/>
    <n v="15"/>
    <n v="11"/>
    <n v="2"/>
    <n v="12"/>
    <x v="1"/>
    <s v="Very High"/>
    <n v="6281.2528616024974"/>
    <s v="Above salary"/>
    <s v="Medium Risk"/>
  </r>
  <r>
    <n v="36"/>
    <x v="1"/>
    <s v="Non-Travel"/>
    <n v="894"/>
    <x v="1"/>
    <n v="1"/>
    <n v="4"/>
    <s v="Medical"/>
    <n v="1662"/>
    <n v="4"/>
    <x v="0"/>
    <n v="33"/>
    <n v="2"/>
    <n v="2"/>
    <x v="3"/>
    <n v="3"/>
    <s v="Married"/>
    <x v="1095"/>
    <n v="15411"/>
    <n v="0"/>
    <x v="1"/>
    <n v="15"/>
    <n v="3"/>
    <n v="3"/>
    <n v="0"/>
    <n v="4"/>
    <n v="6"/>
    <n v="3"/>
    <n v="3"/>
    <n v="2"/>
    <n v="1"/>
    <n v="2"/>
    <x v="0"/>
    <s v="Mid"/>
    <n v="6281.2528616024974"/>
    <s v="Below salary"/>
    <s v="Low Risk"/>
  </r>
  <r>
    <n v="36"/>
    <x v="1"/>
    <s v="Travel_Rarely"/>
    <n v="1040"/>
    <x v="1"/>
    <n v="3"/>
    <n v="2"/>
    <s v="Life Sciences"/>
    <n v="1664"/>
    <n v="4"/>
    <x v="1"/>
    <n v="79"/>
    <n v="4"/>
    <n v="2"/>
    <x v="4"/>
    <n v="1"/>
    <s v="Divorced"/>
    <x v="1096"/>
    <n v="26308"/>
    <n v="6"/>
    <x v="1"/>
    <n v="20"/>
    <n v="4"/>
    <n v="1"/>
    <n v="1"/>
    <n v="13"/>
    <n v="3"/>
    <n v="3"/>
    <n v="5"/>
    <n v="4"/>
    <n v="0"/>
    <n v="4"/>
    <x v="0"/>
    <s v="Mid"/>
    <n v="6281.2528616024974"/>
    <s v="Above salary"/>
    <s v="Medium Risk"/>
  </r>
  <r>
    <n v="54"/>
    <x v="1"/>
    <s v="Travel_Rarely"/>
    <n v="584"/>
    <x v="1"/>
    <n v="22"/>
    <n v="5"/>
    <s v="Medical"/>
    <n v="1665"/>
    <n v="2"/>
    <x v="0"/>
    <n v="91"/>
    <n v="3"/>
    <n v="4"/>
    <x v="5"/>
    <n v="3"/>
    <s v="Married"/>
    <x v="1097"/>
    <n v="18685"/>
    <n v="3"/>
    <x v="1"/>
    <n v="25"/>
    <n v="4"/>
    <n v="3"/>
    <n v="1"/>
    <n v="36"/>
    <n v="6"/>
    <n v="3"/>
    <n v="10"/>
    <n v="8"/>
    <n v="4"/>
    <n v="7"/>
    <x v="1"/>
    <s v="Very High"/>
    <n v="6281.2528616024974"/>
    <s v="Above salary"/>
    <s v="Low Risk"/>
  </r>
  <r>
    <n v="43"/>
    <x v="1"/>
    <s v="Travel_Rarely"/>
    <n v="1291"/>
    <x v="1"/>
    <n v="15"/>
    <n v="2"/>
    <s v="Life Sciences"/>
    <n v="1666"/>
    <n v="3"/>
    <x v="1"/>
    <n v="65"/>
    <n v="2"/>
    <n v="4"/>
    <x v="7"/>
    <n v="3"/>
    <s v="Married"/>
    <x v="1098"/>
    <n v="3525"/>
    <n v="1"/>
    <x v="1"/>
    <n v="24"/>
    <n v="4"/>
    <n v="1"/>
    <n v="1"/>
    <n v="14"/>
    <n v="3"/>
    <n v="3"/>
    <n v="14"/>
    <n v="10"/>
    <n v="6"/>
    <n v="11"/>
    <x v="0"/>
    <s v="Very High"/>
    <n v="6281.2528616024974"/>
    <s v="Above salary"/>
    <s v="Low Risk"/>
  </r>
  <r>
    <n v="35"/>
    <x v="0"/>
    <s v="Travel_Frequently"/>
    <n v="880"/>
    <x v="0"/>
    <n v="12"/>
    <n v="4"/>
    <s v="Other"/>
    <n v="1667"/>
    <n v="4"/>
    <x v="1"/>
    <n v="36"/>
    <n v="3"/>
    <n v="2"/>
    <x v="0"/>
    <n v="4"/>
    <s v="Single"/>
    <x v="1099"/>
    <n v="10414"/>
    <n v="3"/>
    <x v="0"/>
    <n v="24"/>
    <n v="4"/>
    <n v="1"/>
    <n v="0"/>
    <n v="13"/>
    <n v="2"/>
    <n v="4"/>
    <n v="11"/>
    <n v="9"/>
    <n v="6"/>
    <n v="7"/>
    <x v="2"/>
    <s v="Mid"/>
    <n v="6959.17264573991"/>
    <s v="Below salary"/>
    <s v="Medium Risk"/>
  </r>
  <r>
    <n v="38"/>
    <x v="1"/>
    <s v="Travel_Frequently"/>
    <n v="1189"/>
    <x v="1"/>
    <n v="1"/>
    <n v="3"/>
    <s v="Life Sciences"/>
    <n v="1668"/>
    <n v="4"/>
    <x v="1"/>
    <n v="90"/>
    <n v="3"/>
    <n v="2"/>
    <x v="1"/>
    <n v="4"/>
    <s v="Married"/>
    <x v="1100"/>
    <n v="9867"/>
    <n v="7"/>
    <x v="1"/>
    <n v="15"/>
    <n v="3"/>
    <n v="4"/>
    <n v="2"/>
    <n v="19"/>
    <n v="4"/>
    <n v="4"/>
    <n v="13"/>
    <n v="11"/>
    <n v="2"/>
    <n v="9"/>
    <x v="0"/>
    <s v="Mid"/>
    <n v="6281.2528616024974"/>
    <s v="Below salary"/>
    <s v="Low Risk"/>
  </r>
  <r>
    <n v="29"/>
    <x v="1"/>
    <s v="Travel_Rarely"/>
    <n v="991"/>
    <x v="0"/>
    <n v="5"/>
    <n v="3"/>
    <s v="Medical"/>
    <n v="1669"/>
    <n v="1"/>
    <x v="1"/>
    <n v="43"/>
    <n v="2"/>
    <n v="2"/>
    <x v="0"/>
    <n v="2"/>
    <s v="Divorced"/>
    <x v="1101"/>
    <n v="3356"/>
    <n v="1"/>
    <x v="0"/>
    <n v="13"/>
    <n v="3"/>
    <n v="2"/>
    <n v="1"/>
    <n v="10"/>
    <n v="3"/>
    <n v="2"/>
    <n v="10"/>
    <n v="0"/>
    <n v="0"/>
    <n v="9"/>
    <x v="2"/>
    <s v="Mid"/>
    <n v="6959.17264573991"/>
    <s v="Below salary"/>
    <s v="High Risk"/>
  </r>
  <r>
    <n v="33"/>
    <x v="1"/>
    <s v="Travel_Rarely"/>
    <n v="392"/>
    <x v="0"/>
    <n v="2"/>
    <n v="4"/>
    <s v="Medical"/>
    <n v="1670"/>
    <n v="4"/>
    <x v="1"/>
    <n v="93"/>
    <n v="3"/>
    <n v="2"/>
    <x v="0"/>
    <n v="4"/>
    <s v="Divorced"/>
    <x v="1102"/>
    <n v="3921"/>
    <n v="1"/>
    <x v="1"/>
    <n v="14"/>
    <n v="3"/>
    <n v="3"/>
    <n v="2"/>
    <n v="6"/>
    <n v="5"/>
    <n v="3"/>
    <n v="6"/>
    <n v="2"/>
    <n v="0"/>
    <n v="4"/>
    <x v="2"/>
    <s v="Mid"/>
    <n v="6959.17264573991"/>
    <s v="Below salary"/>
    <s v="Low Risk"/>
  </r>
  <r>
    <n v="32"/>
    <x v="1"/>
    <s v="Travel_Rarely"/>
    <n v="977"/>
    <x v="1"/>
    <n v="2"/>
    <n v="3"/>
    <s v="Medical"/>
    <n v="1671"/>
    <n v="4"/>
    <x v="1"/>
    <n v="45"/>
    <n v="3"/>
    <n v="2"/>
    <x v="1"/>
    <n v="2"/>
    <s v="Divorced"/>
    <x v="1103"/>
    <n v="25518"/>
    <n v="0"/>
    <x v="1"/>
    <n v="13"/>
    <n v="3"/>
    <n v="3"/>
    <n v="2"/>
    <n v="10"/>
    <n v="4"/>
    <n v="2"/>
    <n v="9"/>
    <n v="5"/>
    <n v="1"/>
    <n v="6"/>
    <x v="2"/>
    <s v="Mid"/>
    <n v="6281.2528616024974"/>
    <s v="Below salary"/>
    <s v="Medium Risk"/>
  </r>
  <r>
    <n v="31"/>
    <x v="1"/>
    <s v="Travel_Rarely"/>
    <n v="1112"/>
    <x v="0"/>
    <n v="5"/>
    <n v="4"/>
    <s v="Life Sciences"/>
    <n v="1673"/>
    <n v="1"/>
    <x v="0"/>
    <n v="67"/>
    <n v="3"/>
    <n v="2"/>
    <x v="0"/>
    <n v="4"/>
    <s v="Married"/>
    <x v="1104"/>
    <n v="22589"/>
    <n v="1"/>
    <x v="1"/>
    <n v="11"/>
    <n v="3"/>
    <n v="1"/>
    <n v="2"/>
    <n v="10"/>
    <n v="2"/>
    <n v="3"/>
    <n v="10"/>
    <n v="0"/>
    <n v="0"/>
    <n v="2"/>
    <x v="2"/>
    <s v="Mid"/>
    <n v="6959.17264573991"/>
    <s v="Below salary"/>
    <s v="Low Risk"/>
  </r>
  <r>
    <n v="49"/>
    <x v="1"/>
    <s v="Travel_Rarely"/>
    <n v="464"/>
    <x v="1"/>
    <n v="16"/>
    <n v="3"/>
    <s v="Medical"/>
    <n v="1674"/>
    <n v="4"/>
    <x v="0"/>
    <n v="74"/>
    <n v="3"/>
    <n v="1"/>
    <x v="2"/>
    <n v="1"/>
    <s v="Divorced"/>
    <x v="1105"/>
    <n v="24941"/>
    <n v="4"/>
    <x v="0"/>
    <n v="16"/>
    <n v="3"/>
    <n v="2"/>
    <n v="1"/>
    <n v="17"/>
    <n v="2"/>
    <n v="2"/>
    <n v="2"/>
    <n v="2"/>
    <n v="2"/>
    <n v="2"/>
    <x v="1"/>
    <s v="Low"/>
    <n v="6281.2528616024974"/>
    <s v="Below salary"/>
    <s v="High Risk"/>
  </r>
  <r>
    <n v="38"/>
    <x v="1"/>
    <s v="Travel_Frequently"/>
    <n v="148"/>
    <x v="1"/>
    <n v="2"/>
    <n v="3"/>
    <s v="Medical"/>
    <n v="1675"/>
    <n v="4"/>
    <x v="0"/>
    <n v="42"/>
    <n v="2"/>
    <n v="1"/>
    <x v="2"/>
    <n v="2"/>
    <s v="Single"/>
    <x v="1106"/>
    <n v="23826"/>
    <n v="1"/>
    <x v="1"/>
    <n v="22"/>
    <n v="4"/>
    <n v="2"/>
    <n v="0"/>
    <n v="4"/>
    <n v="3"/>
    <n v="3"/>
    <n v="4"/>
    <n v="3"/>
    <n v="3"/>
    <n v="3"/>
    <x v="0"/>
    <s v="Low"/>
    <n v="6281.2528616024974"/>
    <s v="Below salary"/>
    <s v="Medium Risk"/>
  </r>
  <r>
    <n v="47"/>
    <x v="1"/>
    <s v="Travel_Rarely"/>
    <n v="1225"/>
    <x v="0"/>
    <n v="2"/>
    <n v="4"/>
    <s v="Life Sciences"/>
    <n v="1676"/>
    <n v="2"/>
    <x v="0"/>
    <n v="47"/>
    <n v="4"/>
    <n v="4"/>
    <x v="5"/>
    <n v="2"/>
    <s v="Divorced"/>
    <x v="1107"/>
    <n v="21086"/>
    <n v="6"/>
    <x v="1"/>
    <n v="14"/>
    <n v="3"/>
    <n v="3"/>
    <n v="3"/>
    <n v="29"/>
    <n v="2"/>
    <n v="3"/>
    <n v="3"/>
    <n v="2"/>
    <n v="1"/>
    <n v="2"/>
    <x v="1"/>
    <s v="Very High"/>
    <n v="6959.17264573991"/>
    <s v="Above salary"/>
    <s v="Medium Risk"/>
  </r>
  <r>
    <n v="49"/>
    <x v="1"/>
    <s v="Travel_Rarely"/>
    <n v="809"/>
    <x v="1"/>
    <n v="1"/>
    <n v="3"/>
    <s v="Life Sciences"/>
    <n v="1677"/>
    <n v="3"/>
    <x v="1"/>
    <n v="36"/>
    <n v="3"/>
    <n v="4"/>
    <x v="5"/>
    <n v="3"/>
    <s v="Single"/>
    <x v="1108"/>
    <n v="22384"/>
    <n v="4"/>
    <x v="1"/>
    <n v="14"/>
    <n v="3"/>
    <n v="1"/>
    <n v="0"/>
    <n v="23"/>
    <n v="2"/>
    <n v="3"/>
    <n v="8"/>
    <n v="7"/>
    <n v="0"/>
    <n v="0"/>
    <x v="1"/>
    <s v="Very High"/>
    <n v="6281.2528616024974"/>
    <s v="Above salary"/>
    <s v="Low Risk"/>
  </r>
  <r>
    <n v="41"/>
    <x v="1"/>
    <s v="Travel_Rarely"/>
    <n v="1206"/>
    <x v="0"/>
    <n v="23"/>
    <n v="2"/>
    <s v="Life Sciences"/>
    <n v="1678"/>
    <n v="4"/>
    <x v="1"/>
    <n v="80"/>
    <n v="3"/>
    <n v="3"/>
    <x v="0"/>
    <n v="3"/>
    <s v="Single"/>
    <x v="1109"/>
    <n v="11591"/>
    <n v="3"/>
    <x v="0"/>
    <n v="16"/>
    <n v="3"/>
    <n v="4"/>
    <n v="0"/>
    <n v="21"/>
    <n v="2"/>
    <n v="3"/>
    <n v="2"/>
    <n v="0"/>
    <n v="0"/>
    <n v="2"/>
    <x v="0"/>
    <s v="High"/>
    <n v="6959.17264573991"/>
    <s v="Above salary"/>
    <s v="Medium Risk"/>
  </r>
  <r>
    <n v="20"/>
    <x v="1"/>
    <s v="Travel_Rarely"/>
    <n v="727"/>
    <x v="0"/>
    <n v="9"/>
    <n v="1"/>
    <s v="Life Sciences"/>
    <n v="1680"/>
    <n v="4"/>
    <x v="1"/>
    <n v="54"/>
    <n v="3"/>
    <n v="1"/>
    <x v="6"/>
    <n v="1"/>
    <s v="Single"/>
    <x v="1110"/>
    <n v="21082"/>
    <n v="1"/>
    <x v="1"/>
    <n v="11"/>
    <n v="3"/>
    <n v="1"/>
    <n v="0"/>
    <n v="2"/>
    <n v="3"/>
    <n v="3"/>
    <n v="2"/>
    <n v="2"/>
    <n v="0"/>
    <n v="2"/>
    <x v="3"/>
    <s v="Low"/>
    <n v="6959.17264573991"/>
    <s v="Below salary"/>
    <s v="Medium Risk"/>
  </r>
  <r>
    <n v="33"/>
    <x v="1"/>
    <s v="Non-Travel"/>
    <n v="530"/>
    <x v="0"/>
    <n v="16"/>
    <n v="3"/>
    <s v="Life Sciences"/>
    <n v="1681"/>
    <n v="3"/>
    <x v="0"/>
    <n v="36"/>
    <n v="3"/>
    <n v="2"/>
    <x v="0"/>
    <n v="4"/>
    <s v="Divorced"/>
    <x v="1111"/>
    <n v="16130"/>
    <n v="1"/>
    <x v="0"/>
    <n v="25"/>
    <n v="4"/>
    <n v="3"/>
    <n v="1"/>
    <n v="7"/>
    <n v="2"/>
    <n v="3"/>
    <n v="6"/>
    <n v="5"/>
    <n v="1"/>
    <n v="2"/>
    <x v="2"/>
    <s v="Mid"/>
    <n v="6959.17264573991"/>
    <s v="Below salary"/>
    <s v="Medium Risk"/>
  </r>
  <r>
    <n v="36"/>
    <x v="1"/>
    <s v="Travel_Rarely"/>
    <n v="1351"/>
    <x v="1"/>
    <n v="26"/>
    <n v="4"/>
    <s v="Life Sciences"/>
    <n v="1682"/>
    <n v="1"/>
    <x v="1"/>
    <n v="80"/>
    <n v="3"/>
    <n v="2"/>
    <x v="4"/>
    <n v="3"/>
    <s v="Married"/>
    <x v="1112"/>
    <n v="7419"/>
    <n v="6"/>
    <x v="1"/>
    <n v="14"/>
    <n v="3"/>
    <n v="2"/>
    <n v="2"/>
    <n v="10"/>
    <n v="2"/>
    <n v="2"/>
    <n v="3"/>
    <n v="2"/>
    <n v="0"/>
    <n v="2"/>
    <x v="0"/>
    <s v="Mid"/>
    <n v="6281.2528616024974"/>
    <s v="Below salary"/>
    <s v="Low Risk"/>
  </r>
  <r>
    <n v="44"/>
    <x v="1"/>
    <s v="Travel_Rarely"/>
    <n v="528"/>
    <x v="2"/>
    <n v="1"/>
    <n v="3"/>
    <s v="Life Sciences"/>
    <n v="1683"/>
    <n v="3"/>
    <x v="0"/>
    <n v="44"/>
    <n v="3"/>
    <n v="1"/>
    <x v="8"/>
    <n v="4"/>
    <s v="Divorced"/>
    <x v="1113"/>
    <n v="4167"/>
    <n v="4"/>
    <x v="0"/>
    <n v="18"/>
    <n v="3"/>
    <n v="1"/>
    <n v="3"/>
    <n v="8"/>
    <n v="2"/>
    <n v="3"/>
    <n v="2"/>
    <n v="2"/>
    <n v="2"/>
    <n v="2"/>
    <x v="0"/>
    <s v="Mid"/>
    <n v="6654.5079365079364"/>
    <s v="Below salary"/>
    <s v="Medium Risk"/>
  </r>
  <r>
    <n v="23"/>
    <x v="0"/>
    <s v="Travel_Rarely"/>
    <n v="1320"/>
    <x v="1"/>
    <n v="8"/>
    <n v="1"/>
    <s v="Medical"/>
    <n v="1684"/>
    <n v="4"/>
    <x v="1"/>
    <n v="93"/>
    <n v="2"/>
    <n v="1"/>
    <x v="2"/>
    <n v="3"/>
    <s v="Single"/>
    <x v="1114"/>
    <n v="20586"/>
    <n v="1"/>
    <x v="0"/>
    <n v="11"/>
    <n v="3"/>
    <n v="1"/>
    <n v="0"/>
    <n v="5"/>
    <n v="2"/>
    <n v="3"/>
    <n v="5"/>
    <n v="4"/>
    <n v="1"/>
    <n v="2"/>
    <x v="3"/>
    <s v="Mid"/>
    <n v="6281.2528616024974"/>
    <s v="Below salary"/>
    <s v="Medium Risk"/>
  </r>
  <r>
    <n v="38"/>
    <x v="1"/>
    <s v="Travel_Rarely"/>
    <n v="1495"/>
    <x v="1"/>
    <n v="4"/>
    <n v="2"/>
    <s v="Medical"/>
    <n v="1687"/>
    <n v="4"/>
    <x v="0"/>
    <n v="87"/>
    <n v="3"/>
    <n v="1"/>
    <x v="2"/>
    <n v="3"/>
    <s v="Married"/>
    <x v="1115"/>
    <n v="26176"/>
    <n v="7"/>
    <x v="1"/>
    <n v="19"/>
    <n v="3"/>
    <n v="4"/>
    <n v="1"/>
    <n v="7"/>
    <n v="5"/>
    <n v="2"/>
    <n v="0"/>
    <n v="0"/>
    <n v="0"/>
    <n v="0"/>
    <x v="0"/>
    <s v="Mid"/>
    <n v="6281.2528616024974"/>
    <s v="Below salary"/>
    <s v="Low Risk"/>
  </r>
  <r>
    <n v="53"/>
    <x v="1"/>
    <s v="Travel_Rarely"/>
    <n v="1395"/>
    <x v="1"/>
    <n v="24"/>
    <n v="4"/>
    <s v="Medical"/>
    <n v="1689"/>
    <n v="2"/>
    <x v="1"/>
    <n v="48"/>
    <n v="4"/>
    <n v="3"/>
    <x v="4"/>
    <n v="4"/>
    <s v="Married"/>
    <x v="1116"/>
    <n v="3458"/>
    <n v="3"/>
    <x v="1"/>
    <n v="15"/>
    <n v="3"/>
    <n v="3"/>
    <n v="0"/>
    <n v="11"/>
    <n v="2"/>
    <n v="3"/>
    <n v="4"/>
    <n v="3"/>
    <n v="1"/>
    <n v="2"/>
    <x v="1"/>
    <s v="High"/>
    <n v="6281.2528616024974"/>
    <s v="Above salary"/>
    <s v="Low Risk"/>
  </r>
  <r>
    <n v="48"/>
    <x v="0"/>
    <s v="Travel_Frequently"/>
    <n v="708"/>
    <x v="0"/>
    <n v="7"/>
    <n v="2"/>
    <s v="Medical"/>
    <n v="1691"/>
    <n v="4"/>
    <x v="0"/>
    <n v="95"/>
    <n v="3"/>
    <n v="1"/>
    <x v="6"/>
    <n v="3"/>
    <s v="Married"/>
    <x v="1117"/>
    <n v="11740"/>
    <n v="2"/>
    <x v="0"/>
    <n v="11"/>
    <n v="3"/>
    <n v="3"/>
    <n v="2"/>
    <n v="19"/>
    <n v="3"/>
    <n v="3"/>
    <n v="9"/>
    <n v="7"/>
    <n v="7"/>
    <n v="7"/>
    <x v="1"/>
    <s v="Low"/>
    <n v="6959.17264573991"/>
    <s v="Below salary"/>
    <s v="Medium Risk"/>
  </r>
  <r>
    <n v="32"/>
    <x v="0"/>
    <s v="Travel_Rarely"/>
    <n v="1259"/>
    <x v="1"/>
    <n v="2"/>
    <n v="4"/>
    <s v="Life Sciences"/>
    <n v="1692"/>
    <n v="4"/>
    <x v="1"/>
    <n v="95"/>
    <n v="3"/>
    <n v="1"/>
    <x v="2"/>
    <n v="2"/>
    <s v="Single"/>
    <x v="1118"/>
    <n v="24852"/>
    <n v="1"/>
    <x v="1"/>
    <n v="12"/>
    <n v="3"/>
    <n v="1"/>
    <n v="0"/>
    <n v="1"/>
    <n v="2"/>
    <n v="3"/>
    <n v="1"/>
    <n v="0"/>
    <n v="0"/>
    <n v="0"/>
    <x v="2"/>
    <s v="Low"/>
    <n v="6281.2528616024974"/>
    <s v="Below salary"/>
    <s v="Medium Risk"/>
  </r>
  <r>
    <n v="26"/>
    <x v="1"/>
    <s v="Non-Travel"/>
    <n v="786"/>
    <x v="1"/>
    <n v="7"/>
    <n v="3"/>
    <s v="Medical"/>
    <n v="1693"/>
    <n v="4"/>
    <x v="1"/>
    <n v="76"/>
    <n v="3"/>
    <n v="1"/>
    <x v="2"/>
    <n v="4"/>
    <s v="Single"/>
    <x v="1119"/>
    <n v="11925"/>
    <n v="1"/>
    <x v="1"/>
    <n v="20"/>
    <n v="4"/>
    <n v="3"/>
    <n v="0"/>
    <n v="7"/>
    <n v="5"/>
    <n v="3"/>
    <n v="7"/>
    <n v="7"/>
    <n v="5"/>
    <n v="7"/>
    <x v="2"/>
    <s v="Low"/>
    <n v="6281.2528616024974"/>
    <s v="Below salary"/>
    <s v="Low Risk"/>
  </r>
  <r>
    <n v="55"/>
    <x v="1"/>
    <s v="Travel_Rarely"/>
    <n v="1441"/>
    <x v="1"/>
    <n v="22"/>
    <n v="3"/>
    <s v="Technical Degree"/>
    <n v="1694"/>
    <n v="1"/>
    <x v="1"/>
    <n v="94"/>
    <n v="2"/>
    <n v="1"/>
    <x v="1"/>
    <n v="2"/>
    <s v="Divorced"/>
    <x v="1120"/>
    <n v="23737"/>
    <n v="5"/>
    <x v="1"/>
    <n v="12"/>
    <n v="3"/>
    <n v="4"/>
    <n v="1"/>
    <n v="8"/>
    <n v="1"/>
    <n v="3"/>
    <n v="4"/>
    <n v="2"/>
    <n v="1"/>
    <n v="2"/>
    <x v="1"/>
    <s v="Mid"/>
    <n v="6281.2528616024974"/>
    <s v="Below salary"/>
    <s v="Medium Risk"/>
  </r>
  <r>
    <n v="34"/>
    <x v="1"/>
    <s v="Travel_Rarely"/>
    <n v="1157"/>
    <x v="1"/>
    <n v="5"/>
    <n v="2"/>
    <s v="Medical"/>
    <n v="1696"/>
    <n v="2"/>
    <x v="1"/>
    <n v="57"/>
    <n v="2"/>
    <n v="2"/>
    <x v="2"/>
    <n v="4"/>
    <s v="Married"/>
    <x v="1121"/>
    <n v="11912"/>
    <n v="1"/>
    <x v="1"/>
    <n v="14"/>
    <n v="3"/>
    <n v="3"/>
    <n v="1"/>
    <n v="15"/>
    <n v="3"/>
    <n v="4"/>
    <n v="15"/>
    <n v="10"/>
    <n v="4"/>
    <n v="13"/>
    <x v="2"/>
    <s v="Mid"/>
    <n v="6281.2528616024974"/>
    <s v="Below salary"/>
    <s v="Low Risk"/>
  </r>
  <r>
    <n v="60"/>
    <x v="1"/>
    <s v="Travel_Rarely"/>
    <n v="370"/>
    <x v="1"/>
    <n v="1"/>
    <n v="4"/>
    <s v="Medical"/>
    <n v="1697"/>
    <n v="3"/>
    <x v="1"/>
    <n v="92"/>
    <n v="1"/>
    <n v="3"/>
    <x v="4"/>
    <n v="4"/>
    <s v="Divorced"/>
    <x v="1122"/>
    <n v="20467"/>
    <n v="3"/>
    <x v="1"/>
    <n v="20"/>
    <n v="4"/>
    <n v="3"/>
    <n v="1"/>
    <n v="19"/>
    <n v="2"/>
    <n v="4"/>
    <n v="1"/>
    <n v="0"/>
    <n v="0"/>
    <n v="0"/>
    <x v="1"/>
    <s v="High"/>
    <n v="6281.2528616024974"/>
    <s v="Above salary"/>
    <s v="Low Risk"/>
  </r>
  <r>
    <n v="33"/>
    <x v="1"/>
    <s v="Travel_Rarely"/>
    <n v="267"/>
    <x v="1"/>
    <n v="21"/>
    <n v="3"/>
    <s v="Medical"/>
    <n v="1698"/>
    <n v="2"/>
    <x v="1"/>
    <n v="79"/>
    <n v="4"/>
    <n v="1"/>
    <x v="2"/>
    <n v="2"/>
    <s v="Married"/>
    <x v="14"/>
    <n v="13637"/>
    <n v="1"/>
    <x v="1"/>
    <n v="18"/>
    <n v="3"/>
    <n v="4"/>
    <n v="3"/>
    <n v="14"/>
    <n v="6"/>
    <n v="3"/>
    <n v="14"/>
    <n v="11"/>
    <n v="2"/>
    <n v="13"/>
    <x v="2"/>
    <s v="Low"/>
    <n v="6281.2528616024974"/>
    <s v="Below salary"/>
    <s v="Medium Risk"/>
  </r>
  <r>
    <n v="37"/>
    <x v="1"/>
    <s v="Travel_Frequently"/>
    <n v="1278"/>
    <x v="0"/>
    <n v="1"/>
    <n v="4"/>
    <s v="Medical"/>
    <n v="1700"/>
    <n v="3"/>
    <x v="1"/>
    <n v="31"/>
    <n v="1"/>
    <n v="2"/>
    <x v="0"/>
    <n v="4"/>
    <s v="Divorced"/>
    <x v="1123"/>
    <n v="7677"/>
    <n v="1"/>
    <x v="1"/>
    <n v="14"/>
    <n v="3"/>
    <n v="3"/>
    <n v="2"/>
    <n v="6"/>
    <n v="2"/>
    <n v="2"/>
    <n v="6"/>
    <n v="3"/>
    <n v="1"/>
    <n v="3"/>
    <x v="0"/>
    <s v="High"/>
    <n v="6959.17264573991"/>
    <s v="Above salary"/>
    <s v="Low Risk"/>
  </r>
  <r>
    <n v="34"/>
    <x v="1"/>
    <s v="Travel_Rarely"/>
    <n v="678"/>
    <x v="1"/>
    <n v="19"/>
    <n v="3"/>
    <s v="Life Sciences"/>
    <n v="1701"/>
    <n v="2"/>
    <x v="0"/>
    <n v="35"/>
    <n v="2"/>
    <n v="1"/>
    <x v="1"/>
    <n v="4"/>
    <s v="Married"/>
    <x v="1124"/>
    <n v="20338"/>
    <n v="1"/>
    <x v="1"/>
    <n v="12"/>
    <n v="3"/>
    <n v="2"/>
    <n v="0"/>
    <n v="10"/>
    <n v="3"/>
    <n v="3"/>
    <n v="10"/>
    <n v="9"/>
    <n v="8"/>
    <n v="7"/>
    <x v="2"/>
    <s v="Low"/>
    <n v="6281.2528616024974"/>
    <s v="Below salary"/>
    <s v="Low Risk"/>
  </r>
  <r>
    <n v="23"/>
    <x v="0"/>
    <s v="Travel_Rarely"/>
    <n v="427"/>
    <x v="0"/>
    <n v="7"/>
    <n v="3"/>
    <s v="Life Sciences"/>
    <n v="1702"/>
    <n v="3"/>
    <x v="1"/>
    <n v="99"/>
    <n v="3"/>
    <n v="1"/>
    <x v="6"/>
    <n v="4"/>
    <s v="Divorced"/>
    <x v="1125"/>
    <n v="25103"/>
    <n v="1"/>
    <x v="0"/>
    <n v="21"/>
    <n v="4"/>
    <n v="2"/>
    <n v="1"/>
    <n v="3"/>
    <n v="2"/>
    <n v="3"/>
    <n v="3"/>
    <n v="2"/>
    <n v="0"/>
    <n v="2"/>
    <x v="3"/>
    <s v="Low"/>
    <n v="6959.17264573991"/>
    <s v="Below salary"/>
    <s v="Medium Risk"/>
  </r>
  <r>
    <n v="44"/>
    <x v="1"/>
    <s v="Travel_Rarely"/>
    <n v="921"/>
    <x v="1"/>
    <n v="2"/>
    <n v="3"/>
    <s v="Life Sciences"/>
    <n v="1703"/>
    <n v="3"/>
    <x v="0"/>
    <n v="96"/>
    <n v="4"/>
    <n v="3"/>
    <x v="4"/>
    <n v="4"/>
    <s v="Married"/>
    <x v="1126"/>
    <n v="14810"/>
    <n v="1"/>
    <x v="0"/>
    <n v="19"/>
    <n v="3"/>
    <n v="2"/>
    <n v="1"/>
    <n v="9"/>
    <n v="2"/>
    <n v="3"/>
    <n v="8"/>
    <n v="7"/>
    <n v="6"/>
    <n v="7"/>
    <x v="0"/>
    <s v="High"/>
    <n v="6281.2528616024974"/>
    <s v="Above salary"/>
    <s v="Medium Risk"/>
  </r>
  <r>
    <n v="35"/>
    <x v="1"/>
    <s v="Travel_Frequently"/>
    <n v="146"/>
    <x v="1"/>
    <n v="2"/>
    <n v="4"/>
    <s v="Medical"/>
    <n v="1704"/>
    <n v="1"/>
    <x v="1"/>
    <n v="79"/>
    <n v="2"/>
    <n v="1"/>
    <x v="1"/>
    <n v="4"/>
    <s v="Single"/>
    <x v="1127"/>
    <n v="13970"/>
    <n v="0"/>
    <x v="0"/>
    <n v="14"/>
    <n v="3"/>
    <n v="3"/>
    <n v="0"/>
    <n v="6"/>
    <n v="2"/>
    <n v="4"/>
    <n v="5"/>
    <n v="4"/>
    <n v="1"/>
    <n v="4"/>
    <x v="2"/>
    <s v="Mid"/>
    <n v="6281.2528616024974"/>
    <s v="Below salary"/>
    <s v="Medium Risk"/>
  </r>
  <r>
    <n v="43"/>
    <x v="1"/>
    <s v="Travel_Rarely"/>
    <n v="1179"/>
    <x v="0"/>
    <n v="2"/>
    <n v="3"/>
    <s v="Medical"/>
    <n v="1706"/>
    <n v="4"/>
    <x v="1"/>
    <n v="73"/>
    <n v="3"/>
    <n v="2"/>
    <x v="0"/>
    <n v="4"/>
    <s v="Married"/>
    <x v="1128"/>
    <n v="6069"/>
    <n v="1"/>
    <x v="0"/>
    <n v="17"/>
    <n v="3"/>
    <n v="1"/>
    <n v="1"/>
    <n v="10"/>
    <n v="3"/>
    <n v="3"/>
    <n v="10"/>
    <n v="9"/>
    <n v="8"/>
    <n v="8"/>
    <x v="0"/>
    <s v="High"/>
    <n v="6959.17264573991"/>
    <s v="Above salary"/>
    <s v="Medium Risk"/>
  </r>
  <r>
    <n v="24"/>
    <x v="1"/>
    <s v="Travel_Rarely"/>
    <n v="581"/>
    <x v="1"/>
    <n v="9"/>
    <n v="3"/>
    <s v="Medical"/>
    <n v="1707"/>
    <n v="3"/>
    <x v="1"/>
    <n v="62"/>
    <n v="4"/>
    <n v="1"/>
    <x v="1"/>
    <n v="3"/>
    <s v="Married"/>
    <x v="1129"/>
    <n v="17616"/>
    <n v="1"/>
    <x v="1"/>
    <n v="16"/>
    <n v="3"/>
    <n v="4"/>
    <n v="1"/>
    <n v="5"/>
    <n v="1"/>
    <n v="3"/>
    <n v="5"/>
    <n v="3"/>
    <n v="0"/>
    <n v="4"/>
    <x v="3"/>
    <s v="Mid"/>
    <n v="6281.2528616024974"/>
    <s v="Below salary"/>
    <s v="Low Risk"/>
  </r>
  <r>
    <n v="41"/>
    <x v="1"/>
    <s v="Travel_Rarely"/>
    <n v="918"/>
    <x v="0"/>
    <n v="6"/>
    <n v="3"/>
    <s v="Marketing"/>
    <n v="1708"/>
    <n v="4"/>
    <x v="1"/>
    <n v="35"/>
    <n v="3"/>
    <n v="3"/>
    <x v="0"/>
    <n v="3"/>
    <s v="Single"/>
    <x v="1130"/>
    <n v="15869"/>
    <n v="1"/>
    <x v="1"/>
    <n v="12"/>
    <n v="3"/>
    <n v="2"/>
    <n v="0"/>
    <n v="10"/>
    <n v="3"/>
    <n v="3"/>
    <n v="10"/>
    <n v="8"/>
    <n v="8"/>
    <n v="7"/>
    <x v="0"/>
    <s v="High"/>
    <n v="6959.17264573991"/>
    <s v="Above salary"/>
    <s v="Low Risk"/>
  </r>
  <r>
    <n v="29"/>
    <x v="1"/>
    <s v="Travel_Rarely"/>
    <n v="1082"/>
    <x v="1"/>
    <n v="9"/>
    <n v="4"/>
    <s v="Medical"/>
    <n v="1709"/>
    <n v="4"/>
    <x v="0"/>
    <n v="43"/>
    <n v="3"/>
    <n v="1"/>
    <x v="2"/>
    <n v="3"/>
    <s v="Married"/>
    <x v="1131"/>
    <n v="25412"/>
    <n v="9"/>
    <x v="1"/>
    <n v="17"/>
    <n v="3"/>
    <n v="3"/>
    <n v="1"/>
    <n v="9"/>
    <n v="2"/>
    <n v="3"/>
    <n v="5"/>
    <n v="3"/>
    <n v="1"/>
    <n v="2"/>
    <x v="2"/>
    <s v="Low"/>
    <n v="6281.2528616024974"/>
    <s v="Below salary"/>
    <s v="Low Risk"/>
  </r>
  <r>
    <n v="36"/>
    <x v="1"/>
    <s v="Travel_Rarely"/>
    <n v="530"/>
    <x v="0"/>
    <n v="2"/>
    <n v="4"/>
    <s v="Life Sciences"/>
    <n v="1710"/>
    <n v="3"/>
    <x v="0"/>
    <n v="51"/>
    <n v="3"/>
    <n v="2"/>
    <x v="6"/>
    <n v="4"/>
    <s v="Single"/>
    <x v="1132"/>
    <n v="7439"/>
    <n v="3"/>
    <x v="1"/>
    <n v="15"/>
    <n v="3"/>
    <n v="3"/>
    <n v="0"/>
    <n v="17"/>
    <n v="2"/>
    <n v="2"/>
    <n v="13"/>
    <n v="7"/>
    <n v="6"/>
    <n v="7"/>
    <x v="0"/>
    <s v="Mid"/>
    <n v="6959.17264573991"/>
    <s v="Below salary"/>
    <s v="Low Risk"/>
  </r>
  <r>
    <n v="45"/>
    <x v="1"/>
    <s v="Non-Travel"/>
    <n v="1238"/>
    <x v="1"/>
    <n v="1"/>
    <n v="1"/>
    <s v="Life Sciences"/>
    <n v="1712"/>
    <n v="3"/>
    <x v="1"/>
    <n v="74"/>
    <n v="2"/>
    <n v="3"/>
    <x v="4"/>
    <n v="3"/>
    <s v="Married"/>
    <x v="1133"/>
    <n v="3395"/>
    <n v="3"/>
    <x v="1"/>
    <n v="23"/>
    <n v="4"/>
    <n v="4"/>
    <n v="1"/>
    <n v="25"/>
    <n v="3"/>
    <n v="2"/>
    <n v="23"/>
    <n v="15"/>
    <n v="14"/>
    <n v="4"/>
    <x v="0"/>
    <s v="High"/>
    <n v="6281.2528616024974"/>
    <s v="Above salary"/>
    <s v="Low Risk"/>
  </r>
  <r>
    <n v="24"/>
    <x v="0"/>
    <s v="Travel_Rarely"/>
    <n v="240"/>
    <x v="2"/>
    <n v="22"/>
    <n v="1"/>
    <s v="Human Resources"/>
    <n v="1714"/>
    <n v="4"/>
    <x v="1"/>
    <n v="58"/>
    <n v="1"/>
    <n v="1"/>
    <x v="8"/>
    <n v="3"/>
    <s v="Married"/>
    <x v="1134"/>
    <n v="11585"/>
    <n v="1"/>
    <x v="1"/>
    <n v="11"/>
    <n v="3"/>
    <n v="3"/>
    <n v="1"/>
    <n v="1"/>
    <n v="2"/>
    <n v="3"/>
    <n v="1"/>
    <n v="0"/>
    <n v="0"/>
    <n v="0"/>
    <x v="3"/>
    <s v="Low"/>
    <n v="6654.5079365079364"/>
    <s v="Below salary"/>
    <s v="Low Risk"/>
  </r>
  <r>
    <n v="47"/>
    <x v="0"/>
    <s v="Travel_Frequently"/>
    <n v="1093"/>
    <x v="0"/>
    <n v="9"/>
    <n v="3"/>
    <s v="Life Sciences"/>
    <n v="1716"/>
    <n v="3"/>
    <x v="1"/>
    <n v="82"/>
    <n v="1"/>
    <n v="4"/>
    <x v="0"/>
    <n v="3"/>
    <s v="Married"/>
    <x v="1135"/>
    <n v="24164"/>
    <n v="7"/>
    <x v="1"/>
    <n v="11"/>
    <n v="3"/>
    <n v="3"/>
    <n v="0"/>
    <n v="25"/>
    <n v="3"/>
    <n v="1"/>
    <n v="23"/>
    <n v="5"/>
    <n v="14"/>
    <n v="10"/>
    <x v="1"/>
    <s v="Very High"/>
    <n v="6959.17264573991"/>
    <s v="Above salary"/>
    <s v="Low Risk"/>
  </r>
  <r>
    <n v="26"/>
    <x v="1"/>
    <s v="Travel_Rarely"/>
    <n v="390"/>
    <x v="1"/>
    <n v="17"/>
    <n v="4"/>
    <s v="Medical"/>
    <n v="1718"/>
    <n v="4"/>
    <x v="1"/>
    <n v="62"/>
    <n v="1"/>
    <n v="1"/>
    <x v="2"/>
    <n v="3"/>
    <s v="Married"/>
    <x v="1136"/>
    <n v="6217"/>
    <n v="1"/>
    <x v="1"/>
    <n v="15"/>
    <n v="3"/>
    <n v="3"/>
    <n v="3"/>
    <n v="3"/>
    <n v="3"/>
    <n v="4"/>
    <n v="3"/>
    <n v="2"/>
    <n v="0"/>
    <n v="2"/>
    <x v="2"/>
    <s v="Low"/>
    <n v="6281.2528616024974"/>
    <s v="Below salary"/>
    <s v="Low Risk"/>
  </r>
  <r>
    <n v="45"/>
    <x v="1"/>
    <s v="Travel_Rarely"/>
    <n v="1005"/>
    <x v="1"/>
    <n v="28"/>
    <n v="2"/>
    <s v="Technical Degree"/>
    <n v="1719"/>
    <n v="4"/>
    <x v="0"/>
    <n v="48"/>
    <n v="2"/>
    <n v="4"/>
    <x v="7"/>
    <n v="2"/>
    <s v="Single"/>
    <x v="1137"/>
    <n v="17119"/>
    <n v="1"/>
    <x v="1"/>
    <n v="11"/>
    <n v="3"/>
    <n v="3"/>
    <n v="0"/>
    <n v="21"/>
    <n v="2"/>
    <n v="3"/>
    <n v="21"/>
    <n v="6"/>
    <n v="8"/>
    <n v="6"/>
    <x v="0"/>
    <s v="Very High"/>
    <n v="6281.2528616024974"/>
    <s v="Above salary"/>
    <s v="Medium Risk"/>
  </r>
  <r>
    <n v="32"/>
    <x v="1"/>
    <s v="Travel_Frequently"/>
    <n v="585"/>
    <x v="1"/>
    <n v="10"/>
    <n v="3"/>
    <s v="Life Sciences"/>
    <n v="1720"/>
    <n v="1"/>
    <x v="1"/>
    <n v="56"/>
    <n v="3"/>
    <n v="1"/>
    <x v="1"/>
    <n v="3"/>
    <s v="Married"/>
    <x v="1138"/>
    <n v="17360"/>
    <n v="6"/>
    <x v="1"/>
    <n v="13"/>
    <n v="3"/>
    <n v="1"/>
    <n v="1"/>
    <n v="10"/>
    <n v="3"/>
    <n v="2"/>
    <n v="5"/>
    <n v="2"/>
    <n v="1"/>
    <n v="3"/>
    <x v="2"/>
    <s v="Mid"/>
    <n v="6281.2528616024974"/>
    <s v="Below salary"/>
    <s v="Low Risk"/>
  </r>
  <r>
    <n v="31"/>
    <x v="1"/>
    <s v="Travel_Rarely"/>
    <n v="741"/>
    <x v="1"/>
    <n v="2"/>
    <n v="4"/>
    <s v="Life Sciences"/>
    <n v="1721"/>
    <n v="2"/>
    <x v="1"/>
    <n v="69"/>
    <n v="3"/>
    <n v="1"/>
    <x v="2"/>
    <n v="3"/>
    <s v="Married"/>
    <x v="1139"/>
    <n v="18103"/>
    <n v="1"/>
    <x v="1"/>
    <n v="14"/>
    <n v="3"/>
    <n v="4"/>
    <n v="1"/>
    <n v="6"/>
    <n v="2"/>
    <n v="4"/>
    <n v="5"/>
    <n v="2"/>
    <n v="0"/>
    <n v="3"/>
    <x v="2"/>
    <s v="Mid"/>
    <n v="6281.2528616024974"/>
    <s v="Below salary"/>
    <s v="Low Risk"/>
  </r>
  <r>
    <n v="41"/>
    <x v="1"/>
    <s v="Non-Travel"/>
    <n v="552"/>
    <x v="2"/>
    <n v="4"/>
    <n v="3"/>
    <s v="Human Resources"/>
    <n v="1722"/>
    <n v="3"/>
    <x v="1"/>
    <n v="60"/>
    <n v="1"/>
    <n v="2"/>
    <x v="8"/>
    <n v="2"/>
    <s v="Married"/>
    <x v="1140"/>
    <n v="20794"/>
    <n v="6"/>
    <x v="1"/>
    <n v="19"/>
    <n v="3"/>
    <n v="2"/>
    <n v="1"/>
    <n v="10"/>
    <n v="4"/>
    <n v="3"/>
    <n v="3"/>
    <n v="2"/>
    <n v="1"/>
    <n v="2"/>
    <x v="0"/>
    <s v="Mid"/>
    <n v="6654.5079365079364"/>
    <s v="Below salary"/>
    <s v="Medium Risk"/>
  </r>
  <r>
    <n v="40"/>
    <x v="1"/>
    <s v="Travel_Rarely"/>
    <n v="369"/>
    <x v="1"/>
    <n v="8"/>
    <n v="2"/>
    <s v="Life Sciences"/>
    <n v="1724"/>
    <n v="2"/>
    <x v="0"/>
    <n v="92"/>
    <n v="3"/>
    <n v="2"/>
    <x v="3"/>
    <n v="1"/>
    <s v="Married"/>
    <x v="1141"/>
    <n v="5041"/>
    <n v="2"/>
    <x v="0"/>
    <n v="16"/>
    <n v="3"/>
    <n v="2"/>
    <n v="1"/>
    <n v="18"/>
    <n v="3"/>
    <n v="3"/>
    <n v="1"/>
    <n v="0"/>
    <n v="0"/>
    <n v="0"/>
    <x v="0"/>
    <s v="Mid"/>
    <n v="6281.2528616024974"/>
    <s v="Above salary"/>
    <s v="High Risk"/>
  </r>
  <r>
    <n v="24"/>
    <x v="1"/>
    <s v="Travel_Rarely"/>
    <n v="506"/>
    <x v="1"/>
    <n v="29"/>
    <n v="1"/>
    <s v="Medical"/>
    <n v="1725"/>
    <n v="2"/>
    <x v="1"/>
    <n v="91"/>
    <n v="3"/>
    <n v="1"/>
    <x v="2"/>
    <n v="1"/>
    <s v="Divorced"/>
    <x v="1142"/>
    <n v="3622"/>
    <n v="1"/>
    <x v="1"/>
    <n v="13"/>
    <n v="3"/>
    <n v="2"/>
    <n v="3"/>
    <n v="6"/>
    <n v="2"/>
    <n v="4"/>
    <n v="6"/>
    <n v="2"/>
    <n v="1"/>
    <n v="2"/>
    <x v="3"/>
    <s v="Mid"/>
    <n v="6281.2528616024974"/>
    <s v="Below salary"/>
    <s v="Medium Risk"/>
  </r>
  <r>
    <n v="46"/>
    <x v="1"/>
    <s v="Travel_Rarely"/>
    <n v="717"/>
    <x v="1"/>
    <n v="13"/>
    <n v="4"/>
    <s v="Life Sciences"/>
    <n v="1727"/>
    <n v="3"/>
    <x v="1"/>
    <n v="34"/>
    <n v="3"/>
    <n v="2"/>
    <x v="4"/>
    <n v="2"/>
    <s v="Single"/>
    <x v="622"/>
    <n v="9697"/>
    <n v="6"/>
    <x v="1"/>
    <n v="14"/>
    <n v="3"/>
    <n v="4"/>
    <n v="0"/>
    <n v="19"/>
    <n v="3"/>
    <n v="3"/>
    <n v="10"/>
    <n v="7"/>
    <n v="0"/>
    <n v="9"/>
    <x v="1"/>
    <s v="Mid"/>
    <n v="6281.2528616024974"/>
    <s v="Below salary"/>
    <s v="Medium Risk"/>
  </r>
  <r>
    <n v="35"/>
    <x v="1"/>
    <s v="Travel_Rarely"/>
    <n v="1370"/>
    <x v="1"/>
    <n v="27"/>
    <n v="4"/>
    <s v="Life Sciences"/>
    <n v="1728"/>
    <n v="4"/>
    <x v="1"/>
    <n v="49"/>
    <n v="3"/>
    <n v="2"/>
    <x v="3"/>
    <n v="3"/>
    <s v="Married"/>
    <x v="1143"/>
    <n v="5151"/>
    <n v="2"/>
    <x v="1"/>
    <n v="16"/>
    <n v="3"/>
    <n v="2"/>
    <n v="1"/>
    <n v="17"/>
    <n v="3"/>
    <n v="3"/>
    <n v="7"/>
    <n v="7"/>
    <n v="0"/>
    <n v="7"/>
    <x v="2"/>
    <s v="Mid"/>
    <n v="6281.2528616024974"/>
    <s v="Above salary"/>
    <s v="Low Risk"/>
  </r>
  <r>
    <n v="30"/>
    <x v="1"/>
    <s v="Travel_Rarely"/>
    <n v="793"/>
    <x v="1"/>
    <n v="16"/>
    <n v="1"/>
    <s v="Life Sciences"/>
    <n v="1729"/>
    <n v="2"/>
    <x v="1"/>
    <n v="33"/>
    <n v="3"/>
    <n v="1"/>
    <x v="1"/>
    <n v="4"/>
    <s v="Married"/>
    <x v="1144"/>
    <n v="3811"/>
    <n v="1"/>
    <x v="1"/>
    <n v="12"/>
    <n v="3"/>
    <n v="2"/>
    <n v="1"/>
    <n v="10"/>
    <n v="2"/>
    <n v="2"/>
    <n v="10"/>
    <n v="0"/>
    <n v="0"/>
    <n v="8"/>
    <x v="2"/>
    <s v="Low"/>
    <n v="6281.2528616024974"/>
    <s v="Below salary"/>
    <s v="Low Risk"/>
  </r>
  <r>
    <n v="47"/>
    <x v="1"/>
    <s v="Non-Travel"/>
    <n v="543"/>
    <x v="0"/>
    <n v="2"/>
    <n v="4"/>
    <s v="Marketing"/>
    <n v="1731"/>
    <n v="3"/>
    <x v="1"/>
    <n v="87"/>
    <n v="3"/>
    <n v="2"/>
    <x v="0"/>
    <n v="2"/>
    <s v="Married"/>
    <x v="1145"/>
    <n v="3536"/>
    <n v="7"/>
    <x v="1"/>
    <n v="11"/>
    <n v="3"/>
    <n v="4"/>
    <n v="1"/>
    <n v="4"/>
    <n v="3"/>
    <n v="1"/>
    <n v="1"/>
    <n v="0"/>
    <n v="0"/>
    <n v="0"/>
    <x v="1"/>
    <s v="Mid"/>
    <n v="6959.17264573991"/>
    <s v="Below salary"/>
    <s v="Medium Risk"/>
  </r>
  <r>
    <n v="46"/>
    <x v="1"/>
    <s v="Travel_Rarely"/>
    <n v="1277"/>
    <x v="0"/>
    <n v="2"/>
    <n v="3"/>
    <s v="Life Sciences"/>
    <n v="1732"/>
    <n v="3"/>
    <x v="1"/>
    <n v="74"/>
    <n v="3"/>
    <n v="3"/>
    <x v="0"/>
    <n v="4"/>
    <s v="Divorced"/>
    <x v="1146"/>
    <n v="5596"/>
    <n v="4"/>
    <x v="0"/>
    <n v="12"/>
    <n v="3"/>
    <n v="2"/>
    <n v="1"/>
    <n v="13"/>
    <n v="5"/>
    <n v="2"/>
    <n v="10"/>
    <n v="6"/>
    <n v="0"/>
    <n v="3"/>
    <x v="1"/>
    <s v="High"/>
    <n v="6959.17264573991"/>
    <s v="Above salary"/>
    <s v="Medium Risk"/>
  </r>
  <r>
    <n v="36"/>
    <x v="0"/>
    <s v="Travel_Rarely"/>
    <n v="1456"/>
    <x v="0"/>
    <n v="13"/>
    <n v="5"/>
    <s v="Marketing"/>
    <n v="1733"/>
    <n v="2"/>
    <x v="1"/>
    <n v="96"/>
    <n v="2"/>
    <n v="2"/>
    <x v="0"/>
    <n v="1"/>
    <s v="Divorced"/>
    <x v="1147"/>
    <n v="8658"/>
    <n v="5"/>
    <x v="0"/>
    <n v="13"/>
    <n v="3"/>
    <n v="2"/>
    <n v="3"/>
    <n v="16"/>
    <n v="3"/>
    <n v="3"/>
    <n v="2"/>
    <n v="2"/>
    <n v="2"/>
    <n v="2"/>
    <x v="0"/>
    <s v="Mid"/>
    <n v="6959.17264573991"/>
    <s v="Below salary"/>
    <s v="High Risk"/>
  </r>
  <r>
    <n v="32"/>
    <x v="0"/>
    <s v="Travel_Rarely"/>
    <n v="964"/>
    <x v="0"/>
    <n v="1"/>
    <n v="2"/>
    <s v="Life Sciences"/>
    <n v="1734"/>
    <n v="1"/>
    <x v="1"/>
    <n v="34"/>
    <n v="1"/>
    <n v="2"/>
    <x v="0"/>
    <n v="2"/>
    <s v="Single"/>
    <x v="1148"/>
    <n v="12147"/>
    <n v="6"/>
    <x v="1"/>
    <n v="15"/>
    <n v="3"/>
    <n v="2"/>
    <n v="0"/>
    <n v="10"/>
    <n v="2"/>
    <n v="3"/>
    <n v="0"/>
    <n v="0"/>
    <n v="0"/>
    <n v="0"/>
    <x v="2"/>
    <s v="Mid"/>
    <n v="6959.17264573991"/>
    <s v="Below salary"/>
    <s v="Medium Risk"/>
  </r>
  <r>
    <n v="23"/>
    <x v="1"/>
    <s v="Travel_Rarely"/>
    <n v="160"/>
    <x v="1"/>
    <n v="4"/>
    <n v="1"/>
    <s v="Medical"/>
    <n v="1735"/>
    <n v="3"/>
    <x v="0"/>
    <n v="51"/>
    <n v="3"/>
    <n v="1"/>
    <x v="2"/>
    <n v="2"/>
    <s v="Single"/>
    <x v="1149"/>
    <n v="12862"/>
    <n v="1"/>
    <x v="1"/>
    <n v="13"/>
    <n v="3"/>
    <n v="3"/>
    <n v="0"/>
    <n v="3"/>
    <n v="3"/>
    <n v="1"/>
    <n v="3"/>
    <n v="2"/>
    <n v="1"/>
    <n v="2"/>
    <x v="3"/>
    <s v="Mid"/>
    <n v="6281.2528616024974"/>
    <s v="Below salary"/>
    <s v="Medium Risk"/>
  </r>
  <r>
    <n v="31"/>
    <x v="1"/>
    <s v="Travel_Frequently"/>
    <n v="163"/>
    <x v="1"/>
    <n v="24"/>
    <n v="1"/>
    <s v="Technical Degree"/>
    <n v="1736"/>
    <n v="4"/>
    <x v="0"/>
    <n v="30"/>
    <n v="3"/>
    <n v="2"/>
    <x v="3"/>
    <n v="4"/>
    <s v="Single"/>
    <x v="319"/>
    <n v="6670"/>
    <n v="2"/>
    <x v="1"/>
    <n v="20"/>
    <n v="4"/>
    <n v="4"/>
    <n v="0"/>
    <n v="9"/>
    <n v="3"/>
    <n v="2"/>
    <n v="5"/>
    <n v="4"/>
    <n v="1"/>
    <n v="4"/>
    <x v="2"/>
    <s v="Mid"/>
    <n v="6281.2528616024974"/>
    <s v="Below salary"/>
    <s v="Low Risk"/>
  </r>
  <r>
    <n v="39"/>
    <x v="1"/>
    <s v="Non-Travel"/>
    <n v="792"/>
    <x v="1"/>
    <n v="1"/>
    <n v="3"/>
    <s v="Life Sciences"/>
    <n v="1737"/>
    <n v="4"/>
    <x v="1"/>
    <n v="77"/>
    <n v="3"/>
    <n v="2"/>
    <x v="2"/>
    <n v="4"/>
    <s v="Married"/>
    <x v="1150"/>
    <n v="8989"/>
    <n v="1"/>
    <x v="0"/>
    <n v="15"/>
    <n v="3"/>
    <n v="4"/>
    <n v="1"/>
    <n v="9"/>
    <n v="2"/>
    <n v="3"/>
    <n v="9"/>
    <n v="8"/>
    <n v="5"/>
    <n v="8"/>
    <x v="0"/>
    <s v="Mid"/>
    <n v="6281.2528616024974"/>
    <s v="Above salary"/>
    <s v="Medium Risk"/>
  </r>
  <r>
    <n v="32"/>
    <x v="1"/>
    <s v="Travel_Rarely"/>
    <n v="371"/>
    <x v="0"/>
    <n v="19"/>
    <n v="3"/>
    <s v="Life Sciences"/>
    <n v="1739"/>
    <n v="4"/>
    <x v="1"/>
    <n v="80"/>
    <n v="1"/>
    <n v="3"/>
    <x v="0"/>
    <n v="3"/>
    <s v="Married"/>
    <x v="1151"/>
    <n v="3840"/>
    <n v="3"/>
    <x v="1"/>
    <n v="13"/>
    <n v="3"/>
    <n v="3"/>
    <n v="1"/>
    <n v="10"/>
    <n v="2"/>
    <n v="1"/>
    <n v="4"/>
    <n v="3"/>
    <n v="0"/>
    <n v="2"/>
    <x v="2"/>
    <s v="High"/>
    <n v="6959.17264573991"/>
    <s v="Above salary"/>
    <s v="Low Risk"/>
  </r>
  <r>
    <n v="40"/>
    <x v="1"/>
    <s v="Travel_Rarely"/>
    <n v="611"/>
    <x v="0"/>
    <n v="7"/>
    <n v="4"/>
    <s v="Medical"/>
    <n v="1740"/>
    <n v="2"/>
    <x v="1"/>
    <n v="88"/>
    <n v="3"/>
    <n v="5"/>
    <x v="5"/>
    <n v="2"/>
    <s v="Single"/>
    <x v="1152"/>
    <n v="4349"/>
    <n v="1"/>
    <x v="1"/>
    <n v="14"/>
    <n v="3"/>
    <n v="2"/>
    <n v="0"/>
    <n v="21"/>
    <n v="3"/>
    <n v="2"/>
    <n v="21"/>
    <n v="8"/>
    <n v="12"/>
    <n v="8"/>
    <x v="0"/>
    <s v="Very High"/>
    <n v="6959.17264573991"/>
    <s v="Above salary"/>
    <s v="Medium Risk"/>
  </r>
  <r>
    <n v="45"/>
    <x v="1"/>
    <s v="Travel_Rarely"/>
    <n v="176"/>
    <x v="2"/>
    <n v="4"/>
    <n v="3"/>
    <s v="Life Sciences"/>
    <n v="1744"/>
    <n v="3"/>
    <x v="0"/>
    <n v="56"/>
    <n v="1"/>
    <n v="3"/>
    <x v="8"/>
    <n v="3"/>
    <s v="Married"/>
    <x v="1153"/>
    <n v="6595"/>
    <n v="4"/>
    <x v="1"/>
    <n v="21"/>
    <n v="4"/>
    <n v="3"/>
    <n v="2"/>
    <n v="9"/>
    <n v="2"/>
    <n v="4"/>
    <n v="5"/>
    <n v="0"/>
    <n v="0"/>
    <n v="3"/>
    <x v="0"/>
    <s v="High"/>
    <n v="6654.5079365079364"/>
    <s v="Above salary"/>
    <s v="Low Risk"/>
  </r>
  <r>
    <n v="30"/>
    <x v="1"/>
    <s v="Travel_Frequently"/>
    <n v="1312"/>
    <x v="1"/>
    <n v="2"/>
    <n v="4"/>
    <s v="Technical Degree"/>
    <n v="1745"/>
    <n v="4"/>
    <x v="0"/>
    <n v="78"/>
    <n v="2"/>
    <n v="1"/>
    <x v="1"/>
    <n v="1"/>
    <s v="Single"/>
    <x v="775"/>
    <n v="26427"/>
    <n v="0"/>
    <x v="1"/>
    <n v="16"/>
    <n v="3"/>
    <n v="4"/>
    <n v="0"/>
    <n v="10"/>
    <n v="2"/>
    <n v="3"/>
    <n v="9"/>
    <n v="7"/>
    <n v="0"/>
    <n v="7"/>
    <x v="2"/>
    <s v="Mid"/>
    <n v="6281.2528616024974"/>
    <s v="Below salary"/>
    <s v="Medium Risk"/>
  </r>
  <r>
    <n v="24"/>
    <x v="1"/>
    <s v="Travel_Frequently"/>
    <n v="897"/>
    <x v="2"/>
    <n v="10"/>
    <n v="3"/>
    <s v="Medical"/>
    <n v="1746"/>
    <n v="1"/>
    <x v="1"/>
    <n v="59"/>
    <n v="3"/>
    <n v="1"/>
    <x v="8"/>
    <n v="4"/>
    <s v="Married"/>
    <x v="1154"/>
    <n v="2097"/>
    <n v="0"/>
    <x v="1"/>
    <n v="14"/>
    <n v="3"/>
    <n v="4"/>
    <n v="1"/>
    <n v="3"/>
    <n v="2"/>
    <n v="3"/>
    <n v="2"/>
    <n v="2"/>
    <n v="2"/>
    <n v="1"/>
    <x v="3"/>
    <s v="Low"/>
    <n v="6654.5079365079364"/>
    <s v="Below salary"/>
    <s v="Low Risk"/>
  </r>
  <r>
    <n v="30"/>
    <x v="0"/>
    <s v="Travel_Frequently"/>
    <n v="600"/>
    <x v="2"/>
    <n v="8"/>
    <n v="3"/>
    <s v="Human Resources"/>
    <n v="1747"/>
    <n v="3"/>
    <x v="0"/>
    <n v="66"/>
    <n v="2"/>
    <n v="1"/>
    <x v="8"/>
    <n v="4"/>
    <s v="Divorced"/>
    <x v="1155"/>
    <n v="9732"/>
    <n v="6"/>
    <x v="1"/>
    <n v="11"/>
    <n v="3"/>
    <n v="3"/>
    <n v="1"/>
    <n v="6"/>
    <n v="0"/>
    <n v="2"/>
    <n v="4"/>
    <n v="2"/>
    <n v="1"/>
    <n v="2"/>
    <x v="2"/>
    <s v="Low"/>
    <n v="6654.5079365079364"/>
    <s v="Below salary"/>
    <s v="Low Risk"/>
  </r>
  <r>
    <n v="31"/>
    <x v="1"/>
    <s v="Travel_Rarely"/>
    <n v="1003"/>
    <x v="0"/>
    <n v="5"/>
    <n v="3"/>
    <s v="Technical Degree"/>
    <n v="1749"/>
    <n v="1"/>
    <x v="1"/>
    <n v="51"/>
    <n v="3"/>
    <n v="2"/>
    <x v="0"/>
    <n v="3"/>
    <s v="Married"/>
    <x v="1156"/>
    <n v="20943"/>
    <n v="1"/>
    <x v="1"/>
    <n v="19"/>
    <n v="3"/>
    <n v="3"/>
    <n v="1"/>
    <n v="6"/>
    <n v="3"/>
    <n v="3"/>
    <n v="5"/>
    <n v="2"/>
    <n v="0"/>
    <n v="2"/>
    <x v="2"/>
    <s v="High"/>
    <n v="6959.17264573991"/>
    <s v="Above salary"/>
    <s v="Low Risk"/>
  </r>
  <r>
    <n v="27"/>
    <x v="1"/>
    <s v="Travel_Rarely"/>
    <n v="1054"/>
    <x v="1"/>
    <n v="8"/>
    <n v="3"/>
    <s v="Medical"/>
    <n v="1751"/>
    <n v="3"/>
    <x v="0"/>
    <n v="67"/>
    <n v="3"/>
    <n v="1"/>
    <x v="1"/>
    <n v="4"/>
    <s v="Single"/>
    <x v="1157"/>
    <n v="6152"/>
    <n v="1"/>
    <x v="1"/>
    <n v="11"/>
    <n v="3"/>
    <n v="3"/>
    <n v="0"/>
    <n v="6"/>
    <n v="5"/>
    <n v="2"/>
    <n v="6"/>
    <n v="2"/>
    <n v="1"/>
    <n v="4"/>
    <x v="2"/>
    <s v="Mid"/>
    <n v="6281.2528616024974"/>
    <s v="Below salary"/>
    <s v="Low Risk"/>
  </r>
  <r>
    <n v="29"/>
    <x v="0"/>
    <s v="Travel_Rarely"/>
    <n v="428"/>
    <x v="0"/>
    <n v="9"/>
    <n v="3"/>
    <s v="Marketing"/>
    <n v="1752"/>
    <n v="2"/>
    <x v="0"/>
    <n v="52"/>
    <n v="1"/>
    <n v="1"/>
    <x v="6"/>
    <n v="2"/>
    <s v="Single"/>
    <x v="1158"/>
    <n v="14630"/>
    <n v="1"/>
    <x v="1"/>
    <n v="13"/>
    <n v="3"/>
    <n v="3"/>
    <n v="0"/>
    <n v="2"/>
    <n v="3"/>
    <n v="3"/>
    <n v="2"/>
    <n v="2"/>
    <n v="2"/>
    <n v="2"/>
    <x v="2"/>
    <s v="Low"/>
    <n v="6959.17264573991"/>
    <s v="Below salary"/>
    <s v="Medium Risk"/>
  </r>
  <r>
    <n v="29"/>
    <x v="1"/>
    <s v="Travel_Frequently"/>
    <n v="461"/>
    <x v="1"/>
    <n v="1"/>
    <n v="3"/>
    <s v="Life Sciences"/>
    <n v="1753"/>
    <n v="4"/>
    <x v="1"/>
    <n v="70"/>
    <n v="4"/>
    <n v="2"/>
    <x v="4"/>
    <n v="3"/>
    <s v="Single"/>
    <x v="1159"/>
    <n v="23060"/>
    <n v="8"/>
    <x v="0"/>
    <n v="12"/>
    <n v="3"/>
    <n v="4"/>
    <n v="0"/>
    <n v="10"/>
    <n v="5"/>
    <n v="4"/>
    <n v="3"/>
    <n v="2"/>
    <n v="0"/>
    <n v="2"/>
    <x v="2"/>
    <s v="Mid"/>
    <n v="6281.2528616024974"/>
    <s v="Above salary"/>
    <s v="Medium Risk"/>
  </r>
  <r>
    <n v="30"/>
    <x v="1"/>
    <s v="Travel_Rarely"/>
    <n v="979"/>
    <x v="0"/>
    <n v="15"/>
    <n v="2"/>
    <s v="Marketing"/>
    <n v="1754"/>
    <n v="3"/>
    <x v="1"/>
    <n v="94"/>
    <n v="2"/>
    <n v="3"/>
    <x v="0"/>
    <n v="1"/>
    <s v="Divorced"/>
    <x v="1160"/>
    <n v="3088"/>
    <n v="2"/>
    <x v="1"/>
    <n v="11"/>
    <n v="3"/>
    <n v="1"/>
    <n v="1"/>
    <n v="12"/>
    <n v="2"/>
    <n v="3"/>
    <n v="7"/>
    <n v="7"/>
    <n v="1"/>
    <n v="7"/>
    <x v="2"/>
    <s v="High"/>
    <n v="6959.17264573991"/>
    <s v="Above salary"/>
    <s v="Medium Risk"/>
  </r>
  <r>
    <n v="34"/>
    <x v="1"/>
    <s v="Travel_Rarely"/>
    <n v="181"/>
    <x v="1"/>
    <n v="2"/>
    <n v="4"/>
    <s v="Medical"/>
    <n v="1755"/>
    <n v="4"/>
    <x v="1"/>
    <n v="97"/>
    <n v="4"/>
    <n v="1"/>
    <x v="1"/>
    <n v="4"/>
    <s v="Married"/>
    <x v="1161"/>
    <n v="5586"/>
    <n v="0"/>
    <x v="0"/>
    <n v="14"/>
    <n v="3"/>
    <n v="1"/>
    <n v="3"/>
    <n v="6"/>
    <n v="3"/>
    <n v="3"/>
    <n v="5"/>
    <n v="0"/>
    <n v="1"/>
    <n v="2"/>
    <x v="2"/>
    <s v="Low"/>
    <n v="6281.2528616024974"/>
    <s v="Below salary"/>
    <s v="Medium Risk"/>
  </r>
  <r>
    <n v="33"/>
    <x v="1"/>
    <s v="Non-Travel"/>
    <n v="1283"/>
    <x v="0"/>
    <n v="2"/>
    <n v="3"/>
    <s v="Marketing"/>
    <n v="1756"/>
    <n v="4"/>
    <x v="0"/>
    <n v="62"/>
    <n v="3"/>
    <n v="2"/>
    <x v="0"/>
    <n v="2"/>
    <s v="Single"/>
    <x v="1162"/>
    <n v="10697"/>
    <n v="8"/>
    <x v="1"/>
    <n v="15"/>
    <n v="3"/>
    <n v="4"/>
    <n v="0"/>
    <n v="13"/>
    <n v="2"/>
    <n v="2"/>
    <n v="11"/>
    <n v="7"/>
    <n v="1"/>
    <n v="7"/>
    <x v="2"/>
    <s v="Mid"/>
    <n v="6959.17264573991"/>
    <s v="Below salary"/>
    <s v="Medium Risk"/>
  </r>
  <r>
    <n v="49"/>
    <x v="1"/>
    <s v="Travel_Rarely"/>
    <n v="1313"/>
    <x v="0"/>
    <n v="11"/>
    <n v="4"/>
    <s v="Marketing"/>
    <n v="1757"/>
    <n v="4"/>
    <x v="0"/>
    <n v="80"/>
    <n v="3"/>
    <n v="2"/>
    <x v="0"/>
    <n v="4"/>
    <s v="Single"/>
    <x v="1163"/>
    <n v="8191"/>
    <n v="3"/>
    <x v="1"/>
    <n v="12"/>
    <n v="3"/>
    <n v="3"/>
    <n v="0"/>
    <n v="8"/>
    <n v="1"/>
    <n v="4"/>
    <n v="5"/>
    <n v="1"/>
    <n v="0"/>
    <n v="4"/>
    <x v="1"/>
    <s v="Mid"/>
    <n v="6959.17264573991"/>
    <s v="Below salary"/>
    <s v="Low Risk"/>
  </r>
  <r>
    <n v="33"/>
    <x v="0"/>
    <s v="Travel_Rarely"/>
    <n v="211"/>
    <x v="0"/>
    <n v="16"/>
    <n v="3"/>
    <s v="Life Sciences"/>
    <n v="1758"/>
    <n v="1"/>
    <x v="0"/>
    <n v="74"/>
    <n v="3"/>
    <n v="3"/>
    <x v="0"/>
    <n v="1"/>
    <s v="Single"/>
    <x v="1164"/>
    <n v="10092"/>
    <n v="2"/>
    <x v="0"/>
    <n v="20"/>
    <n v="4"/>
    <n v="3"/>
    <n v="0"/>
    <n v="11"/>
    <n v="2"/>
    <n v="2"/>
    <n v="0"/>
    <n v="0"/>
    <n v="0"/>
    <n v="0"/>
    <x v="2"/>
    <s v="High"/>
    <n v="6959.17264573991"/>
    <s v="Above salary"/>
    <s v="High Risk"/>
  </r>
  <r>
    <n v="38"/>
    <x v="1"/>
    <s v="Travel_Frequently"/>
    <n v="594"/>
    <x v="1"/>
    <n v="2"/>
    <n v="2"/>
    <s v="Medical"/>
    <n v="1760"/>
    <n v="3"/>
    <x v="0"/>
    <n v="75"/>
    <n v="2"/>
    <n v="1"/>
    <x v="2"/>
    <n v="2"/>
    <s v="Married"/>
    <x v="1165"/>
    <n v="15963"/>
    <n v="4"/>
    <x v="1"/>
    <n v="14"/>
    <n v="3"/>
    <n v="2"/>
    <n v="1"/>
    <n v="9"/>
    <n v="4"/>
    <n v="2"/>
    <n v="6"/>
    <n v="1"/>
    <n v="0"/>
    <n v="5"/>
    <x v="0"/>
    <s v="Low"/>
    <n v="6281.2528616024974"/>
    <s v="Below salary"/>
    <s v="Medium Risk"/>
  </r>
  <r>
    <n v="31"/>
    <x v="0"/>
    <s v="Travel_Rarely"/>
    <n v="1079"/>
    <x v="0"/>
    <n v="16"/>
    <n v="4"/>
    <s v="Marketing"/>
    <n v="1761"/>
    <n v="1"/>
    <x v="1"/>
    <n v="70"/>
    <n v="3"/>
    <n v="3"/>
    <x v="0"/>
    <n v="3"/>
    <s v="Married"/>
    <x v="1166"/>
    <n v="19002"/>
    <n v="2"/>
    <x v="1"/>
    <n v="13"/>
    <n v="3"/>
    <n v="1"/>
    <n v="3"/>
    <n v="10"/>
    <n v="2"/>
    <n v="3"/>
    <n v="1"/>
    <n v="0"/>
    <n v="0"/>
    <n v="0"/>
    <x v="2"/>
    <s v="High"/>
    <n v="6959.17264573991"/>
    <s v="Above salary"/>
    <s v="Low Risk"/>
  </r>
  <r>
    <n v="29"/>
    <x v="1"/>
    <s v="Travel_Rarely"/>
    <n v="590"/>
    <x v="1"/>
    <n v="4"/>
    <n v="3"/>
    <s v="Technical Degree"/>
    <n v="1762"/>
    <n v="4"/>
    <x v="0"/>
    <n v="91"/>
    <n v="2"/>
    <n v="1"/>
    <x v="1"/>
    <n v="1"/>
    <s v="Divorced"/>
    <x v="971"/>
    <n v="10007"/>
    <n v="1"/>
    <x v="1"/>
    <n v="13"/>
    <n v="3"/>
    <n v="3"/>
    <n v="1"/>
    <n v="1"/>
    <n v="2"/>
    <n v="3"/>
    <n v="1"/>
    <n v="0"/>
    <n v="0"/>
    <n v="0"/>
    <x v="2"/>
    <s v="Low"/>
    <n v="6281.2528616024974"/>
    <s v="Below salary"/>
    <s v="Medium Risk"/>
  </r>
  <r>
    <n v="30"/>
    <x v="1"/>
    <s v="Travel_Rarely"/>
    <n v="305"/>
    <x v="1"/>
    <n v="16"/>
    <n v="3"/>
    <s v="Life Sciences"/>
    <n v="1763"/>
    <n v="3"/>
    <x v="1"/>
    <n v="58"/>
    <n v="4"/>
    <n v="2"/>
    <x v="4"/>
    <n v="3"/>
    <s v="Married"/>
    <x v="1167"/>
    <n v="9128"/>
    <n v="3"/>
    <x v="1"/>
    <n v="16"/>
    <n v="3"/>
    <n v="3"/>
    <n v="1"/>
    <n v="10"/>
    <n v="3"/>
    <n v="3"/>
    <n v="7"/>
    <n v="0"/>
    <n v="1"/>
    <n v="7"/>
    <x v="2"/>
    <s v="Mid"/>
    <n v="6281.2528616024974"/>
    <s v="Below salary"/>
    <s v="Low Risk"/>
  </r>
  <r>
    <n v="32"/>
    <x v="1"/>
    <s v="Non-Travel"/>
    <n v="953"/>
    <x v="1"/>
    <n v="5"/>
    <n v="4"/>
    <s v="Technical Degree"/>
    <n v="1764"/>
    <n v="2"/>
    <x v="1"/>
    <n v="65"/>
    <n v="3"/>
    <n v="1"/>
    <x v="1"/>
    <n v="2"/>
    <s v="Single"/>
    <x v="1168"/>
    <n v="17674"/>
    <n v="2"/>
    <x v="1"/>
    <n v="14"/>
    <n v="3"/>
    <n v="2"/>
    <n v="0"/>
    <n v="12"/>
    <n v="3"/>
    <n v="3"/>
    <n v="7"/>
    <n v="7"/>
    <n v="0"/>
    <n v="7"/>
    <x v="2"/>
    <s v="Low"/>
    <n v="6281.2528616024974"/>
    <s v="Below salary"/>
    <s v="Medium Risk"/>
  </r>
  <r>
    <n v="38"/>
    <x v="1"/>
    <s v="Travel_Rarely"/>
    <n v="833"/>
    <x v="1"/>
    <n v="18"/>
    <n v="3"/>
    <s v="Medical"/>
    <n v="1766"/>
    <n v="2"/>
    <x v="1"/>
    <n v="60"/>
    <n v="1"/>
    <n v="2"/>
    <x v="4"/>
    <n v="4"/>
    <s v="Married"/>
    <x v="1169"/>
    <n v="24539"/>
    <n v="3"/>
    <x v="0"/>
    <n v="16"/>
    <n v="3"/>
    <n v="3"/>
    <n v="1"/>
    <n v="15"/>
    <n v="2"/>
    <n v="3"/>
    <n v="1"/>
    <n v="0"/>
    <n v="1"/>
    <n v="0"/>
    <x v="0"/>
    <s v="Mid"/>
    <n v="6281.2528616024974"/>
    <s v="Below salary"/>
    <s v="Medium Risk"/>
  </r>
  <r>
    <n v="43"/>
    <x v="0"/>
    <s v="Travel_Frequently"/>
    <n v="807"/>
    <x v="1"/>
    <n v="17"/>
    <n v="3"/>
    <s v="Technical Degree"/>
    <n v="1767"/>
    <n v="3"/>
    <x v="1"/>
    <n v="38"/>
    <n v="2"/>
    <n v="1"/>
    <x v="1"/>
    <n v="3"/>
    <s v="Married"/>
    <x v="1170"/>
    <n v="15587"/>
    <n v="9"/>
    <x v="0"/>
    <n v="16"/>
    <n v="3"/>
    <n v="4"/>
    <n v="1"/>
    <n v="6"/>
    <n v="4"/>
    <n v="3"/>
    <n v="1"/>
    <n v="0"/>
    <n v="0"/>
    <n v="0"/>
    <x v="0"/>
    <s v="Low"/>
    <n v="6281.2528616024974"/>
    <s v="Below salary"/>
    <s v="Medium Risk"/>
  </r>
  <r>
    <n v="42"/>
    <x v="1"/>
    <s v="Travel_Rarely"/>
    <n v="855"/>
    <x v="1"/>
    <n v="12"/>
    <n v="3"/>
    <s v="Medical"/>
    <n v="1768"/>
    <n v="2"/>
    <x v="1"/>
    <n v="57"/>
    <n v="3"/>
    <n v="1"/>
    <x v="2"/>
    <n v="2"/>
    <s v="Divorced"/>
    <x v="1171"/>
    <n v="8952"/>
    <n v="8"/>
    <x v="1"/>
    <n v="22"/>
    <n v="4"/>
    <n v="2"/>
    <n v="3"/>
    <n v="7"/>
    <n v="6"/>
    <n v="2"/>
    <n v="5"/>
    <n v="3"/>
    <n v="0"/>
    <n v="4"/>
    <x v="0"/>
    <s v="Low"/>
    <n v="6281.2528616024974"/>
    <s v="Below salary"/>
    <s v="Medium Risk"/>
  </r>
  <r>
    <n v="55"/>
    <x v="1"/>
    <s v="Travel_Rarely"/>
    <n v="478"/>
    <x v="1"/>
    <n v="2"/>
    <n v="3"/>
    <s v="Medical"/>
    <n v="1770"/>
    <n v="3"/>
    <x v="1"/>
    <n v="60"/>
    <n v="2"/>
    <n v="5"/>
    <x v="7"/>
    <n v="1"/>
    <s v="Married"/>
    <x v="1172"/>
    <n v="19805"/>
    <n v="8"/>
    <x v="1"/>
    <n v="12"/>
    <n v="3"/>
    <n v="2"/>
    <n v="3"/>
    <n v="34"/>
    <n v="2"/>
    <n v="3"/>
    <n v="1"/>
    <n v="0"/>
    <n v="0"/>
    <n v="0"/>
    <x v="1"/>
    <s v="Very High"/>
    <n v="6281.2528616024974"/>
    <s v="Above salary"/>
    <s v="Medium Risk"/>
  </r>
  <r>
    <n v="33"/>
    <x v="1"/>
    <s v="Non-Travel"/>
    <n v="775"/>
    <x v="1"/>
    <n v="4"/>
    <n v="3"/>
    <s v="Technical Degree"/>
    <n v="1771"/>
    <n v="4"/>
    <x v="1"/>
    <n v="90"/>
    <n v="3"/>
    <n v="2"/>
    <x v="1"/>
    <n v="2"/>
    <s v="Divorced"/>
    <x v="1173"/>
    <n v="6194"/>
    <n v="5"/>
    <x v="1"/>
    <n v="15"/>
    <n v="3"/>
    <n v="4"/>
    <n v="2"/>
    <n v="11"/>
    <n v="2"/>
    <n v="2"/>
    <n v="9"/>
    <n v="8"/>
    <n v="1"/>
    <n v="7"/>
    <x v="2"/>
    <s v="Mid"/>
    <n v="6281.2528616024974"/>
    <s v="Below salary"/>
    <s v="Medium Risk"/>
  </r>
  <r>
    <n v="41"/>
    <x v="1"/>
    <s v="Travel_Rarely"/>
    <n v="548"/>
    <x v="1"/>
    <n v="9"/>
    <n v="4"/>
    <s v="Life Sciences"/>
    <n v="1772"/>
    <n v="3"/>
    <x v="1"/>
    <n v="94"/>
    <n v="3"/>
    <n v="1"/>
    <x v="2"/>
    <n v="1"/>
    <s v="Divorced"/>
    <x v="1174"/>
    <n v="20520"/>
    <n v="1"/>
    <x v="1"/>
    <n v="20"/>
    <n v="4"/>
    <n v="2"/>
    <n v="2"/>
    <n v="5"/>
    <n v="2"/>
    <n v="3"/>
    <n v="5"/>
    <n v="3"/>
    <n v="0"/>
    <n v="4"/>
    <x v="0"/>
    <s v="Low"/>
    <n v="6281.2528616024974"/>
    <s v="Below salary"/>
    <s v="Medium Risk"/>
  </r>
  <r>
    <n v="34"/>
    <x v="1"/>
    <s v="Non-Travel"/>
    <n v="1375"/>
    <x v="0"/>
    <n v="10"/>
    <n v="3"/>
    <s v="Life Sciences"/>
    <n v="1774"/>
    <n v="4"/>
    <x v="1"/>
    <n v="87"/>
    <n v="3"/>
    <n v="2"/>
    <x v="0"/>
    <n v="3"/>
    <s v="Divorced"/>
    <x v="1175"/>
    <n v="12313"/>
    <n v="1"/>
    <x v="0"/>
    <n v="14"/>
    <n v="3"/>
    <n v="3"/>
    <n v="1"/>
    <n v="15"/>
    <n v="3"/>
    <n v="3"/>
    <n v="15"/>
    <n v="14"/>
    <n v="0"/>
    <n v="7"/>
    <x v="2"/>
    <s v="Mid"/>
    <n v="6959.17264573991"/>
    <s v="Below salary"/>
    <s v="Medium Risk"/>
  </r>
  <r>
    <n v="53"/>
    <x v="1"/>
    <s v="Non-Travel"/>
    <n v="661"/>
    <x v="1"/>
    <n v="1"/>
    <n v="4"/>
    <s v="Medical"/>
    <n v="1775"/>
    <n v="1"/>
    <x v="0"/>
    <n v="60"/>
    <n v="2"/>
    <n v="4"/>
    <x v="3"/>
    <n v="3"/>
    <s v="Married"/>
    <x v="1176"/>
    <n v="22308"/>
    <n v="4"/>
    <x v="0"/>
    <n v="20"/>
    <n v="4"/>
    <n v="4"/>
    <n v="3"/>
    <n v="27"/>
    <n v="2"/>
    <n v="2"/>
    <n v="3"/>
    <n v="2"/>
    <n v="0"/>
    <n v="2"/>
    <x v="1"/>
    <s v="Very High"/>
    <n v="6281.2528616024974"/>
    <s v="Above salary"/>
    <s v="Medium Risk"/>
  </r>
  <r>
    <n v="43"/>
    <x v="1"/>
    <s v="Travel_Rarely"/>
    <n v="244"/>
    <x v="2"/>
    <n v="2"/>
    <n v="3"/>
    <s v="Life Sciences"/>
    <n v="1778"/>
    <n v="2"/>
    <x v="1"/>
    <n v="97"/>
    <n v="3"/>
    <n v="1"/>
    <x v="8"/>
    <n v="4"/>
    <s v="Single"/>
    <x v="1177"/>
    <n v="5033"/>
    <n v="0"/>
    <x v="1"/>
    <n v="13"/>
    <n v="3"/>
    <n v="2"/>
    <n v="0"/>
    <n v="10"/>
    <n v="5"/>
    <n v="3"/>
    <n v="9"/>
    <n v="7"/>
    <n v="1"/>
    <n v="8"/>
    <x v="0"/>
    <s v="Mid"/>
    <n v="6654.5079365079364"/>
    <s v="Below salary"/>
    <s v="Low Risk"/>
  </r>
  <r>
    <n v="34"/>
    <x v="1"/>
    <s v="Travel_Rarely"/>
    <n v="511"/>
    <x v="0"/>
    <n v="3"/>
    <n v="2"/>
    <s v="Life Sciences"/>
    <n v="1779"/>
    <n v="4"/>
    <x v="0"/>
    <n v="32"/>
    <n v="1"/>
    <n v="2"/>
    <x v="0"/>
    <n v="4"/>
    <s v="Single"/>
    <x v="1178"/>
    <n v="25353"/>
    <n v="5"/>
    <x v="1"/>
    <n v="12"/>
    <n v="3"/>
    <n v="1"/>
    <n v="0"/>
    <n v="6"/>
    <n v="3"/>
    <n v="3"/>
    <n v="2"/>
    <n v="2"/>
    <n v="2"/>
    <n v="2"/>
    <x v="2"/>
    <s v="Mid"/>
    <n v="6959.17264573991"/>
    <s v="Below salary"/>
    <s v="Low Risk"/>
  </r>
  <r>
    <n v="21"/>
    <x v="0"/>
    <s v="Travel_Rarely"/>
    <n v="337"/>
    <x v="0"/>
    <n v="7"/>
    <n v="1"/>
    <s v="Marketing"/>
    <n v="1780"/>
    <n v="2"/>
    <x v="1"/>
    <n v="31"/>
    <n v="3"/>
    <n v="1"/>
    <x v="6"/>
    <n v="2"/>
    <s v="Single"/>
    <x v="1179"/>
    <n v="4567"/>
    <n v="1"/>
    <x v="1"/>
    <n v="13"/>
    <n v="3"/>
    <n v="2"/>
    <n v="0"/>
    <n v="1"/>
    <n v="3"/>
    <n v="3"/>
    <n v="1"/>
    <n v="0"/>
    <n v="1"/>
    <n v="0"/>
    <x v="3"/>
    <s v="Low"/>
    <n v="6959.17264573991"/>
    <s v="Below salary"/>
    <s v="Medium Risk"/>
  </r>
  <r>
    <n v="38"/>
    <x v="1"/>
    <s v="Travel_Rarely"/>
    <n v="1153"/>
    <x v="1"/>
    <n v="6"/>
    <n v="2"/>
    <s v="Other"/>
    <n v="1782"/>
    <n v="4"/>
    <x v="0"/>
    <n v="40"/>
    <n v="2"/>
    <n v="1"/>
    <x v="2"/>
    <n v="3"/>
    <s v="Married"/>
    <x v="1180"/>
    <n v="16376"/>
    <n v="1"/>
    <x v="1"/>
    <n v="11"/>
    <n v="3"/>
    <n v="2"/>
    <n v="1"/>
    <n v="5"/>
    <n v="3"/>
    <n v="3"/>
    <n v="5"/>
    <n v="4"/>
    <n v="0"/>
    <n v="4"/>
    <x v="0"/>
    <s v="Mid"/>
    <n v="6281.2528616024974"/>
    <s v="Below salary"/>
    <s v="Low Risk"/>
  </r>
  <r>
    <n v="22"/>
    <x v="0"/>
    <s v="Travel_Rarely"/>
    <n v="1294"/>
    <x v="1"/>
    <n v="8"/>
    <n v="1"/>
    <s v="Medical"/>
    <n v="1783"/>
    <n v="3"/>
    <x v="0"/>
    <n v="79"/>
    <n v="3"/>
    <n v="1"/>
    <x v="2"/>
    <n v="1"/>
    <s v="Married"/>
    <x v="1181"/>
    <n v="15999"/>
    <n v="1"/>
    <x v="0"/>
    <n v="17"/>
    <n v="3"/>
    <n v="3"/>
    <n v="0"/>
    <n v="1"/>
    <n v="6"/>
    <n v="3"/>
    <n v="1"/>
    <n v="0"/>
    <n v="0"/>
    <n v="0"/>
    <x v="3"/>
    <s v="Low"/>
    <n v="6281.2528616024974"/>
    <s v="Below salary"/>
    <s v="High Risk"/>
  </r>
  <r>
    <n v="31"/>
    <x v="1"/>
    <s v="Travel_Rarely"/>
    <n v="196"/>
    <x v="0"/>
    <n v="29"/>
    <n v="4"/>
    <s v="Marketing"/>
    <n v="1784"/>
    <n v="1"/>
    <x v="0"/>
    <n v="91"/>
    <n v="2"/>
    <n v="2"/>
    <x v="0"/>
    <n v="4"/>
    <s v="Married"/>
    <x v="1182"/>
    <n v="13402"/>
    <n v="1"/>
    <x v="1"/>
    <n v="14"/>
    <n v="3"/>
    <n v="1"/>
    <n v="2"/>
    <n v="13"/>
    <n v="3"/>
    <n v="3"/>
    <n v="12"/>
    <n v="7"/>
    <n v="5"/>
    <n v="7"/>
    <x v="2"/>
    <s v="Mid"/>
    <n v="6959.17264573991"/>
    <s v="Below salary"/>
    <s v="Low Risk"/>
  </r>
  <r>
    <n v="51"/>
    <x v="1"/>
    <s v="Travel_Rarely"/>
    <n v="942"/>
    <x v="1"/>
    <n v="3"/>
    <n v="3"/>
    <s v="Technical Degree"/>
    <n v="1786"/>
    <n v="1"/>
    <x v="0"/>
    <n v="53"/>
    <n v="3"/>
    <n v="3"/>
    <x v="5"/>
    <n v="3"/>
    <s v="Married"/>
    <x v="1183"/>
    <n v="22984"/>
    <n v="2"/>
    <x v="1"/>
    <n v="11"/>
    <n v="3"/>
    <n v="4"/>
    <n v="0"/>
    <n v="15"/>
    <n v="2"/>
    <n v="3"/>
    <n v="2"/>
    <n v="2"/>
    <n v="2"/>
    <n v="2"/>
    <x v="1"/>
    <s v="Very High"/>
    <n v="6281.2528616024974"/>
    <s v="Above salary"/>
    <s v="Low Risk"/>
  </r>
  <r>
    <n v="37"/>
    <x v="1"/>
    <s v="Travel_Rarely"/>
    <n v="589"/>
    <x v="0"/>
    <n v="9"/>
    <n v="2"/>
    <s v="Marketing"/>
    <n v="1787"/>
    <n v="2"/>
    <x v="1"/>
    <n v="46"/>
    <n v="2"/>
    <n v="2"/>
    <x v="0"/>
    <n v="2"/>
    <s v="Married"/>
    <x v="1184"/>
    <n v="8800"/>
    <n v="1"/>
    <x v="1"/>
    <n v="14"/>
    <n v="3"/>
    <n v="1"/>
    <n v="2"/>
    <n v="5"/>
    <n v="2"/>
    <n v="3"/>
    <n v="5"/>
    <n v="2"/>
    <n v="0"/>
    <n v="3"/>
    <x v="0"/>
    <s v="Mid"/>
    <n v="6959.17264573991"/>
    <s v="Below salary"/>
    <s v="Medium Risk"/>
  </r>
  <r>
    <n v="46"/>
    <x v="1"/>
    <s v="Travel_Rarely"/>
    <n v="734"/>
    <x v="1"/>
    <n v="2"/>
    <n v="4"/>
    <s v="Medical"/>
    <n v="1789"/>
    <n v="3"/>
    <x v="1"/>
    <n v="46"/>
    <n v="3"/>
    <n v="5"/>
    <x v="7"/>
    <n v="4"/>
    <s v="Divorced"/>
    <x v="1185"/>
    <n v="14218"/>
    <n v="7"/>
    <x v="0"/>
    <n v="17"/>
    <n v="3"/>
    <n v="3"/>
    <n v="1"/>
    <n v="24"/>
    <n v="3"/>
    <n v="3"/>
    <n v="2"/>
    <n v="1"/>
    <n v="2"/>
    <n v="2"/>
    <x v="1"/>
    <s v="Very High"/>
    <n v="6281.2528616024974"/>
    <s v="Above salary"/>
    <s v="Medium Risk"/>
  </r>
  <r>
    <n v="36"/>
    <x v="1"/>
    <s v="Travel_Rarely"/>
    <n v="1383"/>
    <x v="1"/>
    <n v="10"/>
    <n v="3"/>
    <s v="Life Sciences"/>
    <n v="1790"/>
    <n v="4"/>
    <x v="1"/>
    <n v="90"/>
    <n v="3"/>
    <n v="3"/>
    <x v="4"/>
    <n v="1"/>
    <s v="Married"/>
    <x v="1186"/>
    <n v="25949"/>
    <n v="7"/>
    <x v="0"/>
    <n v="13"/>
    <n v="3"/>
    <n v="4"/>
    <n v="1"/>
    <n v="15"/>
    <n v="1"/>
    <n v="3"/>
    <n v="12"/>
    <n v="8"/>
    <n v="5"/>
    <n v="7"/>
    <x v="0"/>
    <s v="High"/>
    <n v="6281.2528616024974"/>
    <s v="Above salary"/>
    <s v="High Risk"/>
  </r>
  <r>
    <n v="44"/>
    <x v="0"/>
    <s v="Travel_Frequently"/>
    <n v="429"/>
    <x v="1"/>
    <n v="1"/>
    <n v="2"/>
    <s v="Medical"/>
    <n v="1792"/>
    <n v="3"/>
    <x v="1"/>
    <n v="99"/>
    <n v="3"/>
    <n v="1"/>
    <x v="1"/>
    <n v="2"/>
    <s v="Divorced"/>
    <x v="531"/>
    <n v="11092"/>
    <n v="1"/>
    <x v="0"/>
    <n v="12"/>
    <n v="3"/>
    <n v="3"/>
    <n v="3"/>
    <n v="6"/>
    <n v="2"/>
    <n v="2"/>
    <n v="5"/>
    <n v="3"/>
    <n v="2"/>
    <n v="3"/>
    <x v="0"/>
    <s v="Low"/>
    <n v="6281.2528616024974"/>
    <s v="Below salary"/>
    <s v="High Risk"/>
  </r>
  <r>
    <n v="37"/>
    <x v="1"/>
    <s v="Travel_Rarely"/>
    <n v="1239"/>
    <x v="2"/>
    <n v="8"/>
    <n v="2"/>
    <s v="Other"/>
    <n v="1794"/>
    <n v="3"/>
    <x v="1"/>
    <n v="89"/>
    <n v="3"/>
    <n v="2"/>
    <x v="8"/>
    <n v="2"/>
    <s v="Divorced"/>
    <x v="1187"/>
    <n v="12832"/>
    <n v="2"/>
    <x v="1"/>
    <n v="13"/>
    <n v="3"/>
    <n v="3"/>
    <n v="0"/>
    <n v="19"/>
    <n v="4"/>
    <n v="2"/>
    <n v="10"/>
    <n v="0"/>
    <n v="4"/>
    <n v="7"/>
    <x v="0"/>
    <s v="Mid"/>
    <n v="6654.5079365079364"/>
    <s v="Below salary"/>
    <s v="Medium Risk"/>
  </r>
  <r>
    <n v="35"/>
    <x v="0"/>
    <s v="Travel_Rarely"/>
    <n v="303"/>
    <x v="0"/>
    <n v="27"/>
    <n v="3"/>
    <s v="Life Sciences"/>
    <n v="1797"/>
    <n v="3"/>
    <x v="1"/>
    <n v="84"/>
    <n v="3"/>
    <n v="2"/>
    <x v="0"/>
    <n v="4"/>
    <s v="Single"/>
    <x v="1188"/>
    <n v="13492"/>
    <n v="1"/>
    <x v="0"/>
    <n v="18"/>
    <n v="3"/>
    <n v="4"/>
    <n v="0"/>
    <n v="10"/>
    <n v="2"/>
    <n v="3"/>
    <n v="10"/>
    <n v="7"/>
    <n v="7"/>
    <n v="7"/>
    <x v="2"/>
    <s v="Mid"/>
    <n v="6959.17264573991"/>
    <s v="Below salary"/>
    <s v="Medium Risk"/>
  </r>
  <r>
    <n v="33"/>
    <x v="1"/>
    <s v="Travel_Rarely"/>
    <n v="867"/>
    <x v="1"/>
    <n v="8"/>
    <n v="4"/>
    <s v="Life Sciences"/>
    <n v="1798"/>
    <n v="4"/>
    <x v="1"/>
    <n v="90"/>
    <n v="4"/>
    <n v="1"/>
    <x v="1"/>
    <n v="1"/>
    <s v="Married"/>
    <x v="1189"/>
    <n v="6076"/>
    <n v="6"/>
    <x v="1"/>
    <n v="19"/>
    <n v="3"/>
    <n v="2"/>
    <n v="1"/>
    <n v="14"/>
    <n v="1"/>
    <n v="3"/>
    <n v="10"/>
    <n v="8"/>
    <n v="7"/>
    <n v="6"/>
    <x v="2"/>
    <s v="Mid"/>
    <n v="6281.2528616024974"/>
    <s v="Below salary"/>
    <s v="Medium Risk"/>
  </r>
  <r>
    <n v="28"/>
    <x v="1"/>
    <s v="Travel_Rarely"/>
    <n v="1181"/>
    <x v="1"/>
    <n v="1"/>
    <n v="3"/>
    <s v="Life Sciences"/>
    <n v="1799"/>
    <n v="3"/>
    <x v="1"/>
    <n v="82"/>
    <n v="3"/>
    <n v="1"/>
    <x v="1"/>
    <n v="4"/>
    <s v="Married"/>
    <x v="633"/>
    <n v="5531"/>
    <n v="1"/>
    <x v="1"/>
    <n v="11"/>
    <n v="3"/>
    <n v="3"/>
    <n v="1"/>
    <n v="5"/>
    <n v="6"/>
    <n v="4"/>
    <n v="5"/>
    <n v="3"/>
    <n v="0"/>
    <n v="3"/>
    <x v="2"/>
    <s v="Low"/>
    <n v="6281.2528616024974"/>
    <s v="Below salary"/>
    <s v="Low Risk"/>
  </r>
  <r>
    <n v="39"/>
    <x v="1"/>
    <s v="Travel_Rarely"/>
    <n v="1253"/>
    <x v="1"/>
    <n v="10"/>
    <n v="1"/>
    <s v="Medical"/>
    <n v="1800"/>
    <n v="3"/>
    <x v="1"/>
    <n v="65"/>
    <n v="3"/>
    <n v="3"/>
    <x v="7"/>
    <n v="3"/>
    <s v="Single"/>
    <x v="1190"/>
    <n v="7914"/>
    <n v="7"/>
    <x v="1"/>
    <n v="21"/>
    <n v="4"/>
    <n v="3"/>
    <n v="0"/>
    <n v="9"/>
    <n v="3"/>
    <n v="3"/>
    <n v="4"/>
    <n v="3"/>
    <n v="2"/>
    <n v="2"/>
    <x v="0"/>
    <s v="Very High"/>
    <n v="6281.2528616024974"/>
    <s v="Above salary"/>
    <s v="Low Risk"/>
  </r>
  <r>
    <n v="46"/>
    <x v="1"/>
    <s v="Non-Travel"/>
    <n v="849"/>
    <x v="0"/>
    <n v="26"/>
    <n v="2"/>
    <s v="Life Sciences"/>
    <n v="1801"/>
    <n v="2"/>
    <x v="1"/>
    <n v="98"/>
    <n v="2"/>
    <n v="2"/>
    <x v="0"/>
    <n v="2"/>
    <s v="Single"/>
    <x v="1191"/>
    <n v="25166"/>
    <n v="8"/>
    <x v="1"/>
    <n v="15"/>
    <n v="3"/>
    <n v="3"/>
    <n v="0"/>
    <n v="6"/>
    <n v="3"/>
    <n v="3"/>
    <n v="2"/>
    <n v="2"/>
    <n v="2"/>
    <n v="2"/>
    <x v="1"/>
    <s v="High"/>
    <n v="6959.17264573991"/>
    <s v="Above salary"/>
    <s v="Medium Risk"/>
  </r>
  <r>
    <n v="40"/>
    <x v="1"/>
    <s v="Travel_Rarely"/>
    <n v="616"/>
    <x v="1"/>
    <n v="2"/>
    <n v="2"/>
    <s v="Life Sciences"/>
    <n v="1802"/>
    <n v="3"/>
    <x v="0"/>
    <n v="99"/>
    <n v="3"/>
    <n v="1"/>
    <x v="2"/>
    <n v="1"/>
    <s v="Married"/>
    <x v="1192"/>
    <n v="25605"/>
    <n v="4"/>
    <x v="1"/>
    <n v="17"/>
    <n v="3"/>
    <n v="4"/>
    <n v="1"/>
    <n v="7"/>
    <n v="5"/>
    <n v="2"/>
    <n v="4"/>
    <n v="3"/>
    <n v="0"/>
    <n v="2"/>
    <x v="0"/>
    <s v="Mid"/>
    <n v="6281.2528616024974"/>
    <s v="Below salary"/>
    <s v="Medium Risk"/>
  </r>
  <r>
    <n v="42"/>
    <x v="1"/>
    <s v="Travel_Rarely"/>
    <n v="1128"/>
    <x v="1"/>
    <n v="13"/>
    <n v="3"/>
    <s v="Medical"/>
    <n v="1803"/>
    <n v="2"/>
    <x v="1"/>
    <n v="95"/>
    <n v="4"/>
    <n v="2"/>
    <x v="4"/>
    <n v="1"/>
    <s v="Married"/>
    <x v="1193"/>
    <n v="5696"/>
    <n v="5"/>
    <x v="1"/>
    <n v="18"/>
    <n v="3"/>
    <n v="3"/>
    <n v="2"/>
    <n v="10"/>
    <n v="2"/>
    <n v="2"/>
    <n v="0"/>
    <n v="0"/>
    <n v="0"/>
    <n v="0"/>
    <x v="0"/>
    <s v="Mid"/>
    <n v="6281.2528616024974"/>
    <s v="Below salary"/>
    <s v="Medium Risk"/>
  </r>
  <r>
    <n v="35"/>
    <x v="1"/>
    <s v="Non-Travel"/>
    <n v="1180"/>
    <x v="1"/>
    <n v="2"/>
    <n v="2"/>
    <s v="Medical"/>
    <n v="1804"/>
    <n v="2"/>
    <x v="1"/>
    <n v="90"/>
    <n v="3"/>
    <n v="2"/>
    <x v="3"/>
    <n v="4"/>
    <s v="Divorced"/>
    <x v="1194"/>
    <n v="24442"/>
    <n v="2"/>
    <x v="1"/>
    <n v="14"/>
    <n v="3"/>
    <n v="3"/>
    <n v="1"/>
    <n v="15"/>
    <n v="6"/>
    <n v="3"/>
    <n v="7"/>
    <n v="7"/>
    <n v="1"/>
    <n v="7"/>
    <x v="2"/>
    <s v="Mid"/>
    <n v="6281.2528616024974"/>
    <s v="Below salary"/>
    <s v="Low Risk"/>
  </r>
  <r>
    <n v="38"/>
    <x v="1"/>
    <s v="Non-Travel"/>
    <n v="1336"/>
    <x v="2"/>
    <n v="2"/>
    <n v="3"/>
    <s v="Human Resources"/>
    <n v="1805"/>
    <n v="1"/>
    <x v="1"/>
    <n v="100"/>
    <n v="3"/>
    <n v="1"/>
    <x v="8"/>
    <n v="2"/>
    <s v="Divorced"/>
    <x v="1195"/>
    <n v="7129"/>
    <n v="5"/>
    <x v="1"/>
    <n v="13"/>
    <n v="3"/>
    <n v="4"/>
    <n v="3"/>
    <n v="13"/>
    <n v="3"/>
    <n v="3"/>
    <n v="11"/>
    <n v="10"/>
    <n v="3"/>
    <n v="8"/>
    <x v="0"/>
    <s v="Low"/>
    <n v="6654.5079365079364"/>
    <s v="Below salary"/>
    <s v="Medium Risk"/>
  </r>
  <r>
    <n v="34"/>
    <x v="0"/>
    <s v="Travel_Frequently"/>
    <n v="234"/>
    <x v="1"/>
    <n v="9"/>
    <n v="4"/>
    <s v="Life Sciences"/>
    <n v="1807"/>
    <n v="4"/>
    <x v="1"/>
    <n v="93"/>
    <n v="3"/>
    <n v="2"/>
    <x v="2"/>
    <n v="1"/>
    <s v="Married"/>
    <x v="800"/>
    <n v="6208"/>
    <n v="4"/>
    <x v="1"/>
    <n v="17"/>
    <n v="3"/>
    <n v="3"/>
    <n v="1"/>
    <n v="11"/>
    <n v="3"/>
    <n v="2"/>
    <n v="7"/>
    <n v="1"/>
    <n v="0"/>
    <n v="7"/>
    <x v="2"/>
    <s v="Mid"/>
    <n v="6281.2528616024974"/>
    <s v="Below salary"/>
    <s v="Medium Risk"/>
  </r>
  <r>
    <n v="37"/>
    <x v="0"/>
    <s v="Travel_Rarely"/>
    <n v="370"/>
    <x v="1"/>
    <n v="10"/>
    <n v="4"/>
    <s v="Medical"/>
    <n v="1809"/>
    <n v="4"/>
    <x v="1"/>
    <n v="58"/>
    <n v="3"/>
    <n v="2"/>
    <x v="3"/>
    <n v="1"/>
    <s v="Single"/>
    <x v="1196"/>
    <n v="4992"/>
    <n v="1"/>
    <x v="1"/>
    <n v="15"/>
    <n v="3"/>
    <n v="2"/>
    <n v="0"/>
    <n v="10"/>
    <n v="4"/>
    <n v="1"/>
    <n v="10"/>
    <n v="3"/>
    <n v="0"/>
    <n v="8"/>
    <x v="0"/>
    <s v="Mid"/>
    <n v="6281.2528616024974"/>
    <s v="Below salary"/>
    <s v="Medium Risk"/>
  </r>
  <r>
    <n v="39"/>
    <x v="1"/>
    <s v="Travel_Frequently"/>
    <n v="766"/>
    <x v="0"/>
    <n v="20"/>
    <n v="3"/>
    <s v="Life Sciences"/>
    <n v="1812"/>
    <n v="3"/>
    <x v="1"/>
    <n v="83"/>
    <n v="3"/>
    <n v="2"/>
    <x v="0"/>
    <n v="4"/>
    <s v="Divorced"/>
    <x v="1197"/>
    <n v="19188"/>
    <n v="2"/>
    <x v="1"/>
    <n v="18"/>
    <n v="3"/>
    <n v="4"/>
    <n v="1"/>
    <n v="7"/>
    <n v="6"/>
    <n v="3"/>
    <n v="2"/>
    <n v="1"/>
    <n v="2"/>
    <n v="2"/>
    <x v="0"/>
    <s v="Mid"/>
    <n v="6959.17264573991"/>
    <s v="Below salary"/>
    <s v="Low Risk"/>
  </r>
  <r>
    <n v="43"/>
    <x v="1"/>
    <s v="Non-Travel"/>
    <n v="343"/>
    <x v="1"/>
    <n v="9"/>
    <n v="3"/>
    <s v="Life Sciences"/>
    <n v="1813"/>
    <n v="1"/>
    <x v="1"/>
    <n v="52"/>
    <n v="3"/>
    <n v="1"/>
    <x v="1"/>
    <n v="3"/>
    <s v="Single"/>
    <x v="1198"/>
    <n v="24978"/>
    <n v="4"/>
    <x v="1"/>
    <n v="13"/>
    <n v="3"/>
    <n v="3"/>
    <n v="0"/>
    <n v="7"/>
    <n v="2"/>
    <n v="2"/>
    <n v="3"/>
    <n v="2"/>
    <n v="1"/>
    <n v="2"/>
    <x v="0"/>
    <s v="Low"/>
    <n v="6281.2528616024974"/>
    <s v="Below salary"/>
    <s v="Low Risk"/>
  </r>
  <r>
    <n v="41"/>
    <x v="1"/>
    <s v="Travel_Rarely"/>
    <n v="447"/>
    <x v="1"/>
    <n v="5"/>
    <n v="3"/>
    <s v="Life Sciences"/>
    <n v="1814"/>
    <n v="2"/>
    <x v="1"/>
    <n v="85"/>
    <n v="4"/>
    <n v="2"/>
    <x v="4"/>
    <n v="2"/>
    <s v="Single"/>
    <x v="1199"/>
    <n v="15530"/>
    <n v="3"/>
    <x v="1"/>
    <n v="12"/>
    <n v="3"/>
    <n v="1"/>
    <n v="0"/>
    <n v="11"/>
    <n v="3"/>
    <n v="1"/>
    <n v="3"/>
    <n v="2"/>
    <n v="1"/>
    <n v="2"/>
    <x v="0"/>
    <s v="Mid"/>
    <n v="6281.2528616024974"/>
    <s v="Above salary"/>
    <s v="Medium Risk"/>
  </r>
  <r>
    <n v="41"/>
    <x v="1"/>
    <s v="Travel_Rarely"/>
    <n v="796"/>
    <x v="0"/>
    <n v="4"/>
    <n v="1"/>
    <s v="Marketing"/>
    <n v="1815"/>
    <n v="3"/>
    <x v="0"/>
    <n v="81"/>
    <n v="3"/>
    <n v="3"/>
    <x v="0"/>
    <n v="3"/>
    <s v="Divorced"/>
    <x v="1200"/>
    <n v="26458"/>
    <n v="0"/>
    <x v="0"/>
    <n v="13"/>
    <n v="3"/>
    <n v="4"/>
    <n v="1"/>
    <n v="23"/>
    <n v="3"/>
    <n v="4"/>
    <n v="22"/>
    <n v="14"/>
    <n v="13"/>
    <n v="5"/>
    <x v="0"/>
    <s v="High"/>
    <n v="6959.17264573991"/>
    <s v="Above salary"/>
    <s v="Medium Risk"/>
  </r>
  <r>
    <n v="30"/>
    <x v="1"/>
    <s v="Travel_Rarely"/>
    <n v="1092"/>
    <x v="1"/>
    <n v="10"/>
    <n v="3"/>
    <s v="Medical"/>
    <n v="1816"/>
    <n v="1"/>
    <x v="0"/>
    <n v="64"/>
    <n v="3"/>
    <n v="3"/>
    <x v="3"/>
    <n v="3"/>
    <s v="Single"/>
    <x v="1201"/>
    <n v="2739"/>
    <n v="9"/>
    <x v="1"/>
    <n v="14"/>
    <n v="3"/>
    <n v="2"/>
    <n v="0"/>
    <n v="9"/>
    <n v="3"/>
    <n v="3"/>
    <n v="7"/>
    <n v="7"/>
    <n v="0"/>
    <n v="2"/>
    <x v="2"/>
    <s v="High"/>
    <n v="6281.2528616024974"/>
    <s v="Above salary"/>
    <s v="Low Risk"/>
  </r>
  <r>
    <n v="26"/>
    <x v="0"/>
    <s v="Travel_Rarely"/>
    <n v="920"/>
    <x v="2"/>
    <n v="20"/>
    <n v="2"/>
    <s v="Medical"/>
    <n v="1818"/>
    <n v="4"/>
    <x v="0"/>
    <n v="69"/>
    <n v="3"/>
    <n v="1"/>
    <x v="8"/>
    <n v="2"/>
    <s v="Married"/>
    <x v="1202"/>
    <n v="6889"/>
    <n v="0"/>
    <x v="0"/>
    <n v="11"/>
    <n v="3"/>
    <n v="3"/>
    <n v="0"/>
    <n v="6"/>
    <n v="3"/>
    <n v="3"/>
    <n v="5"/>
    <n v="1"/>
    <n v="1"/>
    <n v="4"/>
    <x v="2"/>
    <s v="Low"/>
    <n v="6654.5079365079364"/>
    <s v="Below salary"/>
    <s v="High Risk"/>
  </r>
  <r>
    <n v="46"/>
    <x v="0"/>
    <s v="Travel_Rarely"/>
    <n v="261"/>
    <x v="1"/>
    <n v="21"/>
    <n v="2"/>
    <s v="Medical"/>
    <n v="1821"/>
    <n v="4"/>
    <x v="0"/>
    <n v="66"/>
    <n v="3"/>
    <n v="2"/>
    <x v="4"/>
    <n v="2"/>
    <s v="Married"/>
    <x v="1203"/>
    <n v="10842"/>
    <n v="4"/>
    <x v="1"/>
    <n v="22"/>
    <n v="4"/>
    <n v="4"/>
    <n v="1"/>
    <n v="13"/>
    <n v="2"/>
    <n v="4"/>
    <n v="9"/>
    <n v="7"/>
    <n v="3"/>
    <n v="7"/>
    <x v="1"/>
    <s v="High"/>
    <n v="6281.2528616024974"/>
    <s v="Above salary"/>
    <s v="Medium Risk"/>
  </r>
  <r>
    <n v="40"/>
    <x v="1"/>
    <s v="Travel_Rarely"/>
    <n v="1194"/>
    <x v="1"/>
    <n v="1"/>
    <n v="3"/>
    <s v="Life Sciences"/>
    <n v="1822"/>
    <n v="3"/>
    <x v="0"/>
    <n v="52"/>
    <n v="3"/>
    <n v="2"/>
    <x v="4"/>
    <n v="4"/>
    <s v="Divorced"/>
    <x v="1204"/>
    <n v="9060"/>
    <n v="4"/>
    <x v="1"/>
    <n v="17"/>
    <n v="3"/>
    <n v="4"/>
    <n v="1"/>
    <n v="12"/>
    <n v="3"/>
    <n v="3"/>
    <n v="5"/>
    <n v="3"/>
    <n v="0"/>
    <n v="3"/>
    <x v="0"/>
    <s v="Mid"/>
    <n v="6281.2528616024974"/>
    <s v="Above salary"/>
    <s v="Low Risk"/>
  </r>
  <r>
    <n v="34"/>
    <x v="1"/>
    <s v="Travel_Rarely"/>
    <n v="810"/>
    <x v="0"/>
    <n v="8"/>
    <n v="2"/>
    <s v="Technical Degree"/>
    <n v="1823"/>
    <n v="2"/>
    <x v="1"/>
    <n v="92"/>
    <n v="4"/>
    <n v="2"/>
    <x v="0"/>
    <n v="3"/>
    <s v="Married"/>
    <x v="1205"/>
    <n v="22128"/>
    <n v="1"/>
    <x v="1"/>
    <n v="21"/>
    <n v="4"/>
    <n v="3"/>
    <n v="2"/>
    <n v="10"/>
    <n v="5"/>
    <n v="3"/>
    <n v="10"/>
    <n v="8"/>
    <n v="4"/>
    <n v="8"/>
    <x v="2"/>
    <s v="Mid"/>
    <n v="6959.17264573991"/>
    <s v="Below salary"/>
    <s v="Low Risk"/>
  </r>
  <r>
    <n v="58"/>
    <x v="1"/>
    <s v="Non-Travel"/>
    <n v="350"/>
    <x v="0"/>
    <n v="2"/>
    <n v="3"/>
    <s v="Medical"/>
    <n v="1824"/>
    <n v="2"/>
    <x v="1"/>
    <n v="52"/>
    <n v="3"/>
    <n v="4"/>
    <x v="5"/>
    <n v="2"/>
    <s v="Divorced"/>
    <x v="1206"/>
    <n v="22577"/>
    <n v="4"/>
    <x v="1"/>
    <n v="22"/>
    <n v="4"/>
    <n v="4"/>
    <n v="1"/>
    <n v="37"/>
    <n v="0"/>
    <n v="2"/>
    <n v="16"/>
    <n v="9"/>
    <n v="14"/>
    <n v="14"/>
    <x v="1"/>
    <s v="Very High"/>
    <n v="6959.17264573991"/>
    <s v="Above salary"/>
    <s v="Medium Risk"/>
  </r>
  <r>
    <n v="35"/>
    <x v="1"/>
    <s v="Travel_Rarely"/>
    <n v="185"/>
    <x v="1"/>
    <n v="23"/>
    <n v="4"/>
    <s v="Medical"/>
    <n v="1826"/>
    <n v="2"/>
    <x v="1"/>
    <n v="91"/>
    <n v="1"/>
    <n v="1"/>
    <x v="2"/>
    <n v="3"/>
    <s v="Married"/>
    <x v="1207"/>
    <n v="9696"/>
    <n v="0"/>
    <x v="1"/>
    <n v="16"/>
    <n v="3"/>
    <n v="2"/>
    <n v="1"/>
    <n v="6"/>
    <n v="2"/>
    <n v="4"/>
    <n v="5"/>
    <n v="4"/>
    <n v="0"/>
    <n v="3"/>
    <x v="2"/>
    <s v="Low"/>
    <n v="6281.2528616024974"/>
    <s v="Below salary"/>
    <s v="Low Risk"/>
  </r>
  <r>
    <n v="47"/>
    <x v="1"/>
    <s v="Travel_Rarely"/>
    <n v="1001"/>
    <x v="1"/>
    <n v="4"/>
    <n v="3"/>
    <s v="Life Sciences"/>
    <n v="1827"/>
    <n v="3"/>
    <x v="0"/>
    <n v="92"/>
    <n v="2"/>
    <n v="3"/>
    <x v="3"/>
    <n v="2"/>
    <s v="Divorced"/>
    <x v="1208"/>
    <n v="19271"/>
    <n v="8"/>
    <x v="0"/>
    <n v="12"/>
    <n v="3"/>
    <n v="3"/>
    <n v="1"/>
    <n v="28"/>
    <n v="4"/>
    <n v="3"/>
    <n v="22"/>
    <n v="11"/>
    <n v="14"/>
    <n v="10"/>
    <x v="1"/>
    <s v="High"/>
    <n v="6281.2528616024974"/>
    <s v="Above salary"/>
    <s v="High Risk"/>
  </r>
  <r>
    <n v="40"/>
    <x v="1"/>
    <s v="Travel_Rarely"/>
    <n v="750"/>
    <x v="1"/>
    <n v="12"/>
    <n v="3"/>
    <s v="Life Sciences"/>
    <n v="1829"/>
    <n v="2"/>
    <x v="0"/>
    <n v="47"/>
    <n v="3"/>
    <n v="2"/>
    <x v="4"/>
    <n v="1"/>
    <s v="Divorced"/>
    <x v="1209"/>
    <n v="10748"/>
    <n v="2"/>
    <x v="1"/>
    <n v="12"/>
    <n v="3"/>
    <n v="2"/>
    <n v="1"/>
    <n v="15"/>
    <n v="3"/>
    <n v="3"/>
    <n v="7"/>
    <n v="4"/>
    <n v="7"/>
    <n v="7"/>
    <x v="0"/>
    <s v="Mid"/>
    <n v="6281.2528616024974"/>
    <s v="Below salary"/>
    <s v="Medium Risk"/>
  </r>
  <r>
    <n v="54"/>
    <x v="1"/>
    <s v="Travel_Rarely"/>
    <n v="431"/>
    <x v="1"/>
    <n v="7"/>
    <n v="4"/>
    <s v="Medical"/>
    <n v="1830"/>
    <n v="4"/>
    <x v="0"/>
    <n v="68"/>
    <n v="3"/>
    <n v="2"/>
    <x v="1"/>
    <n v="4"/>
    <s v="Married"/>
    <x v="1210"/>
    <n v="15696"/>
    <n v="4"/>
    <x v="1"/>
    <n v="15"/>
    <n v="3"/>
    <n v="2"/>
    <n v="1"/>
    <n v="14"/>
    <n v="2"/>
    <n v="2"/>
    <n v="7"/>
    <n v="1"/>
    <n v="1"/>
    <n v="7"/>
    <x v="1"/>
    <s v="Mid"/>
    <n v="6281.2528616024974"/>
    <s v="Above salary"/>
    <s v="Low Risk"/>
  </r>
  <r>
    <n v="31"/>
    <x v="1"/>
    <s v="Travel_Frequently"/>
    <n v="1125"/>
    <x v="0"/>
    <n v="7"/>
    <n v="4"/>
    <s v="Marketing"/>
    <n v="1833"/>
    <n v="1"/>
    <x v="0"/>
    <n v="68"/>
    <n v="3"/>
    <n v="3"/>
    <x v="0"/>
    <n v="1"/>
    <s v="Married"/>
    <x v="1211"/>
    <n v="8277"/>
    <n v="2"/>
    <x v="1"/>
    <n v="14"/>
    <n v="3"/>
    <n v="4"/>
    <n v="2"/>
    <n v="9"/>
    <n v="3"/>
    <n v="3"/>
    <n v="3"/>
    <n v="2"/>
    <n v="2"/>
    <n v="2"/>
    <x v="2"/>
    <s v="High"/>
    <n v="6959.17264573991"/>
    <s v="Above salary"/>
    <s v="Medium Risk"/>
  </r>
  <r>
    <n v="28"/>
    <x v="1"/>
    <s v="Travel_Rarely"/>
    <n v="1217"/>
    <x v="1"/>
    <n v="1"/>
    <n v="3"/>
    <s v="Medical"/>
    <n v="1834"/>
    <n v="3"/>
    <x v="0"/>
    <n v="67"/>
    <n v="3"/>
    <n v="1"/>
    <x v="1"/>
    <n v="1"/>
    <s v="Married"/>
    <x v="1212"/>
    <n v="12719"/>
    <n v="1"/>
    <x v="1"/>
    <n v="25"/>
    <n v="4"/>
    <n v="3"/>
    <n v="1"/>
    <n v="3"/>
    <n v="3"/>
    <n v="3"/>
    <n v="3"/>
    <n v="2"/>
    <n v="1"/>
    <n v="2"/>
    <x v="2"/>
    <s v="Mid"/>
    <n v="6281.2528616024974"/>
    <s v="Below salary"/>
    <s v="Medium Risk"/>
  </r>
  <r>
    <n v="38"/>
    <x v="1"/>
    <s v="Travel_Rarely"/>
    <n v="723"/>
    <x v="0"/>
    <n v="2"/>
    <n v="4"/>
    <s v="Marketing"/>
    <n v="1835"/>
    <n v="2"/>
    <x v="0"/>
    <n v="77"/>
    <n v="1"/>
    <n v="2"/>
    <x v="6"/>
    <n v="4"/>
    <s v="Married"/>
    <x v="517"/>
    <n v="4244"/>
    <n v="2"/>
    <x v="0"/>
    <n v="20"/>
    <n v="4"/>
    <n v="1"/>
    <n v="2"/>
    <n v="20"/>
    <n v="4"/>
    <n v="2"/>
    <n v="4"/>
    <n v="2"/>
    <n v="0"/>
    <n v="3"/>
    <x v="0"/>
    <s v="Mid"/>
    <n v="6959.17264573991"/>
    <s v="Below salary"/>
    <s v="Medium Risk"/>
  </r>
  <r>
    <n v="26"/>
    <x v="1"/>
    <s v="Travel_Rarely"/>
    <n v="572"/>
    <x v="0"/>
    <n v="10"/>
    <n v="3"/>
    <s v="Medical"/>
    <n v="1836"/>
    <n v="3"/>
    <x v="1"/>
    <n v="46"/>
    <n v="3"/>
    <n v="2"/>
    <x v="0"/>
    <n v="4"/>
    <s v="Single"/>
    <x v="1213"/>
    <n v="9125"/>
    <n v="1"/>
    <x v="1"/>
    <n v="13"/>
    <n v="3"/>
    <n v="1"/>
    <n v="0"/>
    <n v="5"/>
    <n v="4"/>
    <n v="3"/>
    <n v="5"/>
    <n v="3"/>
    <n v="1"/>
    <n v="2"/>
    <x v="2"/>
    <s v="Mid"/>
    <n v="6959.17264573991"/>
    <s v="Below salary"/>
    <s v="Low Risk"/>
  </r>
  <r>
    <n v="58"/>
    <x v="1"/>
    <s v="Travel_Frequently"/>
    <n v="1216"/>
    <x v="1"/>
    <n v="15"/>
    <n v="4"/>
    <s v="Life Sciences"/>
    <n v="1837"/>
    <n v="1"/>
    <x v="1"/>
    <n v="87"/>
    <n v="3"/>
    <n v="4"/>
    <x v="7"/>
    <n v="3"/>
    <s v="Married"/>
    <x v="1214"/>
    <n v="21624"/>
    <n v="2"/>
    <x v="0"/>
    <n v="14"/>
    <n v="3"/>
    <n v="2"/>
    <n v="0"/>
    <n v="23"/>
    <n v="3"/>
    <n v="3"/>
    <n v="2"/>
    <n v="2"/>
    <n v="2"/>
    <n v="2"/>
    <x v="1"/>
    <s v="Very High"/>
    <n v="6281.2528616024974"/>
    <s v="Above salary"/>
    <s v="Medium Risk"/>
  </r>
  <r>
    <n v="18"/>
    <x v="1"/>
    <s v="Non-Travel"/>
    <n v="1431"/>
    <x v="1"/>
    <n v="14"/>
    <n v="3"/>
    <s v="Medical"/>
    <n v="1839"/>
    <n v="2"/>
    <x v="0"/>
    <n v="33"/>
    <n v="3"/>
    <n v="1"/>
    <x v="1"/>
    <n v="3"/>
    <s v="Single"/>
    <x v="1215"/>
    <n v="8018"/>
    <n v="1"/>
    <x v="1"/>
    <n v="16"/>
    <n v="3"/>
    <n v="3"/>
    <n v="0"/>
    <n v="0"/>
    <n v="4"/>
    <n v="1"/>
    <n v="0"/>
    <n v="0"/>
    <n v="0"/>
    <n v="0"/>
    <x v="3"/>
    <s v="Low"/>
    <n v="6281.2528616024974"/>
    <s v="Below salary"/>
    <s v="Low Risk"/>
  </r>
  <r>
    <n v="31"/>
    <x v="0"/>
    <s v="Travel_Rarely"/>
    <n v="359"/>
    <x v="2"/>
    <n v="18"/>
    <n v="5"/>
    <s v="Human Resources"/>
    <n v="1842"/>
    <n v="4"/>
    <x v="1"/>
    <n v="89"/>
    <n v="4"/>
    <n v="1"/>
    <x v="8"/>
    <n v="1"/>
    <s v="Married"/>
    <x v="98"/>
    <n v="21495"/>
    <n v="0"/>
    <x v="1"/>
    <n v="17"/>
    <n v="3"/>
    <n v="3"/>
    <n v="0"/>
    <n v="2"/>
    <n v="4"/>
    <n v="3"/>
    <n v="1"/>
    <n v="0"/>
    <n v="0"/>
    <n v="0"/>
    <x v="2"/>
    <s v="Low"/>
    <n v="6654.5079365079364"/>
    <s v="Below salary"/>
    <s v="Medium Risk"/>
  </r>
  <r>
    <n v="29"/>
    <x v="0"/>
    <s v="Travel_Rarely"/>
    <n v="350"/>
    <x v="2"/>
    <n v="13"/>
    <n v="3"/>
    <s v="Human Resources"/>
    <n v="1844"/>
    <n v="1"/>
    <x v="1"/>
    <n v="56"/>
    <n v="2"/>
    <n v="1"/>
    <x v="8"/>
    <n v="1"/>
    <s v="Divorced"/>
    <x v="1216"/>
    <n v="3157"/>
    <n v="4"/>
    <x v="0"/>
    <n v="15"/>
    <n v="3"/>
    <n v="4"/>
    <n v="3"/>
    <n v="4"/>
    <n v="3"/>
    <n v="3"/>
    <n v="2"/>
    <n v="2"/>
    <n v="2"/>
    <n v="0"/>
    <x v="2"/>
    <s v="Low"/>
    <n v="6654.5079365079364"/>
    <s v="Below salary"/>
    <s v="High Risk"/>
  </r>
  <r>
    <n v="45"/>
    <x v="1"/>
    <s v="Non-Travel"/>
    <n v="589"/>
    <x v="0"/>
    <n v="2"/>
    <n v="4"/>
    <s v="Life Sciences"/>
    <n v="1845"/>
    <n v="3"/>
    <x v="0"/>
    <n v="67"/>
    <n v="3"/>
    <n v="2"/>
    <x v="0"/>
    <n v="3"/>
    <s v="Married"/>
    <x v="1217"/>
    <n v="19665"/>
    <n v="4"/>
    <x v="1"/>
    <n v="22"/>
    <n v="4"/>
    <n v="2"/>
    <n v="2"/>
    <n v="10"/>
    <n v="3"/>
    <n v="4"/>
    <n v="8"/>
    <n v="7"/>
    <n v="5"/>
    <n v="7"/>
    <x v="0"/>
    <s v="Mid"/>
    <n v="6959.17264573991"/>
    <s v="Below salary"/>
    <s v="Low Risk"/>
  </r>
  <r>
    <n v="36"/>
    <x v="1"/>
    <s v="Travel_Rarely"/>
    <n v="430"/>
    <x v="1"/>
    <n v="2"/>
    <n v="4"/>
    <s v="Other"/>
    <n v="1847"/>
    <n v="4"/>
    <x v="0"/>
    <n v="73"/>
    <n v="3"/>
    <n v="2"/>
    <x v="1"/>
    <n v="2"/>
    <s v="Married"/>
    <x v="1218"/>
    <n v="19573"/>
    <n v="4"/>
    <x v="0"/>
    <n v="22"/>
    <n v="4"/>
    <n v="4"/>
    <n v="1"/>
    <n v="15"/>
    <n v="2"/>
    <n v="3"/>
    <n v="1"/>
    <n v="0"/>
    <n v="0"/>
    <n v="0"/>
    <x v="0"/>
    <s v="Mid"/>
    <n v="6281.2528616024974"/>
    <s v="Above salary"/>
    <s v="High Risk"/>
  </r>
  <r>
    <n v="43"/>
    <x v="1"/>
    <s v="Travel_Frequently"/>
    <n v="1422"/>
    <x v="0"/>
    <n v="2"/>
    <n v="4"/>
    <s v="Life Sciences"/>
    <n v="1849"/>
    <n v="1"/>
    <x v="1"/>
    <n v="92"/>
    <n v="3"/>
    <n v="2"/>
    <x v="0"/>
    <n v="4"/>
    <s v="Married"/>
    <x v="1219"/>
    <n v="19246"/>
    <n v="1"/>
    <x v="1"/>
    <n v="20"/>
    <n v="4"/>
    <n v="3"/>
    <n v="1"/>
    <n v="7"/>
    <n v="5"/>
    <n v="3"/>
    <n v="7"/>
    <n v="7"/>
    <n v="7"/>
    <n v="7"/>
    <x v="0"/>
    <s v="Mid"/>
    <n v="6959.17264573991"/>
    <s v="Below salary"/>
    <s v="Low Risk"/>
  </r>
  <r>
    <n v="27"/>
    <x v="1"/>
    <s v="Travel_Frequently"/>
    <n v="1297"/>
    <x v="1"/>
    <n v="5"/>
    <n v="2"/>
    <s v="Life Sciences"/>
    <n v="1850"/>
    <n v="4"/>
    <x v="0"/>
    <n v="53"/>
    <n v="3"/>
    <n v="1"/>
    <x v="2"/>
    <n v="4"/>
    <s v="Single"/>
    <x v="1220"/>
    <n v="19826"/>
    <n v="0"/>
    <x v="0"/>
    <n v="14"/>
    <n v="3"/>
    <n v="3"/>
    <n v="0"/>
    <n v="6"/>
    <n v="3"/>
    <n v="2"/>
    <n v="5"/>
    <n v="4"/>
    <n v="0"/>
    <n v="2"/>
    <x v="2"/>
    <s v="Low"/>
    <n v="6281.2528616024974"/>
    <s v="Below salary"/>
    <s v="Medium Risk"/>
  </r>
  <r>
    <n v="29"/>
    <x v="1"/>
    <s v="Travel_Frequently"/>
    <n v="574"/>
    <x v="1"/>
    <n v="20"/>
    <n v="1"/>
    <s v="Medical"/>
    <n v="1852"/>
    <n v="4"/>
    <x v="1"/>
    <n v="40"/>
    <n v="3"/>
    <n v="1"/>
    <x v="2"/>
    <n v="4"/>
    <s v="Married"/>
    <x v="1221"/>
    <n v="7003"/>
    <n v="1"/>
    <x v="1"/>
    <n v="13"/>
    <n v="3"/>
    <n v="2"/>
    <n v="0"/>
    <n v="11"/>
    <n v="3"/>
    <n v="4"/>
    <n v="11"/>
    <n v="8"/>
    <n v="3"/>
    <n v="10"/>
    <x v="2"/>
    <s v="Mid"/>
    <n v="6281.2528616024974"/>
    <s v="Below salary"/>
    <s v="Low Risk"/>
  </r>
  <r>
    <n v="32"/>
    <x v="1"/>
    <s v="Travel_Frequently"/>
    <n v="1318"/>
    <x v="0"/>
    <n v="10"/>
    <n v="4"/>
    <s v="Marketing"/>
    <n v="1853"/>
    <n v="4"/>
    <x v="1"/>
    <n v="79"/>
    <n v="3"/>
    <n v="2"/>
    <x v="0"/>
    <n v="4"/>
    <s v="Single"/>
    <x v="1222"/>
    <n v="26075"/>
    <n v="8"/>
    <x v="1"/>
    <n v="13"/>
    <n v="3"/>
    <n v="3"/>
    <n v="0"/>
    <n v="4"/>
    <n v="2"/>
    <n v="4"/>
    <n v="0"/>
    <n v="0"/>
    <n v="0"/>
    <n v="0"/>
    <x v="2"/>
    <s v="Mid"/>
    <n v="6959.17264573991"/>
    <s v="Below salary"/>
    <s v="Low Risk"/>
  </r>
  <r>
    <n v="42"/>
    <x v="1"/>
    <s v="Non-Travel"/>
    <n v="355"/>
    <x v="1"/>
    <n v="10"/>
    <n v="4"/>
    <s v="Technical Degree"/>
    <n v="1854"/>
    <n v="3"/>
    <x v="1"/>
    <n v="38"/>
    <n v="3"/>
    <n v="1"/>
    <x v="1"/>
    <n v="3"/>
    <s v="Married"/>
    <x v="808"/>
    <n v="6161"/>
    <n v="3"/>
    <x v="1"/>
    <n v="22"/>
    <n v="4"/>
    <n v="2"/>
    <n v="2"/>
    <n v="10"/>
    <n v="1"/>
    <n v="2"/>
    <n v="6"/>
    <n v="3"/>
    <n v="3"/>
    <n v="3"/>
    <x v="0"/>
    <s v="Low"/>
    <n v="6281.2528616024974"/>
    <s v="Below salary"/>
    <s v="Low Risk"/>
  </r>
  <r>
    <n v="47"/>
    <x v="1"/>
    <s v="Travel_Rarely"/>
    <n v="207"/>
    <x v="1"/>
    <n v="9"/>
    <n v="4"/>
    <s v="Life Sciences"/>
    <n v="1856"/>
    <n v="2"/>
    <x v="0"/>
    <n v="64"/>
    <n v="3"/>
    <n v="1"/>
    <x v="2"/>
    <n v="3"/>
    <s v="Single"/>
    <x v="1223"/>
    <n v="5411"/>
    <n v="4"/>
    <x v="1"/>
    <n v="12"/>
    <n v="3"/>
    <n v="3"/>
    <n v="0"/>
    <n v="7"/>
    <n v="2"/>
    <n v="3"/>
    <n v="2"/>
    <n v="2"/>
    <n v="2"/>
    <n v="0"/>
    <x v="1"/>
    <s v="Low"/>
    <n v="6281.2528616024974"/>
    <s v="Below salary"/>
    <s v="Low Risk"/>
  </r>
  <r>
    <n v="46"/>
    <x v="1"/>
    <s v="Travel_Rarely"/>
    <n v="706"/>
    <x v="1"/>
    <n v="2"/>
    <n v="2"/>
    <s v="Life Sciences"/>
    <n v="1857"/>
    <n v="4"/>
    <x v="1"/>
    <n v="82"/>
    <n v="3"/>
    <n v="3"/>
    <x v="3"/>
    <n v="4"/>
    <s v="Divorced"/>
    <x v="1224"/>
    <n v="19989"/>
    <n v="3"/>
    <x v="1"/>
    <n v="14"/>
    <n v="3"/>
    <n v="3"/>
    <n v="1"/>
    <n v="12"/>
    <n v="4"/>
    <n v="2"/>
    <n v="9"/>
    <n v="8"/>
    <n v="4"/>
    <n v="7"/>
    <x v="1"/>
    <s v="High"/>
    <n v="6281.2528616024974"/>
    <s v="Above salary"/>
    <s v="Low Risk"/>
  </r>
  <r>
    <n v="28"/>
    <x v="1"/>
    <s v="Non-Travel"/>
    <n v="280"/>
    <x v="2"/>
    <n v="1"/>
    <n v="2"/>
    <s v="Life Sciences"/>
    <n v="1858"/>
    <n v="3"/>
    <x v="1"/>
    <n v="43"/>
    <n v="3"/>
    <n v="1"/>
    <x v="8"/>
    <n v="4"/>
    <s v="Divorced"/>
    <x v="1225"/>
    <n v="10494"/>
    <n v="1"/>
    <x v="1"/>
    <n v="15"/>
    <n v="3"/>
    <n v="2"/>
    <n v="1"/>
    <n v="3"/>
    <n v="2"/>
    <n v="3"/>
    <n v="3"/>
    <n v="2"/>
    <n v="2"/>
    <n v="2"/>
    <x v="2"/>
    <s v="Low"/>
    <n v="6654.5079365079364"/>
    <s v="Below salary"/>
    <s v="Low Risk"/>
  </r>
  <r>
    <n v="29"/>
    <x v="1"/>
    <s v="Travel_Rarely"/>
    <n v="726"/>
    <x v="1"/>
    <n v="29"/>
    <n v="1"/>
    <s v="Life Sciences"/>
    <n v="1859"/>
    <n v="4"/>
    <x v="1"/>
    <n v="93"/>
    <n v="1"/>
    <n v="2"/>
    <x v="4"/>
    <n v="3"/>
    <s v="Divorced"/>
    <x v="1226"/>
    <n v="21143"/>
    <n v="8"/>
    <x v="1"/>
    <n v="17"/>
    <n v="3"/>
    <n v="4"/>
    <n v="2"/>
    <n v="11"/>
    <n v="3"/>
    <n v="3"/>
    <n v="7"/>
    <n v="0"/>
    <n v="1"/>
    <n v="6"/>
    <x v="2"/>
    <s v="Mid"/>
    <n v="6281.2528616024974"/>
    <s v="Above salary"/>
    <s v="Low Risk"/>
  </r>
  <r>
    <n v="42"/>
    <x v="1"/>
    <s v="Travel_Rarely"/>
    <n v="1142"/>
    <x v="1"/>
    <n v="8"/>
    <n v="3"/>
    <s v="Life Sciences"/>
    <n v="1860"/>
    <n v="4"/>
    <x v="1"/>
    <n v="81"/>
    <n v="3"/>
    <n v="1"/>
    <x v="2"/>
    <n v="3"/>
    <s v="Single"/>
    <x v="1227"/>
    <n v="13624"/>
    <n v="4"/>
    <x v="1"/>
    <n v="13"/>
    <n v="3"/>
    <n v="4"/>
    <n v="0"/>
    <n v="8"/>
    <n v="3"/>
    <n v="3"/>
    <n v="0"/>
    <n v="0"/>
    <n v="0"/>
    <n v="0"/>
    <x v="0"/>
    <s v="Mid"/>
    <n v="6281.2528616024974"/>
    <s v="Below salary"/>
    <s v="Low Risk"/>
  </r>
  <r>
    <n v="32"/>
    <x v="0"/>
    <s v="Travel_Rarely"/>
    <n v="414"/>
    <x v="0"/>
    <n v="2"/>
    <n v="4"/>
    <s v="Marketing"/>
    <n v="1862"/>
    <n v="3"/>
    <x v="1"/>
    <n v="82"/>
    <n v="2"/>
    <n v="2"/>
    <x v="0"/>
    <n v="2"/>
    <s v="Single"/>
    <x v="1228"/>
    <n v="26186"/>
    <n v="7"/>
    <x v="0"/>
    <n v="12"/>
    <n v="3"/>
    <n v="3"/>
    <n v="0"/>
    <n v="7"/>
    <n v="3"/>
    <n v="2"/>
    <n v="2"/>
    <n v="2"/>
    <n v="2"/>
    <n v="2"/>
    <x v="2"/>
    <s v="High"/>
    <n v="6959.17264573991"/>
    <s v="Above salary"/>
    <s v="High Risk"/>
  </r>
  <r>
    <n v="46"/>
    <x v="1"/>
    <s v="Travel_Rarely"/>
    <n v="1319"/>
    <x v="0"/>
    <n v="3"/>
    <n v="3"/>
    <s v="Technical Degree"/>
    <n v="1863"/>
    <n v="1"/>
    <x v="0"/>
    <n v="45"/>
    <n v="4"/>
    <n v="4"/>
    <x v="0"/>
    <n v="1"/>
    <s v="Divorced"/>
    <x v="1229"/>
    <n v="7739"/>
    <n v="2"/>
    <x v="1"/>
    <n v="12"/>
    <n v="3"/>
    <n v="4"/>
    <n v="1"/>
    <n v="25"/>
    <n v="5"/>
    <n v="3"/>
    <n v="19"/>
    <n v="17"/>
    <n v="2"/>
    <n v="8"/>
    <x v="1"/>
    <s v="Very High"/>
    <n v="6959.17264573991"/>
    <s v="Above salary"/>
    <s v="Medium Risk"/>
  </r>
  <r>
    <n v="27"/>
    <x v="1"/>
    <s v="Travel_Rarely"/>
    <n v="728"/>
    <x v="0"/>
    <n v="23"/>
    <n v="1"/>
    <s v="Medical"/>
    <n v="1864"/>
    <n v="2"/>
    <x v="0"/>
    <n v="36"/>
    <n v="2"/>
    <n v="2"/>
    <x v="6"/>
    <n v="3"/>
    <s v="Married"/>
    <x v="1230"/>
    <n v="7018"/>
    <n v="1"/>
    <x v="1"/>
    <n v="21"/>
    <n v="4"/>
    <n v="4"/>
    <n v="1"/>
    <n v="9"/>
    <n v="5"/>
    <n v="3"/>
    <n v="9"/>
    <n v="8"/>
    <n v="5"/>
    <n v="8"/>
    <x v="2"/>
    <s v="Mid"/>
    <n v="6959.17264573991"/>
    <s v="Below salary"/>
    <s v="Low Risk"/>
  </r>
  <r>
    <n v="29"/>
    <x v="1"/>
    <s v="Travel_Rarely"/>
    <n v="352"/>
    <x v="2"/>
    <n v="6"/>
    <n v="1"/>
    <s v="Medical"/>
    <n v="1865"/>
    <n v="4"/>
    <x v="1"/>
    <n v="87"/>
    <n v="2"/>
    <n v="1"/>
    <x v="8"/>
    <n v="2"/>
    <s v="Married"/>
    <x v="1231"/>
    <n v="15434"/>
    <n v="1"/>
    <x v="1"/>
    <n v="11"/>
    <n v="3"/>
    <n v="4"/>
    <n v="0"/>
    <n v="1"/>
    <n v="3"/>
    <n v="3"/>
    <n v="1"/>
    <n v="0"/>
    <n v="0"/>
    <n v="0"/>
    <x v="2"/>
    <s v="Low"/>
    <n v="6654.5079365079364"/>
    <s v="Below salary"/>
    <s v="Medium Risk"/>
  </r>
  <r>
    <n v="43"/>
    <x v="1"/>
    <s v="Travel_Rarely"/>
    <n v="823"/>
    <x v="1"/>
    <n v="6"/>
    <n v="3"/>
    <s v="Medical"/>
    <n v="1866"/>
    <n v="1"/>
    <x v="0"/>
    <n v="81"/>
    <n v="2"/>
    <n v="5"/>
    <x v="5"/>
    <n v="3"/>
    <s v="Married"/>
    <x v="1232"/>
    <n v="22539"/>
    <n v="7"/>
    <x v="1"/>
    <n v="13"/>
    <n v="3"/>
    <n v="4"/>
    <n v="0"/>
    <n v="21"/>
    <n v="2"/>
    <n v="3"/>
    <n v="16"/>
    <n v="12"/>
    <n v="6"/>
    <n v="14"/>
    <x v="0"/>
    <s v="Very High"/>
    <n v="6281.2528616024974"/>
    <s v="Above salary"/>
    <s v="Low Risk"/>
  </r>
  <r>
    <n v="48"/>
    <x v="1"/>
    <s v="Travel_Rarely"/>
    <n v="1224"/>
    <x v="1"/>
    <n v="10"/>
    <n v="3"/>
    <s v="Life Sciences"/>
    <n v="1867"/>
    <n v="4"/>
    <x v="1"/>
    <n v="91"/>
    <n v="2"/>
    <n v="5"/>
    <x v="7"/>
    <n v="2"/>
    <s v="Married"/>
    <x v="1233"/>
    <n v="13583"/>
    <n v="4"/>
    <x v="1"/>
    <n v="12"/>
    <n v="3"/>
    <n v="4"/>
    <n v="0"/>
    <n v="29"/>
    <n v="3"/>
    <n v="3"/>
    <n v="22"/>
    <n v="10"/>
    <n v="12"/>
    <n v="9"/>
    <x v="1"/>
    <s v="Very High"/>
    <n v="6281.2528616024974"/>
    <s v="Above salary"/>
    <s v="Medium Risk"/>
  </r>
  <r>
    <n v="29"/>
    <x v="0"/>
    <s v="Travel_Frequently"/>
    <n v="459"/>
    <x v="1"/>
    <n v="24"/>
    <n v="2"/>
    <s v="Life Sciences"/>
    <n v="1868"/>
    <n v="4"/>
    <x v="1"/>
    <n v="73"/>
    <n v="2"/>
    <n v="1"/>
    <x v="1"/>
    <n v="4"/>
    <s v="Single"/>
    <x v="1234"/>
    <n v="14753"/>
    <n v="1"/>
    <x v="0"/>
    <n v="24"/>
    <n v="4"/>
    <n v="2"/>
    <n v="0"/>
    <n v="1"/>
    <n v="3"/>
    <n v="2"/>
    <n v="1"/>
    <n v="0"/>
    <n v="1"/>
    <n v="0"/>
    <x v="2"/>
    <s v="Low"/>
    <n v="6281.2528616024974"/>
    <s v="Below salary"/>
    <s v="Medium Risk"/>
  </r>
  <r>
    <n v="46"/>
    <x v="0"/>
    <s v="Travel_Rarely"/>
    <n v="1254"/>
    <x v="0"/>
    <n v="10"/>
    <n v="3"/>
    <s v="Life Sciences"/>
    <n v="1869"/>
    <n v="3"/>
    <x v="0"/>
    <n v="64"/>
    <n v="3"/>
    <n v="3"/>
    <x v="0"/>
    <n v="2"/>
    <s v="Married"/>
    <x v="1235"/>
    <n v="14011"/>
    <n v="5"/>
    <x v="1"/>
    <n v="21"/>
    <n v="4"/>
    <n v="3"/>
    <n v="3"/>
    <n v="14"/>
    <n v="2"/>
    <n v="3"/>
    <n v="8"/>
    <n v="7"/>
    <n v="0"/>
    <n v="7"/>
    <x v="1"/>
    <s v="High"/>
    <n v="6959.17264573991"/>
    <s v="Above salary"/>
    <s v="Medium Risk"/>
  </r>
  <r>
    <n v="27"/>
    <x v="1"/>
    <s v="Travel_Frequently"/>
    <n v="1131"/>
    <x v="1"/>
    <n v="15"/>
    <n v="3"/>
    <s v="Life Sciences"/>
    <n v="1870"/>
    <n v="4"/>
    <x v="0"/>
    <n v="77"/>
    <n v="2"/>
    <n v="1"/>
    <x v="1"/>
    <n v="1"/>
    <s v="Married"/>
    <x v="1236"/>
    <n v="23844"/>
    <n v="0"/>
    <x v="1"/>
    <n v="19"/>
    <n v="3"/>
    <n v="4"/>
    <n v="1"/>
    <n v="8"/>
    <n v="2"/>
    <n v="2"/>
    <n v="7"/>
    <n v="6"/>
    <n v="7"/>
    <n v="3"/>
    <x v="2"/>
    <s v="Mid"/>
    <n v="6281.2528616024974"/>
    <s v="Below salary"/>
    <s v="Medium Risk"/>
  </r>
  <r>
    <n v="39"/>
    <x v="1"/>
    <s v="Travel_Rarely"/>
    <n v="835"/>
    <x v="1"/>
    <n v="19"/>
    <n v="4"/>
    <s v="Other"/>
    <n v="1871"/>
    <n v="4"/>
    <x v="1"/>
    <n v="41"/>
    <n v="3"/>
    <n v="2"/>
    <x v="1"/>
    <n v="4"/>
    <s v="Divorced"/>
    <x v="1237"/>
    <n v="5141"/>
    <n v="8"/>
    <x v="1"/>
    <n v="14"/>
    <n v="3"/>
    <n v="2"/>
    <n v="3"/>
    <n v="7"/>
    <n v="2"/>
    <n v="3"/>
    <n v="2"/>
    <n v="2"/>
    <n v="2"/>
    <n v="2"/>
    <x v="0"/>
    <s v="Mid"/>
    <n v="6281.2528616024974"/>
    <s v="Below salary"/>
    <s v="Low Risk"/>
  </r>
  <r>
    <n v="55"/>
    <x v="1"/>
    <s v="Travel_Rarely"/>
    <n v="836"/>
    <x v="1"/>
    <n v="2"/>
    <n v="4"/>
    <s v="Technical Degree"/>
    <n v="1873"/>
    <n v="2"/>
    <x v="1"/>
    <n v="98"/>
    <n v="2"/>
    <n v="1"/>
    <x v="1"/>
    <n v="4"/>
    <s v="Married"/>
    <x v="1238"/>
    <n v="7975"/>
    <n v="8"/>
    <x v="1"/>
    <n v="20"/>
    <n v="4"/>
    <n v="2"/>
    <n v="1"/>
    <n v="19"/>
    <n v="2"/>
    <n v="4"/>
    <n v="5"/>
    <n v="2"/>
    <n v="0"/>
    <n v="4"/>
    <x v="1"/>
    <s v="Low"/>
    <n v="6281.2528616024974"/>
    <s v="Below salary"/>
    <s v="Low Risk"/>
  </r>
  <r>
    <n v="28"/>
    <x v="1"/>
    <s v="Travel_Rarely"/>
    <n v="1172"/>
    <x v="0"/>
    <n v="3"/>
    <n v="3"/>
    <s v="Medical"/>
    <n v="1875"/>
    <n v="2"/>
    <x v="0"/>
    <n v="78"/>
    <n v="3"/>
    <n v="1"/>
    <x v="6"/>
    <n v="2"/>
    <s v="Married"/>
    <x v="1239"/>
    <n v="3692"/>
    <n v="1"/>
    <x v="1"/>
    <n v="19"/>
    <n v="3"/>
    <n v="4"/>
    <n v="1"/>
    <n v="1"/>
    <n v="3"/>
    <n v="3"/>
    <n v="1"/>
    <n v="0"/>
    <n v="0"/>
    <n v="0"/>
    <x v="2"/>
    <s v="Low"/>
    <n v="6959.17264573991"/>
    <s v="Below salary"/>
    <s v="Medium Risk"/>
  </r>
  <r>
    <n v="30"/>
    <x v="0"/>
    <s v="Travel_Rarely"/>
    <n v="945"/>
    <x v="0"/>
    <n v="9"/>
    <n v="3"/>
    <s v="Medical"/>
    <n v="1876"/>
    <n v="2"/>
    <x v="1"/>
    <n v="89"/>
    <n v="3"/>
    <n v="1"/>
    <x v="6"/>
    <n v="4"/>
    <s v="Single"/>
    <x v="1240"/>
    <n v="16019"/>
    <n v="1"/>
    <x v="1"/>
    <n v="13"/>
    <n v="3"/>
    <n v="3"/>
    <n v="0"/>
    <n v="1"/>
    <n v="3"/>
    <n v="2"/>
    <n v="1"/>
    <n v="0"/>
    <n v="0"/>
    <n v="0"/>
    <x v="2"/>
    <s v="Low"/>
    <n v="6959.17264573991"/>
    <s v="Below salary"/>
    <s v="Low Risk"/>
  </r>
  <r>
    <n v="22"/>
    <x v="0"/>
    <s v="Travel_Rarely"/>
    <n v="391"/>
    <x v="1"/>
    <n v="7"/>
    <n v="1"/>
    <s v="Life Sciences"/>
    <n v="1878"/>
    <n v="4"/>
    <x v="1"/>
    <n v="75"/>
    <n v="3"/>
    <n v="1"/>
    <x v="1"/>
    <n v="2"/>
    <s v="Single"/>
    <x v="1241"/>
    <n v="26092"/>
    <n v="1"/>
    <x v="0"/>
    <n v="23"/>
    <n v="4"/>
    <n v="1"/>
    <n v="0"/>
    <n v="1"/>
    <n v="2"/>
    <n v="3"/>
    <n v="1"/>
    <n v="0"/>
    <n v="0"/>
    <n v="0"/>
    <x v="3"/>
    <s v="Low"/>
    <n v="6281.2528616024974"/>
    <s v="Below salary"/>
    <s v="High Risk"/>
  </r>
  <r>
    <n v="36"/>
    <x v="1"/>
    <s v="Travel_Rarely"/>
    <n v="1266"/>
    <x v="0"/>
    <n v="10"/>
    <n v="4"/>
    <s v="Technical Degree"/>
    <n v="1880"/>
    <n v="2"/>
    <x v="0"/>
    <n v="63"/>
    <n v="2"/>
    <n v="2"/>
    <x v="0"/>
    <n v="3"/>
    <s v="Married"/>
    <x v="1242"/>
    <n v="6060"/>
    <n v="1"/>
    <x v="0"/>
    <n v="13"/>
    <n v="3"/>
    <n v="1"/>
    <n v="1"/>
    <n v="10"/>
    <n v="4"/>
    <n v="3"/>
    <n v="10"/>
    <n v="9"/>
    <n v="1"/>
    <n v="7"/>
    <x v="0"/>
    <s v="Mid"/>
    <n v="6959.17264573991"/>
    <s v="Below salary"/>
    <s v="Medium Risk"/>
  </r>
  <r>
    <n v="31"/>
    <x v="1"/>
    <s v="Travel_Rarely"/>
    <n v="311"/>
    <x v="1"/>
    <n v="20"/>
    <n v="3"/>
    <s v="Life Sciences"/>
    <n v="1881"/>
    <n v="2"/>
    <x v="1"/>
    <n v="89"/>
    <n v="3"/>
    <n v="2"/>
    <x v="2"/>
    <n v="3"/>
    <s v="Divorced"/>
    <x v="378"/>
    <n v="18624"/>
    <n v="1"/>
    <x v="1"/>
    <n v="11"/>
    <n v="3"/>
    <n v="1"/>
    <n v="1"/>
    <n v="10"/>
    <n v="2"/>
    <n v="3"/>
    <n v="10"/>
    <n v="8"/>
    <n v="0"/>
    <n v="2"/>
    <x v="2"/>
    <s v="Mid"/>
    <n v="6281.2528616024974"/>
    <s v="Below salary"/>
    <s v="Low Risk"/>
  </r>
  <r>
    <n v="34"/>
    <x v="1"/>
    <s v="Travel_Rarely"/>
    <n v="1480"/>
    <x v="0"/>
    <n v="4"/>
    <n v="3"/>
    <s v="Life Sciences"/>
    <n v="1882"/>
    <n v="3"/>
    <x v="1"/>
    <n v="64"/>
    <n v="3"/>
    <n v="3"/>
    <x v="0"/>
    <n v="4"/>
    <s v="Married"/>
    <x v="1243"/>
    <n v="24444"/>
    <n v="2"/>
    <x v="0"/>
    <n v="13"/>
    <n v="3"/>
    <n v="4"/>
    <n v="3"/>
    <n v="9"/>
    <n v="3"/>
    <n v="3"/>
    <n v="5"/>
    <n v="3"/>
    <n v="1"/>
    <n v="0"/>
    <x v="2"/>
    <s v="High"/>
    <n v="6959.17264573991"/>
    <s v="Above salary"/>
    <s v="Medium Risk"/>
  </r>
  <r>
    <n v="29"/>
    <x v="1"/>
    <s v="Travel_Rarely"/>
    <n v="592"/>
    <x v="1"/>
    <n v="7"/>
    <n v="3"/>
    <s v="Life Sciences"/>
    <n v="1883"/>
    <n v="4"/>
    <x v="1"/>
    <n v="59"/>
    <n v="3"/>
    <n v="1"/>
    <x v="2"/>
    <n v="1"/>
    <s v="Single"/>
    <x v="1244"/>
    <n v="19384"/>
    <n v="3"/>
    <x v="1"/>
    <n v="14"/>
    <n v="3"/>
    <n v="2"/>
    <n v="0"/>
    <n v="11"/>
    <n v="2"/>
    <n v="3"/>
    <n v="3"/>
    <n v="2"/>
    <n v="1"/>
    <n v="2"/>
    <x v="2"/>
    <s v="Low"/>
    <n v="6281.2528616024974"/>
    <s v="Below salary"/>
    <s v="Medium Risk"/>
  </r>
  <r>
    <n v="37"/>
    <x v="1"/>
    <s v="Travel_Rarely"/>
    <n v="783"/>
    <x v="1"/>
    <n v="7"/>
    <n v="4"/>
    <s v="Medical"/>
    <n v="1885"/>
    <n v="4"/>
    <x v="1"/>
    <n v="78"/>
    <n v="3"/>
    <n v="2"/>
    <x v="1"/>
    <n v="1"/>
    <s v="Married"/>
    <x v="948"/>
    <n v="13588"/>
    <n v="5"/>
    <x v="0"/>
    <n v="22"/>
    <n v="4"/>
    <n v="3"/>
    <n v="1"/>
    <n v="16"/>
    <n v="2"/>
    <n v="3"/>
    <n v="5"/>
    <n v="3"/>
    <n v="0"/>
    <n v="4"/>
    <x v="0"/>
    <s v="Mid"/>
    <n v="6281.2528616024974"/>
    <s v="Below salary"/>
    <s v="High Risk"/>
  </r>
  <r>
    <n v="35"/>
    <x v="1"/>
    <s v="Travel_Rarely"/>
    <n v="219"/>
    <x v="1"/>
    <n v="16"/>
    <n v="2"/>
    <s v="Other"/>
    <n v="1886"/>
    <n v="4"/>
    <x v="0"/>
    <n v="44"/>
    <n v="2"/>
    <n v="2"/>
    <x v="3"/>
    <n v="2"/>
    <s v="Married"/>
    <x v="1245"/>
    <n v="25388"/>
    <n v="0"/>
    <x v="0"/>
    <n v="11"/>
    <n v="3"/>
    <n v="4"/>
    <n v="0"/>
    <n v="4"/>
    <n v="2"/>
    <n v="3"/>
    <n v="3"/>
    <n v="2"/>
    <n v="0"/>
    <n v="2"/>
    <x v="2"/>
    <s v="Mid"/>
    <n v="6281.2528616024974"/>
    <s v="Below salary"/>
    <s v="High Risk"/>
  </r>
  <r>
    <n v="45"/>
    <x v="1"/>
    <s v="Travel_Rarely"/>
    <n v="556"/>
    <x v="1"/>
    <n v="25"/>
    <n v="2"/>
    <s v="Life Sciences"/>
    <n v="1888"/>
    <n v="2"/>
    <x v="0"/>
    <n v="93"/>
    <n v="2"/>
    <n v="2"/>
    <x v="3"/>
    <n v="4"/>
    <s v="Married"/>
    <x v="1246"/>
    <n v="23888"/>
    <n v="0"/>
    <x v="1"/>
    <n v="13"/>
    <n v="3"/>
    <n v="4"/>
    <n v="2"/>
    <n v="10"/>
    <n v="2"/>
    <n v="2"/>
    <n v="9"/>
    <n v="8"/>
    <n v="3"/>
    <n v="8"/>
    <x v="0"/>
    <s v="Mid"/>
    <n v="6281.2528616024974"/>
    <s v="Below salary"/>
    <s v="Low Risk"/>
  </r>
  <r>
    <n v="36"/>
    <x v="1"/>
    <s v="Travel_Frequently"/>
    <n v="1213"/>
    <x v="2"/>
    <n v="2"/>
    <n v="1"/>
    <s v="Human Resources"/>
    <n v="1890"/>
    <n v="2"/>
    <x v="1"/>
    <n v="94"/>
    <n v="2"/>
    <n v="2"/>
    <x v="8"/>
    <n v="4"/>
    <s v="Single"/>
    <x v="1247"/>
    <n v="4223"/>
    <n v="1"/>
    <x v="1"/>
    <n v="21"/>
    <n v="4"/>
    <n v="4"/>
    <n v="0"/>
    <n v="10"/>
    <n v="2"/>
    <n v="2"/>
    <n v="10"/>
    <n v="1"/>
    <n v="0"/>
    <n v="8"/>
    <x v="0"/>
    <s v="Mid"/>
    <n v="6654.5079365079364"/>
    <s v="Below salary"/>
    <s v="Low Risk"/>
  </r>
  <r>
    <n v="40"/>
    <x v="1"/>
    <s v="Travel_Rarely"/>
    <n v="1137"/>
    <x v="1"/>
    <n v="1"/>
    <n v="4"/>
    <s v="Life Sciences"/>
    <n v="1892"/>
    <n v="1"/>
    <x v="1"/>
    <n v="98"/>
    <n v="3"/>
    <n v="4"/>
    <x v="5"/>
    <n v="1"/>
    <s v="Divorced"/>
    <x v="1248"/>
    <n v="18991"/>
    <n v="2"/>
    <x v="1"/>
    <n v="11"/>
    <n v="3"/>
    <n v="1"/>
    <n v="1"/>
    <n v="22"/>
    <n v="3"/>
    <n v="3"/>
    <n v="19"/>
    <n v="7"/>
    <n v="11"/>
    <n v="16"/>
    <x v="0"/>
    <s v="Very High"/>
    <n v="6281.2528616024974"/>
    <s v="Above salary"/>
    <s v="Medium Risk"/>
  </r>
  <r>
    <n v="26"/>
    <x v="1"/>
    <s v="Travel_Rarely"/>
    <n v="482"/>
    <x v="1"/>
    <n v="1"/>
    <n v="2"/>
    <s v="Life Sciences"/>
    <n v="1893"/>
    <n v="2"/>
    <x v="0"/>
    <n v="90"/>
    <n v="2"/>
    <n v="1"/>
    <x v="1"/>
    <n v="3"/>
    <s v="Married"/>
    <x v="1249"/>
    <n v="14908"/>
    <n v="1"/>
    <x v="0"/>
    <n v="13"/>
    <n v="3"/>
    <n v="3"/>
    <n v="1"/>
    <n v="1"/>
    <n v="3"/>
    <n v="2"/>
    <n v="1"/>
    <n v="0"/>
    <n v="1"/>
    <n v="0"/>
    <x v="2"/>
    <s v="Low"/>
    <n v="6281.2528616024974"/>
    <s v="Below salary"/>
    <s v="Medium Risk"/>
  </r>
  <r>
    <n v="27"/>
    <x v="1"/>
    <s v="Travel_Rarely"/>
    <n v="511"/>
    <x v="0"/>
    <n v="2"/>
    <n v="2"/>
    <s v="Medical"/>
    <n v="1898"/>
    <n v="1"/>
    <x v="0"/>
    <n v="89"/>
    <n v="4"/>
    <n v="2"/>
    <x v="0"/>
    <n v="3"/>
    <s v="Single"/>
    <x v="559"/>
    <n v="26997"/>
    <n v="0"/>
    <x v="1"/>
    <n v="14"/>
    <n v="3"/>
    <n v="2"/>
    <n v="0"/>
    <n v="9"/>
    <n v="5"/>
    <n v="2"/>
    <n v="8"/>
    <n v="7"/>
    <n v="0"/>
    <n v="7"/>
    <x v="2"/>
    <s v="Mid"/>
    <n v="6959.17264573991"/>
    <s v="Below salary"/>
    <s v="Low Risk"/>
  </r>
  <r>
    <n v="48"/>
    <x v="1"/>
    <s v="Travel_Frequently"/>
    <n v="117"/>
    <x v="1"/>
    <n v="22"/>
    <n v="3"/>
    <s v="Medical"/>
    <n v="1900"/>
    <n v="4"/>
    <x v="0"/>
    <n v="58"/>
    <n v="3"/>
    <n v="4"/>
    <x v="5"/>
    <n v="4"/>
    <s v="Divorced"/>
    <x v="1250"/>
    <n v="2437"/>
    <n v="3"/>
    <x v="1"/>
    <n v="11"/>
    <n v="3"/>
    <n v="2"/>
    <n v="1"/>
    <n v="24"/>
    <n v="3"/>
    <n v="3"/>
    <n v="22"/>
    <n v="17"/>
    <n v="4"/>
    <n v="7"/>
    <x v="1"/>
    <s v="Very High"/>
    <n v="6281.2528616024974"/>
    <s v="Above salary"/>
    <s v="Low Risk"/>
  </r>
  <r>
    <n v="44"/>
    <x v="1"/>
    <s v="Travel_Rarely"/>
    <n v="170"/>
    <x v="1"/>
    <n v="1"/>
    <n v="4"/>
    <s v="Life Sciences"/>
    <n v="1903"/>
    <n v="2"/>
    <x v="1"/>
    <n v="78"/>
    <n v="4"/>
    <n v="2"/>
    <x v="4"/>
    <n v="1"/>
    <s v="Married"/>
    <x v="1251"/>
    <n v="9364"/>
    <n v="2"/>
    <x v="1"/>
    <n v="15"/>
    <n v="3"/>
    <n v="4"/>
    <n v="1"/>
    <n v="10"/>
    <n v="5"/>
    <n v="3"/>
    <n v="2"/>
    <n v="0"/>
    <n v="2"/>
    <n v="2"/>
    <x v="0"/>
    <s v="Mid"/>
    <n v="6281.2528616024974"/>
    <s v="Below salary"/>
    <s v="Medium Risk"/>
  </r>
  <r>
    <n v="34"/>
    <x v="0"/>
    <s v="Non-Travel"/>
    <n v="967"/>
    <x v="1"/>
    <n v="16"/>
    <n v="4"/>
    <s v="Technical Degree"/>
    <n v="1905"/>
    <n v="4"/>
    <x v="1"/>
    <n v="85"/>
    <n v="1"/>
    <n v="1"/>
    <x v="1"/>
    <n v="1"/>
    <s v="Married"/>
    <x v="1252"/>
    <n v="14460"/>
    <n v="1"/>
    <x v="0"/>
    <n v="23"/>
    <n v="4"/>
    <n v="2"/>
    <n v="1"/>
    <n v="5"/>
    <n v="2"/>
    <n v="3"/>
    <n v="5"/>
    <n v="2"/>
    <n v="3"/>
    <n v="0"/>
    <x v="2"/>
    <s v="Low"/>
    <n v="6281.2528616024974"/>
    <s v="Below salary"/>
    <s v="High Risk"/>
  </r>
  <r>
    <n v="56"/>
    <x v="0"/>
    <s v="Travel_Rarely"/>
    <n v="1162"/>
    <x v="1"/>
    <n v="24"/>
    <n v="2"/>
    <s v="Life Sciences"/>
    <n v="1907"/>
    <n v="1"/>
    <x v="1"/>
    <n v="97"/>
    <n v="3"/>
    <n v="1"/>
    <x v="2"/>
    <n v="4"/>
    <s v="Single"/>
    <x v="1105"/>
    <n v="10261"/>
    <n v="1"/>
    <x v="1"/>
    <n v="16"/>
    <n v="3"/>
    <n v="4"/>
    <n v="0"/>
    <n v="5"/>
    <n v="3"/>
    <n v="3"/>
    <n v="4"/>
    <n v="2"/>
    <n v="1"/>
    <n v="0"/>
    <x v="1"/>
    <s v="Low"/>
    <n v="6281.2528616024974"/>
    <s v="Below salary"/>
    <s v="Low Risk"/>
  </r>
  <r>
    <n v="36"/>
    <x v="1"/>
    <s v="Travel_Rarely"/>
    <n v="335"/>
    <x v="0"/>
    <n v="17"/>
    <n v="2"/>
    <s v="Marketing"/>
    <n v="1908"/>
    <n v="3"/>
    <x v="1"/>
    <n v="33"/>
    <n v="2"/>
    <n v="2"/>
    <x v="0"/>
    <n v="2"/>
    <s v="Married"/>
    <x v="1253"/>
    <n v="16822"/>
    <n v="2"/>
    <x v="1"/>
    <n v="16"/>
    <n v="3"/>
    <n v="3"/>
    <n v="2"/>
    <n v="12"/>
    <n v="1"/>
    <n v="1"/>
    <n v="4"/>
    <n v="2"/>
    <n v="1"/>
    <n v="3"/>
    <x v="0"/>
    <s v="Mid"/>
    <n v="6959.17264573991"/>
    <s v="Below salary"/>
    <s v="Medium Risk"/>
  </r>
  <r>
    <n v="41"/>
    <x v="1"/>
    <s v="Travel_Rarely"/>
    <n v="337"/>
    <x v="0"/>
    <n v="8"/>
    <n v="3"/>
    <s v="Marketing"/>
    <n v="1909"/>
    <n v="3"/>
    <x v="0"/>
    <n v="54"/>
    <n v="3"/>
    <n v="2"/>
    <x v="0"/>
    <n v="2"/>
    <s v="Married"/>
    <x v="1254"/>
    <n v="26841"/>
    <n v="5"/>
    <x v="1"/>
    <n v="21"/>
    <n v="4"/>
    <n v="3"/>
    <n v="1"/>
    <n v="14"/>
    <n v="3"/>
    <n v="3"/>
    <n v="5"/>
    <n v="4"/>
    <n v="1"/>
    <n v="4"/>
    <x v="0"/>
    <s v="Mid"/>
    <n v="6959.17264573991"/>
    <s v="Below salary"/>
    <s v="Medium Risk"/>
  </r>
  <r>
    <n v="42"/>
    <x v="1"/>
    <s v="Travel_Rarely"/>
    <n v="1396"/>
    <x v="1"/>
    <n v="6"/>
    <n v="3"/>
    <s v="Medical"/>
    <n v="1911"/>
    <n v="3"/>
    <x v="1"/>
    <n v="83"/>
    <n v="3"/>
    <n v="3"/>
    <x v="7"/>
    <n v="1"/>
    <s v="Married"/>
    <x v="1255"/>
    <n v="14842"/>
    <n v="9"/>
    <x v="1"/>
    <n v="13"/>
    <n v="3"/>
    <n v="2"/>
    <n v="1"/>
    <n v="18"/>
    <n v="3"/>
    <n v="4"/>
    <n v="13"/>
    <n v="7"/>
    <n v="5"/>
    <n v="7"/>
    <x v="0"/>
    <s v="Very High"/>
    <n v="6281.2528616024974"/>
    <s v="Above salary"/>
    <s v="Medium Risk"/>
  </r>
  <r>
    <n v="31"/>
    <x v="1"/>
    <s v="Travel_Rarely"/>
    <n v="1079"/>
    <x v="0"/>
    <n v="10"/>
    <n v="2"/>
    <s v="Medical"/>
    <n v="1912"/>
    <n v="3"/>
    <x v="0"/>
    <n v="86"/>
    <n v="3"/>
    <n v="2"/>
    <x v="0"/>
    <n v="4"/>
    <s v="Divorced"/>
    <x v="1256"/>
    <n v="20115"/>
    <n v="2"/>
    <x v="0"/>
    <n v="11"/>
    <n v="3"/>
    <n v="4"/>
    <n v="1"/>
    <n v="8"/>
    <n v="2"/>
    <n v="3"/>
    <n v="5"/>
    <n v="2"/>
    <n v="1"/>
    <n v="4"/>
    <x v="2"/>
    <s v="Mid"/>
    <n v="6959.17264573991"/>
    <s v="Below salary"/>
    <s v="Medium Risk"/>
  </r>
  <r>
    <n v="34"/>
    <x v="1"/>
    <s v="Travel_Rarely"/>
    <n v="735"/>
    <x v="0"/>
    <n v="3"/>
    <n v="1"/>
    <s v="Medical"/>
    <n v="1915"/>
    <n v="4"/>
    <x v="0"/>
    <n v="75"/>
    <n v="2"/>
    <n v="2"/>
    <x v="0"/>
    <n v="4"/>
    <s v="Married"/>
    <x v="1257"/>
    <n v="16495"/>
    <n v="3"/>
    <x v="0"/>
    <n v="12"/>
    <n v="3"/>
    <n v="3"/>
    <n v="0"/>
    <n v="9"/>
    <n v="3"/>
    <n v="2"/>
    <n v="4"/>
    <n v="2"/>
    <n v="0"/>
    <n v="1"/>
    <x v="2"/>
    <s v="High"/>
    <n v="6959.17264573991"/>
    <s v="Above salary"/>
    <s v="Medium Risk"/>
  </r>
  <r>
    <n v="31"/>
    <x v="1"/>
    <s v="Travel_Rarely"/>
    <n v="471"/>
    <x v="1"/>
    <n v="4"/>
    <n v="3"/>
    <s v="Medical"/>
    <n v="1916"/>
    <n v="1"/>
    <x v="0"/>
    <n v="62"/>
    <n v="4"/>
    <n v="1"/>
    <x v="2"/>
    <n v="3"/>
    <s v="Divorced"/>
    <x v="1258"/>
    <n v="16031"/>
    <n v="8"/>
    <x v="1"/>
    <n v="12"/>
    <n v="3"/>
    <n v="2"/>
    <n v="1"/>
    <n v="4"/>
    <n v="0"/>
    <n v="2"/>
    <n v="2"/>
    <n v="2"/>
    <n v="2"/>
    <n v="2"/>
    <x v="2"/>
    <s v="Mid"/>
    <n v="6281.2528616024974"/>
    <s v="Below salary"/>
    <s v="Low Risk"/>
  </r>
  <r>
    <n v="26"/>
    <x v="1"/>
    <s v="Travel_Frequently"/>
    <n v="1096"/>
    <x v="1"/>
    <n v="6"/>
    <n v="3"/>
    <s v="Other"/>
    <n v="1918"/>
    <n v="3"/>
    <x v="1"/>
    <n v="61"/>
    <n v="4"/>
    <n v="1"/>
    <x v="2"/>
    <n v="4"/>
    <s v="Married"/>
    <x v="1259"/>
    <n v="7102"/>
    <n v="0"/>
    <x v="1"/>
    <n v="18"/>
    <n v="3"/>
    <n v="1"/>
    <n v="1"/>
    <n v="8"/>
    <n v="3"/>
    <n v="3"/>
    <n v="7"/>
    <n v="7"/>
    <n v="7"/>
    <n v="7"/>
    <x v="2"/>
    <s v="Low"/>
    <n v="6281.2528616024974"/>
    <s v="Below salary"/>
    <s v="Low Risk"/>
  </r>
  <r>
    <n v="45"/>
    <x v="1"/>
    <s v="Travel_Frequently"/>
    <n v="1297"/>
    <x v="1"/>
    <n v="1"/>
    <n v="4"/>
    <s v="Medical"/>
    <n v="1922"/>
    <n v="2"/>
    <x v="1"/>
    <n v="44"/>
    <n v="3"/>
    <n v="2"/>
    <x v="4"/>
    <n v="3"/>
    <s v="Single"/>
    <x v="1260"/>
    <n v="14511"/>
    <n v="4"/>
    <x v="1"/>
    <n v="12"/>
    <n v="3"/>
    <n v="3"/>
    <n v="0"/>
    <n v="12"/>
    <n v="3"/>
    <n v="3"/>
    <n v="4"/>
    <n v="2"/>
    <n v="0"/>
    <n v="3"/>
    <x v="0"/>
    <s v="Mid"/>
    <n v="6281.2528616024974"/>
    <s v="Below salary"/>
    <s v="Low Risk"/>
  </r>
  <r>
    <n v="33"/>
    <x v="1"/>
    <s v="Travel_Rarely"/>
    <n v="217"/>
    <x v="0"/>
    <n v="10"/>
    <n v="4"/>
    <s v="Marketing"/>
    <n v="1924"/>
    <n v="2"/>
    <x v="1"/>
    <n v="43"/>
    <n v="3"/>
    <n v="2"/>
    <x v="0"/>
    <n v="3"/>
    <s v="Single"/>
    <x v="1261"/>
    <n v="10410"/>
    <n v="1"/>
    <x v="1"/>
    <n v="14"/>
    <n v="3"/>
    <n v="2"/>
    <n v="0"/>
    <n v="10"/>
    <n v="2"/>
    <n v="2"/>
    <n v="10"/>
    <n v="4"/>
    <n v="0"/>
    <n v="9"/>
    <x v="2"/>
    <s v="Mid"/>
    <n v="6959.17264573991"/>
    <s v="Below salary"/>
    <s v="Low Risk"/>
  </r>
  <r>
    <n v="28"/>
    <x v="1"/>
    <s v="Travel_Frequently"/>
    <n v="783"/>
    <x v="0"/>
    <n v="1"/>
    <n v="2"/>
    <s v="Life Sciences"/>
    <n v="1927"/>
    <n v="3"/>
    <x v="1"/>
    <n v="42"/>
    <n v="2"/>
    <n v="2"/>
    <x v="0"/>
    <n v="4"/>
    <s v="Married"/>
    <x v="1262"/>
    <n v="19255"/>
    <n v="1"/>
    <x v="0"/>
    <n v="12"/>
    <n v="3"/>
    <n v="3"/>
    <n v="1"/>
    <n v="7"/>
    <n v="2"/>
    <n v="3"/>
    <n v="7"/>
    <n v="7"/>
    <n v="0"/>
    <n v="7"/>
    <x v="2"/>
    <s v="Mid"/>
    <n v="6959.17264573991"/>
    <s v="Below salary"/>
    <s v="Medium Risk"/>
  </r>
  <r>
    <n v="29"/>
    <x v="0"/>
    <s v="Travel_Frequently"/>
    <n v="746"/>
    <x v="0"/>
    <n v="24"/>
    <n v="3"/>
    <s v="Technical Degree"/>
    <n v="1928"/>
    <n v="3"/>
    <x v="1"/>
    <n v="45"/>
    <n v="4"/>
    <n v="1"/>
    <x v="6"/>
    <n v="1"/>
    <s v="Single"/>
    <x v="1263"/>
    <n v="10642"/>
    <n v="1"/>
    <x v="1"/>
    <n v="17"/>
    <n v="3"/>
    <n v="4"/>
    <n v="0"/>
    <n v="1"/>
    <n v="3"/>
    <n v="3"/>
    <n v="1"/>
    <n v="0"/>
    <n v="0"/>
    <n v="0"/>
    <x v="2"/>
    <s v="Low"/>
    <n v="6959.17264573991"/>
    <s v="Below salary"/>
    <s v="Medium Risk"/>
  </r>
  <r>
    <n v="39"/>
    <x v="1"/>
    <s v="Non-Travel"/>
    <n v="1251"/>
    <x v="0"/>
    <n v="21"/>
    <n v="4"/>
    <s v="Life Sciences"/>
    <n v="1929"/>
    <n v="1"/>
    <x v="0"/>
    <n v="32"/>
    <n v="1"/>
    <n v="2"/>
    <x v="0"/>
    <n v="3"/>
    <s v="Married"/>
    <x v="1264"/>
    <n v="3987"/>
    <n v="6"/>
    <x v="1"/>
    <n v="19"/>
    <n v="3"/>
    <n v="3"/>
    <n v="1"/>
    <n v="10"/>
    <n v="1"/>
    <n v="3"/>
    <n v="3"/>
    <n v="2"/>
    <n v="1"/>
    <n v="2"/>
    <x v="0"/>
    <s v="Mid"/>
    <n v="6959.17264573991"/>
    <s v="Below salary"/>
    <s v="Low Risk"/>
  </r>
  <r>
    <n v="27"/>
    <x v="1"/>
    <s v="Travel_Rarely"/>
    <n v="1354"/>
    <x v="1"/>
    <n v="2"/>
    <n v="4"/>
    <s v="Technical Degree"/>
    <n v="1931"/>
    <n v="2"/>
    <x v="1"/>
    <n v="41"/>
    <n v="3"/>
    <n v="1"/>
    <x v="1"/>
    <n v="2"/>
    <s v="Married"/>
    <x v="1265"/>
    <n v="6073"/>
    <n v="1"/>
    <x v="1"/>
    <n v="11"/>
    <n v="3"/>
    <n v="3"/>
    <n v="1"/>
    <n v="6"/>
    <n v="3"/>
    <n v="2"/>
    <n v="5"/>
    <n v="3"/>
    <n v="1"/>
    <n v="2"/>
    <x v="2"/>
    <s v="Low"/>
    <n v="6281.2528616024974"/>
    <s v="Below salary"/>
    <s v="Medium Risk"/>
  </r>
  <r>
    <n v="34"/>
    <x v="1"/>
    <s v="Travel_Frequently"/>
    <n v="735"/>
    <x v="1"/>
    <n v="22"/>
    <n v="4"/>
    <s v="Other"/>
    <n v="1932"/>
    <n v="3"/>
    <x v="1"/>
    <n v="86"/>
    <n v="2"/>
    <n v="2"/>
    <x v="1"/>
    <n v="4"/>
    <s v="Married"/>
    <x v="1266"/>
    <n v="26496"/>
    <n v="1"/>
    <x v="0"/>
    <n v="15"/>
    <n v="3"/>
    <n v="2"/>
    <n v="0"/>
    <n v="16"/>
    <n v="3"/>
    <n v="3"/>
    <n v="15"/>
    <n v="10"/>
    <n v="6"/>
    <n v="11"/>
    <x v="2"/>
    <s v="Mid"/>
    <n v="6281.2528616024974"/>
    <s v="Below salary"/>
    <s v="Medium Risk"/>
  </r>
  <r>
    <n v="28"/>
    <x v="0"/>
    <s v="Travel_Rarely"/>
    <n v="1475"/>
    <x v="0"/>
    <n v="13"/>
    <n v="2"/>
    <s v="Marketing"/>
    <n v="1933"/>
    <n v="4"/>
    <x v="0"/>
    <n v="84"/>
    <n v="3"/>
    <n v="2"/>
    <x v="0"/>
    <n v="3"/>
    <s v="Single"/>
    <x v="1267"/>
    <n v="23352"/>
    <n v="3"/>
    <x v="0"/>
    <n v="11"/>
    <n v="3"/>
    <n v="4"/>
    <n v="0"/>
    <n v="6"/>
    <n v="0"/>
    <n v="3"/>
    <n v="2"/>
    <n v="0"/>
    <n v="2"/>
    <n v="2"/>
    <x v="2"/>
    <s v="High"/>
    <n v="6959.17264573991"/>
    <s v="Above salary"/>
    <s v="Medium Risk"/>
  </r>
  <r>
    <n v="47"/>
    <x v="1"/>
    <s v="Non-Travel"/>
    <n v="1169"/>
    <x v="1"/>
    <n v="14"/>
    <n v="4"/>
    <s v="Technical Degree"/>
    <n v="1934"/>
    <n v="3"/>
    <x v="1"/>
    <n v="64"/>
    <n v="3"/>
    <n v="2"/>
    <x v="1"/>
    <n v="2"/>
    <s v="Married"/>
    <x v="931"/>
    <n v="2125"/>
    <n v="8"/>
    <x v="1"/>
    <n v="18"/>
    <n v="3"/>
    <n v="3"/>
    <n v="1"/>
    <n v="16"/>
    <n v="4"/>
    <n v="4"/>
    <n v="8"/>
    <n v="7"/>
    <n v="1"/>
    <n v="7"/>
    <x v="1"/>
    <s v="Mid"/>
    <n v="6281.2528616024974"/>
    <s v="Below salary"/>
    <s v="Medium Risk"/>
  </r>
  <r>
    <n v="56"/>
    <x v="1"/>
    <s v="Travel_Rarely"/>
    <n v="1443"/>
    <x v="0"/>
    <n v="11"/>
    <n v="5"/>
    <s v="Marketing"/>
    <n v="1935"/>
    <n v="4"/>
    <x v="0"/>
    <n v="89"/>
    <n v="2"/>
    <n v="2"/>
    <x v="0"/>
    <n v="1"/>
    <s v="Married"/>
    <x v="1268"/>
    <n v="20328"/>
    <n v="4"/>
    <x v="1"/>
    <n v="16"/>
    <n v="3"/>
    <n v="3"/>
    <n v="1"/>
    <n v="6"/>
    <n v="3"/>
    <n v="3"/>
    <n v="0"/>
    <n v="0"/>
    <n v="0"/>
    <n v="0"/>
    <x v="1"/>
    <s v="Mid"/>
    <n v="6959.17264573991"/>
    <s v="Below salary"/>
    <s v="Medium Risk"/>
  </r>
  <r>
    <n v="39"/>
    <x v="1"/>
    <s v="Travel_Rarely"/>
    <n v="867"/>
    <x v="1"/>
    <n v="9"/>
    <n v="2"/>
    <s v="Medical"/>
    <n v="1936"/>
    <n v="1"/>
    <x v="1"/>
    <n v="87"/>
    <n v="3"/>
    <n v="2"/>
    <x v="3"/>
    <n v="1"/>
    <s v="Married"/>
    <x v="1269"/>
    <n v="12315"/>
    <n v="1"/>
    <x v="1"/>
    <n v="25"/>
    <n v="4"/>
    <n v="4"/>
    <n v="1"/>
    <n v="10"/>
    <n v="3"/>
    <n v="3"/>
    <n v="10"/>
    <n v="0"/>
    <n v="7"/>
    <n v="9"/>
    <x v="0"/>
    <s v="Mid"/>
    <n v="6281.2528616024974"/>
    <s v="Below salary"/>
    <s v="Medium Risk"/>
  </r>
  <r>
    <n v="38"/>
    <x v="1"/>
    <s v="Travel_Frequently"/>
    <n v="1394"/>
    <x v="1"/>
    <n v="8"/>
    <n v="3"/>
    <s v="Medical"/>
    <n v="1937"/>
    <n v="4"/>
    <x v="0"/>
    <n v="58"/>
    <n v="2"/>
    <n v="2"/>
    <x v="1"/>
    <n v="2"/>
    <s v="Divorced"/>
    <x v="1270"/>
    <n v="18115"/>
    <n v="1"/>
    <x v="0"/>
    <n v="16"/>
    <n v="3"/>
    <n v="3"/>
    <n v="1"/>
    <n v="20"/>
    <n v="3"/>
    <n v="3"/>
    <n v="20"/>
    <n v="11"/>
    <n v="0"/>
    <n v="7"/>
    <x v="0"/>
    <s v="Low"/>
    <n v="6281.2528616024974"/>
    <s v="Below salary"/>
    <s v="High Risk"/>
  </r>
  <r>
    <n v="58"/>
    <x v="1"/>
    <s v="Travel_Rarely"/>
    <n v="605"/>
    <x v="0"/>
    <n v="21"/>
    <n v="3"/>
    <s v="Life Sciences"/>
    <n v="1938"/>
    <n v="4"/>
    <x v="0"/>
    <n v="72"/>
    <n v="3"/>
    <n v="4"/>
    <x v="5"/>
    <n v="4"/>
    <s v="Married"/>
    <x v="1271"/>
    <n v="11761"/>
    <n v="4"/>
    <x v="0"/>
    <n v="13"/>
    <n v="3"/>
    <n v="3"/>
    <n v="1"/>
    <n v="29"/>
    <n v="2"/>
    <n v="2"/>
    <n v="1"/>
    <n v="0"/>
    <n v="0"/>
    <n v="0"/>
    <x v="1"/>
    <s v="Very High"/>
    <n v="6959.17264573991"/>
    <s v="Above salary"/>
    <s v="Medium Risk"/>
  </r>
  <r>
    <n v="32"/>
    <x v="0"/>
    <s v="Travel_Frequently"/>
    <n v="238"/>
    <x v="1"/>
    <n v="5"/>
    <n v="2"/>
    <s v="Life Sciences"/>
    <n v="1939"/>
    <n v="1"/>
    <x v="0"/>
    <n v="47"/>
    <n v="4"/>
    <n v="1"/>
    <x v="1"/>
    <n v="3"/>
    <s v="Single"/>
    <x v="1272"/>
    <n v="15318"/>
    <n v="3"/>
    <x v="0"/>
    <n v="14"/>
    <n v="3"/>
    <n v="1"/>
    <n v="0"/>
    <n v="8"/>
    <n v="2"/>
    <n v="3"/>
    <n v="4"/>
    <n v="1"/>
    <n v="0"/>
    <n v="3"/>
    <x v="2"/>
    <s v="Low"/>
    <n v="6281.2528616024974"/>
    <s v="Below salary"/>
    <s v="Medium Risk"/>
  </r>
  <r>
    <n v="38"/>
    <x v="1"/>
    <s v="Travel_Rarely"/>
    <n v="1206"/>
    <x v="1"/>
    <n v="9"/>
    <n v="2"/>
    <s v="Life Sciences"/>
    <n v="1940"/>
    <n v="2"/>
    <x v="1"/>
    <n v="71"/>
    <n v="3"/>
    <n v="1"/>
    <x v="1"/>
    <n v="4"/>
    <s v="Divorced"/>
    <x v="1273"/>
    <n v="14293"/>
    <n v="2"/>
    <x v="1"/>
    <n v="19"/>
    <n v="3"/>
    <n v="4"/>
    <n v="2"/>
    <n v="10"/>
    <n v="0"/>
    <n v="4"/>
    <n v="5"/>
    <n v="2"/>
    <n v="0"/>
    <n v="3"/>
    <x v="0"/>
    <s v="Mid"/>
    <n v="6281.2528616024974"/>
    <s v="Below salary"/>
    <s v="Low Risk"/>
  </r>
  <r>
    <n v="49"/>
    <x v="1"/>
    <s v="Travel_Frequently"/>
    <n v="1064"/>
    <x v="1"/>
    <n v="2"/>
    <n v="1"/>
    <s v="Life Sciences"/>
    <n v="1941"/>
    <n v="2"/>
    <x v="1"/>
    <n v="42"/>
    <n v="3"/>
    <n v="5"/>
    <x v="7"/>
    <n v="4"/>
    <s v="Married"/>
    <x v="1274"/>
    <n v="13738"/>
    <n v="3"/>
    <x v="1"/>
    <n v="15"/>
    <n v="3"/>
    <n v="4"/>
    <n v="0"/>
    <n v="28"/>
    <n v="3"/>
    <n v="3"/>
    <n v="5"/>
    <n v="4"/>
    <n v="4"/>
    <n v="3"/>
    <x v="1"/>
    <s v="Very High"/>
    <n v="6281.2528616024974"/>
    <s v="Above salary"/>
    <s v="Low Risk"/>
  </r>
  <r>
    <n v="42"/>
    <x v="1"/>
    <s v="Travel_Rarely"/>
    <n v="419"/>
    <x v="0"/>
    <n v="12"/>
    <n v="4"/>
    <s v="Marketing"/>
    <n v="1943"/>
    <n v="2"/>
    <x v="1"/>
    <n v="77"/>
    <n v="3"/>
    <n v="2"/>
    <x v="0"/>
    <n v="4"/>
    <s v="Divorced"/>
    <x v="1275"/>
    <n v="2900"/>
    <n v="3"/>
    <x v="0"/>
    <n v="12"/>
    <n v="3"/>
    <n v="3"/>
    <n v="2"/>
    <n v="14"/>
    <n v="4"/>
    <n v="3"/>
    <n v="0"/>
    <n v="0"/>
    <n v="0"/>
    <n v="0"/>
    <x v="0"/>
    <s v="Mid"/>
    <n v="6959.17264573991"/>
    <s v="Below salary"/>
    <s v="Medium Risk"/>
  </r>
  <r>
    <n v="27"/>
    <x v="0"/>
    <s v="Travel_Frequently"/>
    <n v="1337"/>
    <x v="2"/>
    <n v="22"/>
    <n v="3"/>
    <s v="Human Resources"/>
    <n v="1944"/>
    <n v="1"/>
    <x v="0"/>
    <n v="58"/>
    <n v="2"/>
    <n v="1"/>
    <x v="8"/>
    <n v="2"/>
    <s v="Married"/>
    <x v="1276"/>
    <n v="19555"/>
    <n v="1"/>
    <x v="1"/>
    <n v="12"/>
    <n v="3"/>
    <n v="1"/>
    <n v="0"/>
    <n v="1"/>
    <n v="2"/>
    <n v="3"/>
    <n v="1"/>
    <n v="0"/>
    <n v="0"/>
    <n v="0"/>
    <x v="2"/>
    <s v="Low"/>
    <n v="6654.5079365079364"/>
    <s v="Below salary"/>
    <s v="Medium Risk"/>
  </r>
  <r>
    <n v="35"/>
    <x v="1"/>
    <s v="Travel_Rarely"/>
    <n v="682"/>
    <x v="0"/>
    <n v="18"/>
    <n v="4"/>
    <s v="Medical"/>
    <n v="1945"/>
    <n v="2"/>
    <x v="1"/>
    <n v="71"/>
    <n v="3"/>
    <n v="2"/>
    <x v="0"/>
    <n v="1"/>
    <s v="Married"/>
    <x v="489"/>
    <n v="15975"/>
    <n v="0"/>
    <x v="1"/>
    <n v="16"/>
    <n v="3"/>
    <n v="4"/>
    <n v="1"/>
    <n v="6"/>
    <n v="2"/>
    <n v="1"/>
    <n v="5"/>
    <n v="3"/>
    <n v="0"/>
    <n v="4"/>
    <x v="2"/>
    <s v="Mid"/>
    <n v="6959.17264573991"/>
    <s v="Below salary"/>
    <s v="Medium Risk"/>
  </r>
  <r>
    <n v="28"/>
    <x v="1"/>
    <s v="Non-Travel"/>
    <n v="1103"/>
    <x v="1"/>
    <n v="16"/>
    <n v="3"/>
    <s v="Medical"/>
    <n v="1947"/>
    <n v="3"/>
    <x v="1"/>
    <n v="49"/>
    <n v="3"/>
    <n v="1"/>
    <x v="1"/>
    <n v="3"/>
    <s v="Single"/>
    <x v="1277"/>
    <n v="2122"/>
    <n v="1"/>
    <x v="1"/>
    <n v="14"/>
    <n v="3"/>
    <n v="3"/>
    <n v="0"/>
    <n v="5"/>
    <n v="3"/>
    <n v="2"/>
    <n v="5"/>
    <n v="3"/>
    <n v="1"/>
    <n v="4"/>
    <x v="2"/>
    <s v="Low"/>
    <n v="6281.2528616024974"/>
    <s v="Below salary"/>
    <s v="Low Risk"/>
  </r>
  <r>
    <n v="31"/>
    <x v="1"/>
    <s v="Non-Travel"/>
    <n v="976"/>
    <x v="1"/>
    <n v="3"/>
    <n v="2"/>
    <s v="Medical"/>
    <n v="1948"/>
    <n v="3"/>
    <x v="1"/>
    <n v="48"/>
    <n v="3"/>
    <n v="1"/>
    <x v="1"/>
    <n v="1"/>
    <s v="Divorced"/>
    <x v="1278"/>
    <n v="3995"/>
    <n v="1"/>
    <x v="0"/>
    <n v="13"/>
    <n v="3"/>
    <n v="4"/>
    <n v="1"/>
    <n v="4"/>
    <n v="3"/>
    <n v="4"/>
    <n v="4"/>
    <n v="2"/>
    <n v="2"/>
    <n v="3"/>
    <x v="2"/>
    <s v="Mid"/>
    <n v="6281.2528616024974"/>
    <s v="Below salary"/>
    <s v="High Risk"/>
  </r>
  <r>
    <n v="36"/>
    <x v="1"/>
    <s v="Non-Travel"/>
    <n v="1351"/>
    <x v="1"/>
    <n v="9"/>
    <n v="4"/>
    <s v="Life Sciences"/>
    <n v="1949"/>
    <n v="1"/>
    <x v="1"/>
    <n v="66"/>
    <n v="4"/>
    <n v="1"/>
    <x v="2"/>
    <n v="2"/>
    <s v="Married"/>
    <x v="1279"/>
    <n v="9238"/>
    <n v="1"/>
    <x v="1"/>
    <n v="22"/>
    <n v="4"/>
    <n v="2"/>
    <n v="0"/>
    <n v="5"/>
    <n v="3"/>
    <n v="3"/>
    <n v="5"/>
    <n v="4"/>
    <n v="0"/>
    <n v="2"/>
    <x v="0"/>
    <s v="Low"/>
    <n v="6281.2528616024974"/>
    <s v="Below salary"/>
    <s v="Medium Risk"/>
  </r>
  <r>
    <n v="34"/>
    <x v="1"/>
    <s v="Travel_Rarely"/>
    <n v="937"/>
    <x v="0"/>
    <n v="1"/>
    <n v="3"/>
    <s v="Marketing"/>
    <n v="1950"/>
    <n v="1"/>
    <x v="1"/>
    <n v="32"/>
    <n v="3"/>
    <n v="3"/>
    <x v="0"/>
    <n v="4"/>
    <s v="Single"/>
    <x v="1280"/>
    <n v="6770"/>
    <n v="1"/>
    <x v="1"/>
    <n v="21"/>
    <n v="4"/>
    <n v="1"/>
    <n v="0"/>
    <n v="14"/>
    <n v="3"/>
    <n v="2"/>
    <n v="14"/>
    <n v="8"/>
    <n v="2"/>
    <n v="1"/>
    <x v="2"/>
    <s v="High"/>
    <n v="6959.17264573991"/>
    <s v="Above salary"/>
    <s v="Low Risk"/>
  </r>
  <r>
    <n v="34"/>
    <x v="1"/>
    <s v="Travel_Rarely"/>
    <n v="1239"/>
    <x v="0"/>
    <n v="13"/>
    <n v="4"/>
    <s v="Medical"/>
    <n v="1951"/>
    <n v="4"/>
    <x v="1"/>
    <n v="39"/>
    <n v="3"/>
    <n v="3"/>
    <x v="0"/>
    <n v="3"/>
    <s v="Divorced"/>
    <x v="1281"/>
    <n v="22914"/>
    <n v="1"/>
    <x v="1"/>
    <n v="18"/>
    <n v="3"/>
    <n v="3"/>
    <n v="1"/>
    <n v="9"/>
    <n v="2"/>
    <n v="2"/>
    <n v="8"/>
    <n v="7"/>
    <n v="1"/>
    <n v="1"/>
    <x v="2"/>
    <s v="High"/>
    <n v="6959.17264573991"/>
    <s v="Above salary"/>
    <s v="Low Risk"/>
  </r>
  <r>
    <n v="26"/>
    <x v="1"/>
    <s v="Travel_Rarely"/>
    <n v="157"/>
    <x v="1"/>
    <n v="1"/>
    <n v="3"/>
    <s v="Medical"/>
    <n v="1952"/>
    <n v="3"/>
    <x v="1"/>
    <n v="95"/>
    <n v="3"/>
    <n v="1"/>
    <x v="2"/>
    <n v="1"/>
    <s v="Single"/>
    <x v="1282"/>
    <n v="20006"/>
    <n v="0"/>
    <x v="1"/>
    <n v="13"/>
    <n v="3"/>
    <n v="4"/>
    <n v="0"/>
    <n v="8"/>
    <n v="6"/>
    <n v="2"/>
    <n v="7"/>
    <n v="7"/>
    <n v="7"/>
    <n v="6"/>
    <x v="2"/>
    <s v="Low"/>
    <n v="6281.2528616024974"/>
    <s v="Below salary"/>
    <s v="Medium Risk"/>
  </r>
  <r>
    <n v="29"/>
    <x v="1"/>
    <s v="Travel_Rarely"/>
    <n v="136"/>
    <x v="1"/>
    <n v="1"/>
    <n v="3"/>
    <s v="Life Sciences"/>
    <n v="1954"/>
    <n v="1"/>
    <x v="1"/>
    <n v="89"/>
    <n v="3"/>
    <n v="2"/>
    <x v="4"/>
    <n v="1"/>
    <s v="Married"/>
    <x v="1283"/>
    <n v="6225"/>
    <n v="0"/>
    <x v="1"/>
    <n v="12"/>
    <n v="3"/>
    <n v="1"/>
    <n v="1"/>
    <n v="6"/>
    <n v="5"/>
    <n v="2"/>
    <n v="5"/>
    <n v="3"/>
    <n v="0"/>
    <n v="2"/>
    <x v="2"/>
    <s v="Mid"/>
    <n v="6281.2528616024974"/>
    <s v="Below salary"/>
    <s v="Medium Risk"/>
  </r>
  <r>
    <n v="32"/>
    <x v="1"/>
    <s v="Non-Travel"/>
    <n v="1146"/>
    <x v="1"/>
    <n v="15"/>
    <n v="4"/>
    <s v="Medical"/>
    <n v="1955"/>
    <n v="3"/>
    <x v="0"/>
    <n v="34"/>
    <n v="3"/>
    <n v="2"/>
    <x v="4"/>
    <n v="4"/>
    <s v="Divorced"/>
    <x v="1284"/>
    <n v="16542"/>
    <n v="5"/>
    <x v="1"/>
    <n v="18"/>
    <n v="3"/>
    <n v="2"/>
    <n v="1"/>
    <n v="9"/>
    <n v="6"/>
    <n v="3"/>
    <n v="5"/>
    <n v="1"/>
    <n v="1"/>
    <n v="2"/>
    <x v="2"/>
    <s v="Mid"/>
    <n v="6281.2528616024974"/>
    <s v="Above salary"/>
    <s v="Low Risk"/>
  </r>
  <r>
    <n v="31"/>
    <x v="1"/>
    <s v="Travel_Frequently"/>
    <n v="1125"/>
    <x v="1"/>
    <n v="1"/>
    <n v="3"/>
    <s v="Life Sciences"/>
    <n v="1956"/>
    <n v="4"/>
    <x v="1"/>
    <n v="48"/>
    <n v="1"/>
    <n v="2"/>
    <x v="1"/>
    <n v="1"/>
    <s v="Married"/>
    <x v="701"/>
    <n v="5771"/>
    <n v="1"/>
    <x v="1"/>
    <n v="21"/>
    <n v="4"/>
    <n v="2"/>
    <n v="0"/>
    <n v="10"/>
    <n v="6"/>
    <n v="3"/>
    <n v="10"/>
    <n v="8"/>
    <n v="8"/>
    <n v="7"/>
    <x v="2"/>
    <s v="Mid"/>
    <n v="6281.2528616024974"/>
    <s v="Below salary"/>
    <s v="Medium Risk"/>
  </r>
  <r>
    <n v="28"/>
    <x v="0"/>
    <s v="Travel_Rarely"/>
    <n v="1404"/>
    <x v="1"/>
    <n v="17"/>
    <n v="3"/>
    <s v="Technical Degree"/>
    <n v="1960"/>
    <n v="3"/>
    <x v="1"/>
    <n v="32"/>
    <n v="2"/>
    <n v="1"/>
    <x v="2"/>
    <n v="4"/>
    <s v="Divorced"/>
    <x v="1039"/>
    <n v="18779"/>
    <n v="5"/>
    <x v="1"/>
    <n v="12"/>
    <n v="3"/>
    <n v="1"/>
    <n v="1"/>
    <n v="6"/>
    <n v="2"/>
    <n v="2"/>
    <n v="4"/>
    <n v="1"/>
    <n v="0"/>
    <n v="3"/>
    <x v="2"/>
    <s v="Low"/>
    <n v="6281.2528616024974"/>
    <s v="Below salary"/>
    <s v="Low Risk"/>
  </r>
  <r>
    <n v="38"/>
    <x v="1"/>
    <s v="Travel_Rarely"/>
    <n v="1404"/>
    <x v="0"/>
    <n v="1"/>
    <n v="3"/>
    <s v="Life Sciences"/>
    <n v="1961"/>
    <n v="1"/>
    <x v="1"/>
    <n v="59"/>
    <n v="2"/>
    <n v="1"/>
    <x v="6"/>
    <n v="1"/>
    <s v="Single"/>
    <x v="1285"/>
    <n v="11473"/>
    <n v="4"/>
    <x v="1"/>
    <n v="14"/>
    <n v="3"/>
    <n v="1"/>
    <n v="0"/>
    <n v="20"/>
    <n v="3"/>
    <n v="2"/>
    <n v="1"/>
    <n v="0"/>
    <n v="0"/>
    <n v="0"/>
    <x v="0"/>
    <s v="Low"/>
    <n v="6959.17264573991"/>
    <s v="Below salary"/>
    <s v="Medium Risk"/>
  </r>
  <r>
    <n v="35"/>
    <x v="1"/>
    <s v="Travel_Rarely"/>
    <n v="1224"/>
    <x v="0"/>
    <n v="7"/>
    <n v="4"/>
    <s v="Life Sciences"/>
    <n v="1962"/>
    <n v="3"/>
    <x v="0"/>
    <n v="55"/>
    <n v="3"/>
    <n v="2"/>
    <x v="0"/>
    <n v="4"/>
    <s v="Married"/>
    <x v="626"/>
    <n v="13586"/>
    <n v="1"/>
    <x v="0"/>
    <n v="11"/>
    <n v="3"/>
    <n v="4"/>
    <n v="0"/>
    <n v="10"/>
    <n v="2"/>
    <n v="3"/>
    <n v="10"/>
    <n v="8"/>
    <n v="0"/>
    <n v="9"/>
    <x v="2"/>
    <s v="Mid"/>
    <n v="6959.17264573991"/>
    <s v="Below salary"/>
    <s v="Medium Risk"/>
  </r>
  <r>
    <n v="27"/>
    <x v="1"/>
    <s v="Travel_Rarely"/>
    <n v="954"/>
    <x v="0"/>
    <n v="9"/>
    <n v="3"/>
    <s v="Marketing"/>
    <n v="1965"/>
    <n v="4"/>
    <x v="1"/>
    <n v="44"/>
    <n v="3"/>
    <n v="2"/>
    <x v="0"/>
    <n v="4"/>
    <s v="Single"/>
    <x v="1286"/>
    <n v="5099"/>
    <n v="1"/>
    <x v="1"/>
    <n v="14"/>
    <n v="3"/>
    <n v="1"/>
    <n v="0"/>
    <n v="7"/>
    <n v="5"/>
    <n v="3"/>
    <n v="7"/>
    <n v="7"/>
    <n v="0"/>
    <n v="7"/>
    <x v="2"/>
    <s v="Mid"/>
    <n v="6959.17264573991"/>
    <s v="Below salary"/>
    <s v="Low Risk"/>
  </r>
  <r>
    <n v="32"/>
    <x v="1"/>
    <s v="Travel_Rarely"/>
    <n v="1373"/>
    <x v="1"/>
    <n v="5"/>
    <n v="4"/>
    <s v="Life Sciences"/>
    <n v="1966"/>
    <n v="4"/>
    <x v="1"/>
    <n v="56"/>
    <n v="2"/>
    <n v="2"/>
    <x v="3"/>
    <n v="4"/>
    <s v="Single"/>
    <x v="1287"/>
    <n v="10138"/>
    <n v="8"/>
    <x v="1"/>
    <n v="24"/>
    <n v="4"/>
    <n v="2"/>
    <n v="0"/>
    <n v="8"/>
    <n v="1"/>
    <n v="3"/>
    <n v="1"/>
    <n v="0"/>
    <n v="0"/>
    <n v="0"/>
    <x v="2"/>
    <s v="High"/>
    <n v="6281.2528616024974"/>
    <s v="Above salary"/>
    <s v="Low Risk"/>
  </r>
  <r>
    <n v="31"/>
    <x v="0"/>
    <s v="Travel_Frequently"/>
    <n v="754"/>
    <x v="0"/>
    <n v="26"/>
    <n v="4"/>
    <s v="Marketing"/>
    <n v="1967"/>
    <n v="1"/>
    <x v="1"/>
    <n v="63"/>
    <n v="3"/>
    <n v="2"/>
    <x v="0"/>
    <n v="4"/>
    <s v="Married"/>
    <x v="1288"/>
    <n v="21075"/>
    <n v="1"/>
    <x v="0"/>
    <n v="11"/>
    <n v="3"/>
    <n v="3"/>
    <n v="0"/>
    <n v="10"/>
    <n v="4"/>
    <n v="3"/>
    <n v="10"/>
    <n v="7"/>
    <n v="0"/>
    <n v="8"/>
    <x v="2"/>
    <s v="Mid"/>
    <n v="6959.17264573991"/>
    <s v="Below salary"/>
    <s v="Medium Risk"/>
  </r>
  <r>
    <n v="53"/>
    <x v="0"/>
    <s v="Travel_Rarely"/>
    <n v="1168"/>
    <x v="0"/>
    <n v="24"/>
    <n v="4"/>
    <s v="Life Sciences"/>
    <n v="1968"/>
    <n v="1"/>
    <x v="1"/>
    <n v="66"/>
    <n v="3"/>
    <n v="3"/>
    <x v="0"/>
    <n v="1"/>
    <s v="Single"/>
    <x v="1289"/>
    <n v="5843"/>
    <n v="6"/>
    <x v="0"/>
    <n v="13"/>
    <n v="3"/>
    <n v="2"/>
    <n v="0"/>
    <n v="15"/>
    <n v="2"/>
    <n v="2"/>
    <n v="2"/>
    <n v="2"/>
    <n v="2"/>
    <n v="2"/>
    <x v="1"/>
    <s v="High"/>
    <n v="6959.17264573991"/>
    <s v="Above salary"/>
    <s v="High Risk"/>
  </r>
  <r>
    <n v="54"/>
    <x v="1"/>
    <s v="Travel_Rarely"/>
    <n v="155"/>
    <x v="1"/>
    <n v="9"/>
    <n v="2"/>
    <s v="Life Sciences"/>
    <n v="1969"/>
    <n v="1"/>
    <x v="0"/>
    <n v="67"/>
    <n v="3"/>
    <n v="2"/>
    <x v="1"/>
    <n v="3"/>
    <s v="Married"/>
    <x v="1290"/>
    <n v="22474"/>
    <n v="3"/>
    <x v="1"/>
    <n v="11"/>
    <n v="3"/>
    <n v="3"/>
    <n v="2"/>
    <n v="9"/>
    <n v="6"/>
    <n v="2"/>
    <n v="4"/>
    <n v="3"/>
    <n v="2"/>
    <n v="3"/>
    <x v="1"/>
    <s v="Low"/>
    <n v="6281.2528616024974"/>
    <s v="Below salary"/>
    <s v="Low Risk"/>
  </r>
  <r>
    <n v="33"/>
    <x v="1"/>
    <s v="Travel_Frequently"/>
    <n v="1303"/>
    <x v="1"/>
    <n v="7"/>
    <n v="2"/>
    <s v="Life Sciences"/>
    <n v="1970"/>
    <n v="4"/>
    <x v="1"/>
    <n v="36"/>
    <n v="3"/>
    <n v="2"/>
    <x v="4"/>
    <n v="3"/>
    <s v="Divorced"/>
    <x v="1291"/>
    <n v="18079"/>
    <n v="1"/>
    <x v="1"/>
    <n v="20"/>
    <n v="4"/>
    <n v="3"/>
    <n v="3"/>
    <n v="9"/>
    <n v="2"/>
    <n v="3"/>
    <n v="9"/>
    <n v="7"/>
    <n v="2"/>
    <n v="8"/>
    <x v="2"/>
    <s v="Mid"/>
    <n v="6281.2528616024974"/>
    <s v="Below salary"/>
    <s v="Low Risk"/>
  </r>
  <r>
    <n v="43"/>
    <x v="1"/>
    <s v="Travel_Rarely"/>
    <n v="574"/>
    <x v="1"/>
    <n v="11"/>
    <n v="3"/>
    <s v="Life Sciences"/>
    <n v="1971"/>
    <n v="1"/>
    <x v="1"/>
    <n v="30"/>
    <n v="3"/>
    <n v="3"/>
    <x v="4"/>
    <n v="3"/>
    <s v="Married"/>
    <x v="1292"/>
    <n v="16873"/>
    <n v="1"/>
    <x v="1"/>
    <n v="17"/>
    <n v="3"/>
    <n v="2"/>
    <n v="1"/>
    <n v="10"/>
    <n v="1"/>
    <n v="3"/>
    <n v="10"/>
    <n v="9"/>
    <n v="0"/>
    <n v="9"/>
    <x v="0"/>
    <s v="High"/>
    <n v="6281.2528616024974"/>
    <s v="Above salary"/>
    <s v="Low Risk"/>
  </r>
  <r>
    <n v="38"/>
    <x v="1"/>
    <s v="Travel_Frequently"/>
    <n v="1444"/>
    <x v="2"/>
    <n v="1"/>
    <n v="4"/>
    <s v="Other"/>
    <n v="1972"/>
    <n v="4"/>
    <x v="1"/>
    <n v="88"/>
    <n v="3"/>
    <n v="1"/>
    <x v="8"/>
    <n v="2"/>
    <s v="Married"/>
    <x v="1293"/>
    <n v="5224"/>
    <n v="0"/>
    <x v="0"/>
    <n v="11"/>
    <n v="3"/>
    <n v="2"/>
    <n v="1"/>
    <n v="7"/>
    <n v="2"/>
    <n v="3"/>
    <n v="6"/>
    <n v="2"/>
    <n v="1"/>
    <n v="2"/>
    <x v="0"/>
    <s v="Low"/>
    <n v="6654.5079365079364"/>
    <s v="Below salary"/>
    <s v="High Risk"/>
  </r>
  <r>
    <n v="55"/>
    <x v="1"/>
    <s v="Travel_Rarely"/>
    <n v="189"/>
    <x v="2"/>
    <n v="26"/>
    <n v="4"/>
    <s v="Human Resources"/>
    <n v="1973"/>
    <n v="3"/>
    <x v="1"/>
    <n v="71"/>
    <n v="4"/>
    <n v="5"/>
    <x v="5"/>
    <n v="2"/>
    <s v="Married"/>
    <x v="1294"/>
    <n v="25811"/>
    <n v="4"/>
    <x v="0"/>
    <n v="18"/>
    <n v="3"/>
    <n v="1"/>
    <n v="1"/>
    <n v="35"/>
    <n v="0"/>
    <n v="3"/>
    <n v="10"/>
    <n v="9"/>
    <n v="1"/>
    <n v="4"/>
    <x v="1"/>
    <s v="Very High"/>
    <n v="6654.5079365079364"/>
    <s v="Above salary"/>
    <s v="High Risk"/>
  </r>
  <r>
    <n v="31"/>
    <x v="1"/>
    <s v="Travel_Rarely"/>
    <n v="1276"/>
    <x v="1"/>
    <n v="2"/>
    <n v="1"/>
    <s v="Medical"/>
    <n v="1974"/>
    <n v="4"/>
    <x v="0"/>
    <n v="59"/>
    <n v="1"/>
    <n v="1"/>
    <x v="2"/>
    <n v="4"/>
    <s v="Divorced"/>
    <x v="1295"/>
    <n v="17536"/>
    <n v="1"/>
    <x v="0"/>
    <n v="11"/>
    <n v="3"/>
    <n v="3"/>
    <n v="3"/>
    <n v="1"/>
    <n v="4"/>
    <n v="3"/>
    <n v="1"/>
    <n v="0"/>
    <n v="0"/>
    <n v="0"/>
    <x v="2"/>
    <s v="Low"/>
    <n v="6281.2528616024974"/>
    <s v="Below salary"/>
    <s v="Medium Risk"/>
  </r>
  <r>
    <n v="39"/>
    <x v="1"/>
    <s v="Travel_Rarely"/>
    <n v="119"/>
    <x v="0"/>
    <n v="15"/>
    <n v="4"/>
    <s v="Marketing"/>
    <n v="1975"/>
    <n v="2"/>
    <x v="1"/>
    <n v="77"/>
    <n v="3"/>
    <n v="4"/>
    <x v="0"/>
    <n v="1"/>
    <s v="Single"/>
    <x v="1296"/>
    <n v="25098"/>
    <n v="0"/>
    <x v="1"/>
    <n v="12"/>
    <n v="3"/>
    <n v="1"/>
    <n v="0"/>
    <n v="21"/>
    <n v="3"/>
    <n v="3"/>
    <n v="20"/>
    <n v="8"/>
    <n v="11"/>
    <n v="10"/>
    <x v="0"/>
    <s v="Very High"/>
    <n v="6959.17264573991"/>
    <s v="Above salary"/>
    <s v="Medium Risk"/>
  </r>
  <r>
    <n v="42"/>
    <x v="1"/>
    <s v="Non-Travel"/>
    <n v="335"/>
    <x v="1"/>
    <n v="23"/>
    <n v="2"/>
    <s v="Life Sciences"/>
    <n v="1976"/>
    <n v="4"/>
    <x v="1"/>
    <n v="37"/>
    <n v="2"/>
    <n v="2"/>
    <x v="1"/>
    <n v="3"/>
    <s v="Single"/>
    <x v="1297"/>
    <n v="14811"/>
    <n v="1"/>
    <x v="1"/>
    <n v="12"/>
    <n v="3"/>
    <n v="4"/>
    <n v="0"/>
    <n v="20"/>
    <n v="2"/>
    <n v="3"/>
    <n v="20"/>
    <n v="9"/>
    <n v="3"/>
    <n v="7"/>
    <x v="0"/>
    <s v="Mid"/>
    <n v="6281.2528616024974"/>
    <s v="Below salary"/>
    <s v="Low Risk"/>
  </r>
  <r>
    <n v="31"/>
    <x v="1"/>
    <s v="Non-Travel"/>
    <n v="697"/>
    <x v="1"/>
    <n v="10"/>
    <n v="3"/>
    <s v="Medical"/>
    <n v="1979"/>
    <n v="3"/>
    <x v="0"/>
    <n v="40"/>
    <n v="3"/>
    <n v="3"/>
    <x v="7"/>
    <n v="3"/>
    <s v="Married"/>
    <x v="1298"/>
    <n v="26862"/>
    <n v="4"/>
    <x v="1"/>
    <n v="20"/>
    <n v="4"/>
    <n v="3"/>
    <n v="1"/>
    <n v="13"/>
    <n v="2"/>
    <n v="4"/>
    <n v="11"/>
    <n v="7"/>
    <n v="4"/>
    <n v="8"/>
    <x v="2"/>
    <s v="High"/>
    <n v="6281.2528616024974"/>
    <s v="Above salary"/>
    <s v="Low Risk"/>
  </r>
  <r>
    <n v="54"/>
    <x v="1"/>
    <s v="Travel_Rarely"/>
    <n v="157"/>
    <x v="1"/>
    <n v="10"/>
    <n v="3"/>
    <s v="Medical"/>
    <n v="1980"/>
    <n v="3"/>
    <x v="0"/>
    <n v="77"/>
    <n v="3"/>
    <n v="2"/>
    <x v="3"/>
    <n v="1"/>
    <s v="Single"/>
    <x v="1299"/>
    <n v="25198"/>
    <n v="6"/>
    <x v="0"/>
    <n v="19"/>
    <n v="3"/>
    <n v="4"/>
    <n v="0"/>
    <n v="9"/>
    <n v="3"/>
    <n v="3"/>
    <n v="5"/>
    <n v="2"/>
    <n v="1"/>
    <n v="4"/>
    <x v="1"/>
    <s v="Mid"/>
    <n v="6281.2528616024974"/>
    <s v="Below salary"/>
    <s v="High Risk"/>
  </r>
  <r>
    <n v="24"/>
    <x v="1"/>
    <s v="Travel_Rarely"/>
    <n v="771"/>
    <x v="1"/>
    <n v="1"/>
    <n v="2"/>
    <s v="Life Sciences"/>
    <n v="1981"/>
    <n v="2"/>
    <x v="1"/>
    <n v="45"/>
    <n v="2"/>
    <n v="2"/>
    <x v="4"/>
    <n v="3"/>
    <s v="Single"/>
    <x v="1300"/>
    <n v="14120"/>
    <n v="1"/>
    <x v="1"/>
    <n v="12"/>
    <n v="3"/>
    <n v="2"/>
    <n v="0"/>
    <n v="4"/>
    <n v="2"/>
    <n v="2"/>
    <n v="4"/>
    <n v="3"/>
    <n v="1"/>
    <n v="2"/>
    <x v="3"/>
    <s v="Mid"/>
    <n v="6281.2528616024974"/>
    <s v="Below salary"/>
    <s v="Low Risk"/>
  </r>
  <r>
    <n v="23"/>
    <x v="1"/>
    <s v="Travel_Rarely"/>
    <n v="571"/>
    <x v="1"/>
    <n v="12"/>
    <n v="2"/>
    <s v="Other"/>
    <n v="1982"/>
    <n v="4"/>
    <x v="1"/>
    <n v="78"/>
    <n v="3"/>
    <n v="1"/>
    <x v="2"/>
    <n v="4"/>
    <s v="Single"/>
    <x v="1301"/>
    <n v="13672"/>
    <n v="1"/>
    <x v="1"/>
    <n v="13"/>
    <n v="3"/>
    <n v="3"/>
    <n v="0"/>
    <n v="5"/>
    <n v="6"/>
    <n v="4"/>
    <n v="5"/>
    <n v="2"/>
    <n v="1"/>
    <n v="4"/>
    <x v="3"/>
    <s v="Low"/>
    <n v="6281.2528616024974"/>
    <s v="Below salary"/>
    <s v="Low Risk"/>
  </r>
  <r>
    <n v="40"/>
    <x v="1"/>
    <s v="Travel_Frequently"/>
    <n v="692"/>
    <x v="1"/>
    <n v="11"/>
    <n v="3"/>
    <s v="Technical Degree"/>
    <n v="1985"/>
    <n v="4"/>
    <x v="0"/>
    <n v="73"/>
    <n v="3"/>
    <n v="2"/>
    <x v="2"/>
    <n v="3"/>
    <s v="Married"/>
    <x v="1302"/>
    <n v="26849"/>
    <n v="1"/>
    <x v="1"/>
    <n v="11"/>
    <n v="3"/>
    <n v="1"/>
    <n v="1"/>
    <n v="10"/>
    <n v="2"/>
    <n v="4"/>
    <n v="10"/>
    <n v="9"/>
    <n v="9"/>
    <n v="4"/>
    <x v="0"/>
    <s v="Mid"/>
    <n v="6281.2528616024974"/>
    <s v="Above salary"/>
    <s v="Low Risk"/>
  </r>
  <r>
    <n v="40"/>
    <x v="1"/>
    <s v="Travel_Rarely"/>
    <n v="444"/>
    <x v="0"/>
    <n v="2"/>
    <n v="2"/>
    <s v="Marketing"/>
    <n v="1986"/>
    <n v="2"/>
    <x v="0"/>
    <n v="92"/>
    <n v="3"/>
    <n v="2"/>
    <x v="0"/>
    <n v="2"/>
    <s v="Married"/>
    <x v="1303"/>
    <n v="4258"/>
    <n v="3"/>
    <x v="1"/>
    <n v="14"/>
    <n v="3"/>
    <n v="3"/>
    <n v="1"/>
    <n v="15"/>
    <n v="4"/>
    <n v="3"/>
    <n v="11"/>
    <n v="8"/>
    <n v="5"/>
    <n v="10"/>
    <x v="0"/>
    <s v="Mid"/>
    <n v="6959.17264573991"/>
    <s v="Below salary"/>
    <s v="Medium Risk"/>
  </r>
  <r>
    <n v="25"/>
    <x v="1"/>
    <s v="Travel_Rarely"/>
    <n v="309"/>
    <x v="2"/>
    <n v="2"/>
    <n v="3"/>
    <s v="Human Resources"/>
    <n v="1987"/>
    <n v="3"/>
    <x v="0"/>
    <n v="82"/>
    <n v="3"/>
    <n v="1"/>
    <x v="8"/>
    <n v="2"/>
    <s v="Married"/>
    <x v="467"/>
    <n v="19655"/>
    <n v="4"/>
    <x v="1"/>
    <n v="14"/>
    <n v="3"/>
    <n v="3"/>
    <n v="0"/>
    <n v="6"/>
    <n v="3"/>
    <n v="3"/>
    <n v="2"/>
    <n v="0"/>
    <n v="1"/>
    <n v="2"/>
    <x v="3"/>
    <s v="Low"/>
    <n v="6654.5079365079364"/>
    <s v="Below salary"/>
    <s v="Medium Risk"/>
  </r>
  <r>
    <n v="30"/>
    <x v="1"/>
    <s v="Travel_Rarely"/>
    <n v="911"/>
    <x v="1"/>
    <n v="1"/>
    <n v="2"/>
    <s v="Medical"/>
    <n v="1989"/>
    <n v="4"/>
    <x v="1"/>
    <n v="76"/>
    <n v="3"/>
    <n v="1"/>
    <x v="2"/>
    <n v="2"/>
    <s v="Married"/>
    <x v="1304"/>
    <n v="4077"/>
    <n v="1"/>
    <x v="1"/>
    <n v="13"/>
    <n v="3"/>
    <n v="3"/>
    <n v="0"/>
    <n v="12"/>
    <n v="6"/>
    <n v="2"/>
    <n v="12"/>
    <n v="8"/>
    <n v="1"/>
    <n v="7"/>
    <x v="2"/>
    <s v="Mid"/>
    <n v="6281.2528616024974"/>
    <s v="Below salary"/>
    <s v="Medium Risk"/>
  </r>
  <r>
    <n v="25"/>
    <x v="1"/>
    <s v="Travel_Rarely"/>
    <n v="977"/>
    <x v="1"/>
    <n v="2"/>
    <n v="1"/>
    <s v="Other"/>
    <n v="1992"/>
    <n v="4"/>
    <x v="1"/>
    <n v="57"/>
    <n v="3"/>
    <n v="1"/>
    <x v="2"/>
    <n v="3"/>
    <s v="Divorced"/>
    <x v="1305"/>
    <n v="7298"/>
    <n v="6"/>
    <x v="0"/>
    <n v="19"/>
    <n v="3"/>
    <n v="3"/>
    <n v="1"/>
    <n v="7"/>
    <n v="2"/>
    <n v="2"/>
    <n v="2"/>
    <n v="2"/>
    <n v="0"/>
    <n v="2"/>
    <x v="3"/>
    <s v="Mid"/>
    <n v="6281.2528616024974"/>
    <s v="Below salary"/>
    <s v="Medium Risk"/>
  </r>
  <r>
    <n v="47"/>
    <x v="1"/>
    <s v="Travel_Rarely"/>
    <n v="1180"/>
    <x v="1"/>
    <n v="25"/>
    <n v="3"/>
    <s v="Medical"/>
    <n v="1993"/>
    <n v="1"/>
    <x v="1"/>
    <n v="84"/>
    <n v="3"/>
    <n v="3"/>
    <x v="4"/>
    <n v="3"/>
    <s v="Single"/>
    <x v="1306"/>
    <n v="13084"/>
    <n v="2"/>
    <x v="1"/>
    <n v="23"/>
    <n v="4"/>
    <n v="2"/>
    <n v="0"/>
    <n v="25"/>
    <n v="3"/>
    <n v="3"/>
    <n v="17"/>
    <n v="14"/>
    <n v="12"/>
    <n v="11"/>
    <x v="1"/>
    <s v="High"/>
    <n v="6281.2528616024974"/>
    <s v="Above salary"/>
    <s v="Low Risk"/>
  </r>
  <r>
    <n v="33"/>
    <x v="1"/>
    <s v="Non-Travel"/>
    <n v="1313"/>
    <x v="1"/>
    <n v="1"/>
    <n v="2"/>
    <s v="Medical"/>
    <n v="1994"/>
    <n v="2"/>
    <x v="1"/>
    <n v="59"/>
    <n v="2"/>
    <n v="1"/>
    <x v="2"/>
    <n v="3"/>
    <s v="Divorced"/>
    <x v="641"/>
    <n v="20439"/>
    <n v="1"/>
    <x v="1"/>
    <n v="12"/>
    <n v="3"/>
    <n v="3"/>
    <n v="3"/>
    <n v="1"/>
    <n v="2"/>
    <n v="2"/>
    <n v="1"/>
    <n v="1"/>
    <n v="0"/>
    <n v="0"/>
    <x v="2"/>
    <s v="Low"/>
    <n v="6281.2528616024974"/>
    <s v="Below salary"/>
    <s v="Low Risk"/>
  </r>
  <r>
    <n v="38"/>
    <x v="1"/>
    <s v="Travel_Rarely"/>
    <n v="1321"/>
    <x v="0"/>
    <n v="1"/>
    <n v="4"/>
    <s v="Life Sciences"/>
    <n v="1995"/>
    <n v="4"/>
    <x v="1"/>
    <n v="86"/>
    <n v="3"/>
    <n v="2"/>
    <x v="0"/>
    <n v="2"/>
    <s v="Married"/>
    <x v="1299"/>
    <n v="7636"/>
    <n v="0"/>
    <x v="1"/>
    <n v="15"/>
    <n v="3"/>
    <n v="1"/>
    <n v="2"/>
    <n v="16"/>
    <n v="3"/>
    <n v="3"/>
    <n v="15"/>
    <n v="13"/>
    <n v="5"/>
    <n v="8"/>
    <x v="0"/>
    <s v="Mid"/>
    <n v="6959.17264573991"/>
    <s v="Below salary"/>
    <s v="Medium Risk"/>
  </r>
  <r>
    <n v="31"/>
    <x v="1"/>
    <s v="Travel_Rarely"/>
    <n v="1154"/>
    <x v="0"/>
    <n v="2"/>
    <n v="2"/>
    <s v="Life Sciences"/>
    <n v="1996"/>
    <n v="1"/>
    <x v="1"/>
    <n v="54"/>
    <n v="3"/>
    <n v="1"/>
    <x v="6"/>
    <n v="3"/>
    <s v="Married"/>
    <x v="1307"/>
    <n v="6393"/>
    <n v="0"/>
    <x v="1"/>
    <n v="19"/>
    <n v="3"/>
    <n v="3"/>
    <n v="1"/>
    <n v="3"/>
    <n v="1"/>
    <n v="3"/>
    <n v="2"/>
    <n v="2"/>
    <n v="1"/>
    <n v="2"/>
    <x v="2"/>
    <s v="Mid"/>
    <n v="6959.17264573991"/>
    <s v="Below salary"/>
    <s v="Low Risk"/>
  </r>
  <r>
    <n v="38"/>
    <x v="1"/>
    <s v="Travel_Frequently"/>
    <n v="508"/>
    <x v="1"/>
    <n v="6"/>
    <n v="4"/>
    <s v="Life Sciences"/>
    <n v="1997"/>
    <n v="1"/>
    <x v="1"/>
    <n v="72"/>
    <n v="2"/>
    <n v="2"/>
    <x v="3"/>
    <n v="3"/>
    <s v="Married"/>
    <x v="1308"/>
    <n v="14284"/>
    <n v="2"/>
    <x v="1"/>
    <n v="11"/>
    <n v="3"/>
    <n v="4"/>
    <n v="1"/>
    <n v="10"/>
    <n v="1"/>
    <n v="3"/>
    <n v="8"/>
    <n v="3"/>
    <n v="7"/>
    <n v="7"/>
    <x v="0"/>
    <s v="Mid"/>
    <n v="6281.2528616024974"/>
    <s v="Below salary"/>
    <s v="Low Risk"/>
  </r>
  <r>
    <n v="42"/>
    <x v="1"/>
    <s v="Travel_Rarely"/>
    <n v="557"/>
    <x v="1"/>
    <n v="18"/>
    <n v="4"/>
    <s v="Life Sciences"/>
    <n v="1998"/>
    <n v="4"/>
    <x v="1"/>
    <n v="35"/>
    <n v="3"/>
    <n v="2"/>
    <x v="1"/>
    <n v="1"/>
    <s v="Divorced"/>
    <x v="874"/>
    <n v="11189"/>
    <n v="6"/>
    <x v="0"/>
    <n v="17"/>
    <n v="3"/>
    <n v="3"/>
    <n v="1"/>
    <n v="9"/>
    <n v="3"/>
    <n v="2"/>
    <n v="4"/>
    <n v="3"/>
    <n v="1"/>
    <n v="2"/>
    <x v="0"/>
    <s v="Mid"/>
    <n v="6281.2528616024974"/>
    <s v="Below salary"/>
    <s v="High Risk"/>
  </r>
  <r>
    <n v="41"/>
    <x v="1"/>
    <s v="Travel_Rarely"/>
    <n v="642"/>
    <x v="1"/>
    <n v="1"/>
    <n v="3"/>
    <s v="Life Sciences"/>
    <n v="1999"/>
    <n v="4"/>
    <x v="1"/>
    <n v="76"/>
    <n v="3"/>
    <n v="1"/>
    <x v="1"/>
    <n v="4"/>
    <s v="Married"/>
    <x v="553"/>
    <n v="21412"/>
    <n v="3"/>
    <x v="1"/>
    <n v="22"/>
    <n v="4"/>
    <n v="1"/>
    <n v="1"/>
    <n v="12"/>
    <n v="3"/>
    <n v="3"/>
    <n v="5"/>
    <n v="3"/>
    <n v="1"/>
    <n v="0"/>
    <x v="0"/>
    <s v="Low"/>
    <n v="6281.2528616024974"/>
    <s v="Below salary"/>
    <s v="Low Risk"/>
  </r>
  <r>
    <n v="47"/>
    <x v="1"/>
    <s v="Non-Travel"/>
    <n v="1162"/>
    <x v="1"/>
    <n v="1"/>
    <n v="1"/>
    <s v="Medical"/>
    <n v="2000"/>
    <n v="3"/>
    <x v="0"/>
    <n v="98"/>
    <n v="3"/>
    <n v="3"/>
    <x v="7"/>
    <n v="2"/>
    <s v="Married"/>
    <x v="1309"/>
    <n v="17231"/>
    <n v="0"/>
    <x v="1"/>
    <n v="18"/>
    <n v="3"/>
    <n v="1"/>
    <n v="2"/>
    <n v="14"/>
    <n v="3"/>
    <n v="1"/>
    <n v="13"/>
    <n v="8"/>
    <n v="5"/>
    <n v="12"/>
    <x v="1"/>
    <s v="High"/>
    <n v="6281.2528616024974"/>
    <s v="Above salary"/>
    <s v="Medium Risk"/>
  </r>
  <r>
    <n v="35"/>
    <x v="1"/>
    <s v="Travel_Rarely"/>
    <n v="1490"/>
    <x v="1"/>
    <n v="11"/>
    <n v="4"/>
    <s v="Medical"/>
    <n v="2003"/>
    <n v="4"/>
    <x v="1"/>
    <n v="43"/>
    <n v="3"/>
    <n v="1"/>
    <x v="2"/>
    <n v="3"/>
    <s v="Married"/>
    <x v="1310"/>
    <n v="20232"/>
    <n v="7"/>
    <x v="0"/>
    <n v="11"/>
    <n v="3"/>
    <n v="3"/>
    <n v="1"/>
    <n v="5"/>
    <n v="3"/>
    <n v="3"/>
    <n v="2"/>
    <n v="2"/>
    <n v="2"/>
    <n v="2"/>
    <x v="2"/>
    <s v="Low"/>
    <n v="6281.2528616024974"/>
    <s v="Below salary"/>
    <s v="Medium Risk"/>
  </r>
  <r>
    <n v="22"/>
    <x v="1"/>
    <s v="Travel_Rarely"/>
    <n v="581"/>
    <x v="1"/>
    <n v="1"/>
    <n v="2"/>
    <s v="Life Sciences"/>
    <n v="2007"/>
    <n v="4"/>
    <x v="1"/>
    <n v="63"/>
    <n v="3"/>
    <n v="1"/>
    <x v="1"/>
    <n v="3"/>
    <s v="Single"/>
    <x v="1311"/>
    <n v="17624"/>
    <n v="0"/>
    <x v="1"/>
    <n v="12"/>
    <n v="3"/>
    <n v="4"/>
    <n v="0"/>
    <n v="4"/>
    <n v="2"/>
    <n v="4"/>
    <n v="3"/>
    <n v="2"/>
    <n v="1"/>
    <n v="2"/>
    <x v="3"/>
    <s v="Mid"/>
    <n v="6281.2528616024974"/>
    <s v="Below salary"/>
    <s v="Low Risk"/>
  </r>
  <r>
    <n v="35"/>
    <x v="1"/>
    <s v="Travel_Rarely"/>
    <n v="1395"/>
    <x v="1"/>
    <n v="9"/>
    <n v="4"/>
    <s v="Medical"/>
    <n v="2008"/>
    <n v="2"/>
    <x v="1"/>
    <n v="48"/>
    <n v="3"/>
    <n v="2"/>
    <x v="1"/>
    <n v="3"/>
    <s v="Single"/>
    <x v="1312"/>
    <n v="18698"/>
    <n v="1"/>
    <x v="1"/>
    <n v="19"/>
    <n v="3"/>
    <n v="2"/>
    <n v="0"/>
    <n v="10"/>
    <n v="5"/>
    <n v="3"/>
    <n v="10"/>
    <n v="7"/>
    <n v="0"/>
    <n v="8"/>
    <x v="2"/>
    <s v="Mid"/>
    <n v="6281.2528616024974"/>
    <s v="Below salary"/>
    <s v="Low Risk"/>
  </r>
  <r>
    <n v="33"/>
    <x v="1"/>
    <s v="Travel_Rarely"/>
    <n v="501"/>
    <x v="1"/>
    <n v="15"/>
    <n v="2"/>
    <s v="Medical"/>
    <n v="2009"/>
    <n v="2"/>
    <x v="0"/>
    <n v="95"/>
    <n v="3"/>
    <n v="2"/>
    <x v="4"/>
    <n v="4"/>
    <s v="Married"/>
    <x v="1313"/>
    <n v="21653"/>
    <n v="0"/>
    <x v="0"/>
    <n v="13"/>
    <n v="3"/>
    <n v="1"/>
    <n v="1"/>
    <n v="10"/>
    <n v="6"/>
    <n v="3"/>
    <n v="9"/>
    <n v="7"/>
    <n v="8"/>
    <n v="1"/>
    <x v="2"/>
    <s v="Mid"/>
    <n v="6281.2528616024974"/>
    <s v="Below salary"/>
    <s v="Medium Risk"/>
  </r>
  <r>
    <n v="32"/>
    <x v="1"/>
    <s v="Travel_Rarely"/>
    <n v="267"/>
    <x v="1"/>
    <n v="29"/>
    <n v="4"/>
    <s v="Life Sciences"/>
    <n v="2010"/>
    <n v="3"/>
    <x v="0"/>
    <n v="49"/>
    <n v="2"/>
    <n v="1"/>
    <x v="2"/>
    <n v="2"/>
    <s v="Single"/>
    <x v="1314"/>
    <n v="15919"/>
    <n v="1"/>
    <x v="1"/>
    <n v="13"/>
    <n v="3"/>
    <n v="3"/>
    <n v="0"/>
    <n v="6"/>
    <n v="3"/>
    <n v="3"/>
    <n v="6"/>
    <n v="2"/>
    <n v="4"/>
    <n v="1"/>
    <x v="2"/>
    <s v="Low"/>
    <n v="6281.2528616024974"/>
    <s v="Below salary"/>
    <s v="Medium Risk"/>
  </r>
  <r>
    <n v="40"/>
    <x v="1"/>
    <s v="Travel_Rarely"/>
    <n v="543"/>
    <x v="1"/>
    <n v="1"/>
    <n v="4"/>
    <s v="Life Sciences"/>
    <n v="2012"/>
    <n v="1"/>
    <x v="1"/>
    <n v="83"/>
    <n v="3"/>
    <n v="1"/>
    <x v="2"/>
    <n v="4"/>
    <s v="Married"/>
    <x v="58"/>
    <n v="4060"/>
    <n v="8"/>
    <x v="1"/>
    <n v="19"/>
    <n v="3"/>
    <n v="3"/>
    <n v="2"/>
    <n v="8"/>
    <n v="3"/>
    <n v="2"/>
    <n v="1"/>
    <n v="0"/>
    <n v="0"/>
    <n v="0"/>
    <x v="0"/>
    <s v="Low"/>
    <n v="6281.2528616024974"/>
    <s v="Below salary"/>
    <s v="Low Risk"/>
  </r>
  <r>
    <n v="32"/>
    <x v="1"/>
    <s v="Travel_Rarely"/>
    <n v="234"/>
    <x v="0"/>
    <n v="1"/>
    <n v="4"/>
    <s v="Medical"/>
    <n v="2013"/>
    <n v="2"/>
    <x v="1"/>
    <n v="68"/>
    <n v="2"/>
    <n v="1"/>
    <x v="6"/>
    <n v="2"/>
    <s v="Married"/>
    <x v="47"/>
    <n v="18024"/>
    <n v="0"/>
    <x v="1"/>
    <n v="14"/>
    <n v="3"/>
    <n v="2"/>
    <n v="1"/>
    <n v="3"/>
    <n v="2"/>
    <n v="3"/>
    <n v="2"/>
    <n v="2"/>
    <n v="2"/>
    <n v="2"/>
    <x v="2"/>
    <s v="Low"/>
    <n v="6959.17264573991"/>
    <s v="Below salary"/>
    <s v="Medium Risk"/>
  </r>
  <r>
    <n v="39"/>
    <x v="1"/>
    <s v="Travel_Rarely"/>
    <n v="116"/>
    <x v="1"/>
    <n v="24"/>
    <n v="1"/>
    <s v="Life Sciences"/>
    <n v="2014"/>
    <n v="1"/>
    <x v="1"/>
    <n v="52"/>
    <n v="3"/>
    <n v="2"/>
    <x v="1"/>
    <n v="4"/>
    <s v="Single"/>
    <x v="1315"/>
    <n v="5340"/>
    <n v="7"/>
    <x v="1"/>
    <n v="13"/>
    <n v="3"/>
    <n v="1"/>
    <n v="0"/>
    <n v="18"/>
    <n v="2"/>
    <n v="3"/>
    <n v="7"/>
    <n v="7"/>
    <n v="1"/>
    <n v="7"/>
    <x v="0"/>
    <s v="Mid"/>
    <n v="6281.2528616024974"/>
    <s v="Below salary"/>
    <s v="Low Risk"/>
  </r>
  <r>
    <n v="38"/>
    <x v="1"/>
    <s v="Travel_Rarely"/>
    <n v="201"/>
    <x v="1"/>
    <n v="10"/>
    <n v="3"/>
    <s v="Medical"/>
    <n v="2015"/>
    <n v="2"/>
    <x v="0"/>
    <n v="99"/>
    <n v="1"/>
    <n v="3"/>
    <x v="7"/>
    <n v="3"/>
    <s v="Married"/>
    <x v="1316"/>
    <n v="3376"/>
    <n v="3"/>
    <x v="1"/>
    <n v="12"/>
    <n v="3"/>
    <n v="1"/>
    <n v="1"/>
    <n v="20"/>
    <n v="3"/>
    <n v="3"/>
    <n v="18"/>
    <n v="16"/>
    <n v="1"/>
    <n v="11"/>
    <x v="0"/>
    <s v="Very High"/>
    <n v="6281.2528616024974"/>
    <s v="Above salary"/>
    <s v="Low Risk"/>
  </r>
  <r>
    <n v="32"/>
    <x v="1"/>
    <s v="Travel_Rarely"/>
    <n v="801"/>
    <x v="0"/>
    <n v="1"/>
    <n v="4"/>
    <s v="Marketing"/>
    <n v="2016"/>
    <n v="3"/>
    <x v="0"/>
    <n v="48"/>
    <n v="3"/>
    <n v="3"/>
    <x v="0"/>
    <n v="4"/>
    <s v="Married"/>
    <x v="1317"/>
    <n v="24032"/>
    <n v="1"/>
    <x v="1"/>
    <n v="19"/>
    <n v="3"/>
    <n v="3"/>
    <n v="2"/>
    <n v="14"/>
    <n v="3"/>
    <n v="3"/>
    <n v="14"/>
    <n v="10"/>
    <n v="5"/>
    <n v="7"/>
    <x v="2"/>
    <s v="High"/>
    <n v="6959.17264573991"/>
    <s v="Above salary"/>
    <s v="Low Risk"/>
  </r>
  <r>
    <n v="37"/>
    <x v="1"/>
    <s v="Travel_Rarely"/>
    <n v="161"/>
    <x v="1"/>
    <n v="10"/>
    <n v="3"/>
    <s v="Life Sciences"/>
    <n v="2017"/>
    <n v="3"/>
    <x v="0"/>
    <n v="42"/>
    <n v="4"/>
    <n v="3"/>
    <x v="7"/>
    <n v="4"/>
    <s v="Married"/>
    <x v="1318"/>
    <n v="15471"/>
    <n v="1"/>
    <x v="0"/>
    <n v="25"/>
    <n v="4"/>
    <n v="1"/>
    <n v="1"/>
    <n v="16"/>
    <n v="2"/>
    <n v="3"/>
    <n v="16"/>
    <n v="11"/>
    <n v="6"/>
    <n v="8"/>
    <x v="0"/>
    <s v="Very High"/>
    <n v="6281.2528616024974"/>
    <s v="Above salary"/>
    <s v="Medium Risk"/>
  </r>
  <r>
    <n v="25"/>
    <x v="1"/>
    <s v="Travel_Rarely"/>
    <n v="1382"/>
    <x v="0"/>
    <n v="8"/>
    <n v="2"/>
    <s v="Other"/>
    <n v="2018"/>
    <n v="1"/>
    <x v="0"/>
    <n v="85"/>
    <n v="3"/>
    <n v="2"/>
    <x v="0"/>
    <n v="3"/>
    <s v="Divorced"/>
    <x v="274"/>
    <n v="13684"/>
    <n v="0"/>
    <x v="0"/>
    <n v="22"/>
    <n v="4"/>
    <n v="2"/>
    <n v="1"/>
    <n v="6"/>
    <n v="3"/>
    <n v="2"/>
    <n v="5"/>
    <n v="3"/>
    <n v="0"/>
    <n v="4"/>
    <x v="3"/>
    <s v="Mid"/>
    <n v="6959.17264573991"/>
    <s v="Below salary"/>
    <s v="Medium Risk"/>
  </r>
  <r>
    <n v="52"/>
    <x v="1"/>
    <s v="Non-Travel"/>
    <n v="585"/>
    <x v="0"/>
    <n v="29"/>
    <n v="4"/>
    <s v="Life Sciences"/>
    <n v="2019"/>
    <n v="1"/>
    <x v="1"/>
    <n v="40"/>
    <n v="3"/>
    <n v="1"/>
    <x v="6"/>
    <n v="4"/>
    <s v="Divorced"/>
    <x v="1319"/>
    <n v="19788"/>
    <n v="2"/>
    <x v="1"/>
    <n v="15"/>
    <n v="3"/>
    <n v="2"/>
    <n v="2"/>
    <n v="16"/>
    <n v="3"/>
    <n v="2"/>
    <n v="9"/>
    <n v="8"/>
    <n v="0"/>
    <n v="0"/>
    <x v="1"/>
    <s v="Mid"/>
    <n v="6959.17264573991"/>
    <s v="Below salary"/>
    <s v="Low Risk"/>
  </r>
  <r>
    <n v="44"/>
    <x v="1"/>
    <s v="Travel_Rarely"/>
    <n v="1037"/>
    <x v="1"/>
    <n v="1"/>
    <n v="3"/>
    <s v="Medical"/>
    <n v="2020"/>
    <n v="2"/>
    <x v="1"/>
    <n v="42"/>
    <n v="3"/>
    <n v="1"/>
    <x v="1"/>
    <n v="4"/>
    <s v="Single"/>
    <x v="230"/>
    <n v="13422"/>
    <n v="6"/>
    <x v="0"/>
    <n v="12"/>
    <n v="3"/>
    <n v="3"/>
    <n v="0"/>
    <n v="6"/>
    <n v="2"/>
    <n v="3"/>
    <n v="4"/>
    <n v="3"/>
    <n v="1"/>
    <n v="2"/>
    <x v="0"/>
    <s v="Low"/>
    <n v="6281.2528616024974"/>
    <s v="Below salary"/>
    <s v="Medium Risk"/>
  </r>
  <r>
    <n v="21"/>
    <x v="1"/>
    <s v="Travel_Rarely"/>
    <n v="501"/>
    <x v="0"/>
    <n v="5"/>
    <n v="1"/>
    <s v="Medical"/>
    <n v="2021"/>
    <n v="3"/>
    <x v="1"/>
    <n v="58"/>
    <n v="3"/>
    <n v="1"/>
    <x v="6"/>
    <n v="1"/>
    <s v="Single"/>
    <x v="631"/>
    <n v="25479"/>
    <n v="1"/>
    <x v="0"/>
    <n v="11"/>
    <n v="3"/>
    <n v="4"/>
    <n v="0"/>
    <n v="2"/>
    <n v="6"/>
    <n v="3"/>
    <n v="2"/>
    <n v="2"/>
    <n v="1"/>
    <n v="2"/>
    <x v="3"/>
    <s v="Low"/>
    <n v="6959.17264573991"/>
    <s v="Below salary"/>
    <s v="High Risk"/>
  </r>
  <r>
    <n v="39"/>
    <x v="1"/>
    <s v="Non-Travel"/>
    <n v="105"/>
    <x v="1"/>
    <n v="9"/>
    <n v="3"/>
    <s v="Life Sciences"/>
    <n v="2022"/>
    <n v="4"/>
    <x v="1"/>
    <n v="87"/>
    <n v="3"/>
    <n v="5"/>
    <x v="5"/>
    <n v="4"/>
    <s v="Single"/>
    <x v="1320"/>
    <n v="15302"/>
    <n v="2"/>
    <x v="1"/>
    <n v="13"/>
    <n v="3"/>
    <n v="3"/>
    <n v="0"/>
    <n v="21"/>
    <n v="3"/>
    <n v="2"/>
    <n v="6"/>
    <n v="0"/>
    <n v="1"/>
    <n v="3"/>
    <x v="0"/>
    <s v="Very High"/>
    <n v="6281.2528616024974"/>
    <s v="Above salary"/>
    <s v="Low Risk"/>
  </r>
  <r>
    <n v="23"/>
    <x v="0"/>
    <s v="Travel_Frequently"/>
    <n v="638"/>
    <x v="0"/>
    <n v="9"/>
    <n v="3"/>
    <s v="Marketing"/>
    <n v="2023"/>
    <n v="4"/>
    <x v="1"/>
    <n v="33"/>
    <n v="3"/>
    <n v="1"/>
    <x v="6"/>
    <n v="1"/>
    <s v="Married"/>
    <x v="1321"/>
    <n v="26956"/>
    <n v="1"/>
    <x v="1"/>
    <n v="19"/>
    <n v="3"/>
    <n v="1"/>
    <n v="1"/>
    <n v="1"/>
    <n v="3"/>
    <n v="2"/>
    <n v="1"/>
    <n v="0"/>
    <n v="1"/>
    <n v="0"/>
    <x v="3"/>
    <s v="Low"/>
    <n v="6959.17264573991"/>
    <s v="Below salary"/>
    <s v="Medium Risk"/>
  </r>
  <r>
    <n v="36"/>
    <x v="1"/>
    <s v="Travel_Rarely"/>
    <n v="557"/>
    <x v="0"/>
    <n v="3"/>
    <n v="3"/>
    <s v="Medical"/>
    <n v="2024"/>
    <n v="1"/>
    <x v="0"/>
    <n v="94"/>
    <n v="2"/>
    <n v="3"/>
    <x v="0"/>
    <n v="4"/>
    <s v="Married"/>
    <x v="1322"/>
    <n v="12695"/>
    <n v="0"/>
    <x v="1"/>
    <n v="19"/>
    <n v="3"/>
    <n v="3"/>
    <n v="2"/>
    <n v="10"/>
    <n v="2"/>
    <n v="3"/>
    <n v="9"/>
    <n v="7"/>
    <n v="3"/>
    <n v="4"/>
    <x v="0"/>
    <s v="High"/>
    <n v="6959.17264573991"/>
    <s v="Above salary"/>
    <s v="Low Risk"/>
  </r>
  <r>
    <n v="36"/>
    <x v="1"/>
    <s v="Travel_Frequently"/>
    <n v="688"/>
    <x v="1"/>
    <n v="4"/>
    <n v="2"/>
    <s v="Life Sciences"/>
    <n v="2025"/>
    <n v="4"/>
    <x v="0"/>
    <n v="97"/>
    <n v="3"/>
    <n v="2"/>
    <x v="3"/>
    <n v="2"/>
    <s v="Divorced"/>
    <x v="1323"/>
    <n v="9192"/>
    <n v="7"/>
    <x v="1"/>
    <n v="13"/>
    <n v="3"/>
    <n v="2"/>
    <n v="3"/>
    <n v="18"/>
    <n v="3"/>
    <n v="3"/>
    <n v="4"/>
    <n v="2"/>
    <n v="0"/>
    <n v="2"/>
    <x v="0"/>
    <s v="Mid"/>
    <n v="6281.2528616024974"/>
    <s v="Below salary"/>
    <s v="Medium Risk"/>
  </r>
  <r>
    <n v="56"/>
    <x v="1"/>
    <s v="Non-Travel"/>
    <n v="667"/>
    <x v="1"/>
    <n v="1"/>
    <n v="4"/>
    <s v="Life Sciences"/>
    <n v="2026"/>
    <n v="3"/>
    <x v="1"/>
    <n v="57"/>
    <n v="3"/>
    <n v="2"/>
    <x v="4"/>
    <n v="3"/>
    <s v="Divorced"/>
    <x v="1324"/>
    <n v="26236"/>
    <n v="1"/>
    <x v="1"/>
    <n v="21"/>
    <n v="4"/>
    <n v="1"/>
    <n v="1"/>
    <n v="13"/>
    <n v="2"/>
    <n v="2"/>
    <n v="13"/>
    <n v="12"/>
    <n v="1"/>
    <n v="9"/>
    <x v="1"/>
    <s v="Mid"/>
    <n v="6281.2528616024974"/>
    <s v="Above salary"/>
    <s v="Low Risk"/>
  </r>
  <r>
    <n v="29"/>
    <x v="0"/>
    <s v="Travel_Rarely"/>
    <n v="1092"/>
    <x v="1"/>
    <n v="1"/>
    <n v="4"/>
    <s v="Medical"/>
    <n v="2027"/>
    <n v="1"/>
    <x v="1"/>
    <n v="36"/>
    <n v="3"/>
    <n v="1"/>
    <x v="1"/>
    <n v="4"/>
    <s v="Married"/>
    <x v="1325"/>
    <n v="26124"/>
    <n v="9"/>
    <x v="0"/>
    <n v="14"/>
    <n v="3"/>
    <n v="2"/>
    <n v="3"/>
    <n v="4"/>
    <n v="3"/>
    <n v="4"/>
    <n v="2"/>
    <n v="2"/>
    <n v="2"/>
    <n v="2"/>
    <x v="2"/>
    <s v="Mid"/>
    <n v="6281.2528616024974"/>
    <s v="Below salary"/>
    <s v="Medium Risk"/>
  </r>
  <r>
    <n v="42"/>
    <x v="1"/>
    <s v="Travel_Rarely"/>
    <n v="300"/>
    <x v="1"/>
    <n v="2"/>
    <n v="3"/>
    <s v="Life Sciences"/>
    <n v="2031"/>
    <n v="1"/>
    <x v="1"/>
    <n v="56"/>
    <n v="3"/>
    <n v="5"/>
    <x v="5"/>
    <n v="3"/>
    <s v="Married"/>
    <x v="1326"/>
    <n v="17312"/>
    <n v="5"/>
    <x v="1"/>
    <n v="11"/>
    <n v="3"/>
    <n v="1"/>
    <n v="0"/>
    <n v="24"/>
    <n v="2"/>
    <n v="2"/>
    <n v="22"/>
    <n v="6"/>
    <n v="4"/>
    <n v="14"/>
    <x v="0"/>
    <s v="Very High"/>
    <n v="6281.2528616024974"/>
    <s v="Above salary"/>
    <s v="Low Risk"/>
  </r>
  <r>
    <n v="56"/>
    <x v="0"/>
    <s v="Travel_Rarely"/>
    <n v="310"/>
    <x v="1"/>
    <n v="7"/>
    <n v="2"/>
    <s v="Technical Degree"/>
    <n v="2032"/>
    <n v="4"/>
    <x v="1"/>
    <n v="72"/>
    <n v="3"/>
    <n v="1"/>
    <x v="2"/>
    <n v="3"/>
    <s v="Married"/>
    <x v="1327"/>
    <n v="3666"/>
    <n v="8"/>
    <x v="1"/>
    <n v="11"/>
    <n v="3"/>
    <n v="4"/>
    <n v="1"/>
    <n v="14"/>
    <n v="4"/>
    <n v="1"/>
    <n v="10"/>
    <n v="9"/>
    <n v="9"/>
    <n v="8"/>
    <x v="1"/>
    <s v="Low"/>
    <n v="6281.2528616024974"/>
    <s v="Below salary"/>
    <s v="Low Risk"/>
  </r>
  <r>
    <n v="41"/>
    <x v="1"/>
    <s v="Travel_Rarely"/>
    <n v="582"/>
    <x v="1"/>
    <n v="28"/>
    <n v="4"/>
    <s v="Life Sciences"/>
    <n v="2034"/>
    <n v="1"/>
    <x v="0"/>
    <n v="60"/>
    <n v="2"/>
    <n v="4"/>
    <x v="3"/>
    <n v="2"/>
    <s v="Married"/>
    <x v="1328"/>
    <n v="5640"/>
    <n v="0"/>
    <x v="1"/>
    <n v="23"/>
    <n v="4"/>
    <n v="3"/>
    <n v="1"/>
    <n v="21"/>
    <n v="3"/>
    <n v="3"/>
    <n v="20"/>
    <n v="7"/>
    <n v="0"/>
    <n v="10"/>
    <x v="0"/>
    <s v="Very High"/>
    <n v="6281.2528616024974"/>
    <s v="Above salary"/>
    <s v="Medium Risk"/>
  </r>
  <r>
    <n v="34"/>
    <x v="1"/>
    <s v="Travel_Rarely"/>
    <n v="704"/>
    <x v="0"/>
    <n v="28"/>
    <n v="3"/>
    <s v="Marketing"/>
    <n v="2035"/>
    <n v="4"/>
    <x v="0"/>
    <n v="95"/>
    <n v="2"/>
    <n v="2"/>
    <x v="0"/>
    <n v="3"/>
    <s v="Married"/>
    <x v="1329"/>
    <n v="8978"/>
    <n v="1"/>
    <x v="1"/>
    <n v="21"/>
    <n v="4"/>
    <n v="4"/>
    <n v="2"/>
    <n v="8"/>
    <n v="2"/>
    <n v="3"/>
    <n v="8"/>
    <n v="7"/>
    <n v="1"/>
    <n v="7"/>
    <x v="2"/>
    <s v="Mid"/>
    <n v="6959.17264573991"/>
    <s v="Below salary"/>
    <s v="Low Risk"/>
  </r>
  <r>
    <n v="36"/>
    <x v="1"/>
    <s v="Non-Travel"/>
    <n v="301"/>
    <x v="0"/>
    <n v="15"/>
    <n v="4"/>
    <s v="Marketing"/>
    <n v="2036"/>
    <n v="4"/>
    <x v="1"/>
    <n v="88"/>
    <n v="1"/>
    <n v="2"/>
    <x v="0"/>
    <n v="4"/>
    <s v="Divorced"/>
    <x v="1330"/>
    <n v="10436"/>
    <n v="1"/>
    <x v="1"/>
    <n v="24"/>
    <n v="4"/>
    <n v="1"/>
    <n v="1"/>
    <n v="15"/>
    <n v="4"/>
    <n v="2"/>
    <n v="15"/>
    <n v="12"/>
    <n v="11"/>
    <n v="11"/>
    <x v="0"/>
    <s v="Mid"/>
    <n v="6959.17264573991"/>
    <s v="Below salary"/>
    <s v="Low Risk"/>
  </r>
  <r>
    <n v="41"/>
    <x v="1"/>
    <s v="Travel_Rarely"/>
    <n v="930"/>
    <x v="0"/>
    <n v="3"/>
    <n v="3"/>
    <s v="Life Sciences"/>
    <n v="2037"/>
    <n v="3"/>
    <x v="1"/>
    <n v="57"/>
    <n v="2"/>
    <n v="2"/>
    <x v="0"/>
    <n v="2"/>
    <s v="Divorced"/>
    <x v="1331"/>
    <n v="12227"/>
    <n v="2"/>
    <x v="1"/>
    <n v="11"/>
    <n v="3"/>
    <n v="3"/>
    <n v="1"/>
    <n v="14"/>
    <n v="5"/>
    <n v="3"/>
    <n v="5"/>
    <n v="4"/>
    <n v="0"/>
    <n v="4"/>
    <x v="0"/>
    <s v="High"/>
    <n v="6959.17264573991"/>
    <s v="Above salary"/>
    <s v="Medium Risk"/>
  </r>
  <r>
    <n v="32"/>
    <x v="1"/>
    <s v="Travel_Rarely"/>
    <n v="529"/>
    <x v="1"/>
    <n v="2"/>
    <n v="3"/>
    <s v="Technical Degree"/>
    <n v="2038"/>
    <n v="4"/>
    <x v="1"/>
    <n v="78"/>
    <n v="3"/>
    <n v="1"/>
    <x v="1"/>
    <n v="1"/>
    <s v="Single"/>
    <x v="1234"/>
    <n v="11288"/>
    <n v="1"/>
    <x v="1"/>
    <n v="14"/>
    <n v="3"/>
    <n v="4"/>
    <n v="0"/>
    <n v="4"/>
    <n v="4"/>
    <n v="3"/>
    <n v="4"/>
    <n v="2"/>
    <n v="1"/>
    <n v="2"/>
    <x v="2"/>
    <s v="Low"/>
    <n v="6281.2528616024974"/>
    <s v="Below salary"/>
    <s v="Medium Risk"/>
  </r>
  <r>
    <n v="35"/>
    <x v="1"/>
    <s v="Travel_Rarely"/>
    <n v="1146"/>
    <x v="2"/>
    <n v="26"/>
    <n v="4"/>
    <s v="Life Sciences"/>
    <n v="2040"/>
    <n v="3"/>
    <x v="0"/>
    <n v="31"/>
    <n v="3"/>
    <n v="3"/>
    <x v="8"/>
    <n v="4"/>
    <s v="Single"/>
    <x v="1332"/>
    <n v="16642"/>
    <n v="1"/>
    <x v="0"/>
    <n v="16"/>
    <n v="3"/>
    <n v="3"/>
    <n v="0"/>
    <n v="9"/>
    <n v="2"/>
    <n v="3"/>
    <n v="9"/>
    <n v="0"/>
    <n v="1"/>
    <n v="7"/>
    <x v="2"/>
    <s v="High"/>
    <n v="6654.5079365079364"/>
    <s v="Above salary"/>
    <s v="Medium Risk"/>
  </r>
  <r>
    <n v="38"/>
    <x v="1"/>
    <s v="Travel_Rarely"/>
    <n v="345"/>
    <x v="0"/>
    <n v="10"/>
    <n v="2"/>
    <s v="Life Sciences"/>
    <n v="2041"/>
    <n v="1"/>
    <x v="0"/>
    <n v="100"/>
    <n v="3"/>
    <n v="2"/>
    <x v="0"/>
    <n v="4"/>
    <s v="Married"/>
    <x v="798"/>
    <n v="5982"/>
    <n v="1"/>
    <x v="1"/>
    <n v="11"/>
    <n v="3"/>
    <n v="3"/>
    <n v="1"/>
    <n v="10"/>
    <n v="1"/>
    <n v="3"/>
    <n v="10"/>
    <n v="7"/>
    <n v="1"/>
    <n v="9"/>
    <x v="0"/>
    <s v="Mid"/>
    <n v="6959.17264573991"/>
    <s v="Below salary"/>
    <s v="Low Risk"/>
  </r>
  <r>
    <n v="50"/>
    <x v="0"/>
    <s v="Travel_Frequently"/>
    <n v="878"/>
    <x v="0"/>
    <n v="1"/>
    <n v="4"/>
    <s v="Life Sciences"/>
    <n v="2044"/>
    <n v="2"/>
    <x v="1"/>
    <n v="94"/>
    <n v="3"/>
    <n v="2"/>
    <x v="0"/>
    <n v="3"/>
    <s v="Divorced"/>
    <x v="1333"/>
    <n v="14255"/>
    <n v="7"/>
    <x v="1"/>
    <n v="12"/>
    <n v="3"/>
    <n v="4"/>
    <n v="2"/>
    <n v="12"/>
    <n v="3"/>
    <n v="3"/>
    <n v="6"/>
    <n v="3"/>
    <n v="0"/>
    <n v="1"/>
    <x v="1"/>
    <s v="Mid"/>
    <n v="6959.17264573991"/>
    <s v="Below salary"/>
    <s v="Low Risk"/>
  </r>
  <r>
    <n v="36"/>
    <x v="1"/>
    <s v="Travel_Rarely"/>
    <n v="1120"/>
    <x v="0"/>
    <n v="11"/>
    <n v="4"/>
    <s v="Marketing"/>
    <n v="2045"/>
    <n v="2"/>
    <x v="0"/>
    <n v="100"/>
    <n v="2"/>
    <n v="2"/>
    <x v="0"/>
    <n v="4"/>
    <s v="Married"/>
    <x v="1334"/>
    <n v="14369"/>
    <n v="4"/>
    <x v="1"/>
    <n v="13"/>
    <n v="3"/>
    <n v="1"/>
    <n v="1"/>
    <n v="8"/>
    <n v="2"/>
    <n v="2"/>
    <n v="6"/>
    <n v="3"/>
    <n v="0"/>
    <n v="0"/>
    <x v="0"/>
    <s v="Mid"/>
    <n v="6959.17264573991"/>
    <s v="Below salary"/>
    <s v="Low Risk"/>
  </r>
  <r>
    <n v="45"/>
    <x v="1"/>
    <s v="Travel_Rarely"/>
    <n v="374"/>
    <x v="0"/>
    <n v="20"/>
    <n v="3"/>
    <s v="Life Sciences"/>
    <n v="2046"/>
    <n v="4"/>
    <x v="0"/>
    <n v="50"/>
    <n v="3"/>
    <n v="2"/>
    <x v="0"/>
    <n v="3"/>
    <s v="Single"/>
    <x v="1335"/>
    <n v="23333"/>
    <n v="8"/>
    <x v="1"/>
    <n v="15"/>
    <n v="3"/>
    <n v="3"/>
    <n v="0"/>
    <n v="8"/>
    <n v="3"/>
    <n v="3"/>
    <n v="5"/>
    <n v="3"/>
    <n v="0"/>
    <n v="1"/>
    <x v="0"/>
    <s v="Mid"/>
    <n v="6959.17264573991"/>
    <s v="Below salary"/>
    <s v="Low Risk"/>
  </r>
  <r>
    <n v="40"/>
    <x v="1"/>
    <s v="Travel_Rarely"/>
    <n v="1322"/>
    <x v="1"/>
    <n v="2"/>
    <n v="4"/>
    <s v="Life Sciences"/>
    <n v="2048"/>
    <n v="3"/>
    <x v="1"/>
    <n v="52"/>
    <n v="2"/>
    <n v="1"/>
    <x v="1"/>
    <n v="3"/>
    <s v="Single"/>
    <x v="1336"/>
    <n v="2725"/>
    <n v="2"/>
    <x v="1"/>
    <n v="14"/>
    <n v="3"/>
    <n v="4"/>
    <n v="0"/>
    <n v="8"/>
    <n v="2"/>
    <n v="3"/>
    <n v="2"/>
    <n v="2"/>
    <n v="2"/>
    <n v="2"/>
    <x v="0"/>
    <s v="Low"/>
    <n v="6281.2528616024974"/>
    <s v="Below salary"/>
    <s v="Low Risk"/>
  </r>
  <r>
    <n v="35"/>
    <x v="1"/>
    <s v="Travel_Frequently"/>
    <n v="1199"/>
    <x v="1"/>
    <n v="18"/>
    <n v="4"/>
    <s v="Life Sciences"/>
    <n v="2049"/>
    <n v="3"/>
    <x v="1"/>
    <n v="80"/>
    <n v="3"/>
    <n v="2"/>
    <x v="4"/>
    <n v="3"/>
    <s v="Married"/>
    <x v="1337"/>
    <n v="24594"/>
    <n v="1"/>
    <x v="0"/>
    <n v="14"/>
    <n v="3"/>
    <n v="4"/>
    <n v="2"/>
    <n v="10"/>
    <n v="2"/>
    <n v="4"/>
    <n v="10"/>
    <n v="2"/>
    <n v="0"/>
    <n v="2"/>
    <x v="2"/>
    <s v="Mid"/>
    <n v="6281.2528616024974"/>
    <s v="Below salary"/>
    <s v="Medium Risk"/>
  </r>
  <r>
    <n v="40"/>
    <x v="1"/>
    <s v="Travel_Rarely"/>
    <n v="1194"/>
    <x v="1"/>
    <n v="2"/>
    <n v="4"/>
    <s v="Medical"/>
    <n v="2051"/>
    <n v="3"/>
    <x v="0"/>
    <n v="98"/>
    <n v="3"/>
    <n v="1"/>
    <x v="1"/>
    <n v="3"/>
    <s v="Married"/>
    <x v="1338"/>
    <n v="12549"/>
    <n v="2"/>
    <x v="1"/>
    <n v="14"/>
    <n v="3"/>
    <n v="2"/>
    <n v="3"/>
    <n v="20"/>
    <n v="2"/>
    <n v="3"/>
    <n v="5"/>
    <n v="3"/>
    <n v="0"/>
    <n v="2"/>
    <x v="0"/>
    <s v="Low"/>
    <n v="6281.2528616024974"/>
    <s v="Below salary"/>
    <s v="Low Risk"/>
  </r>
  <r>
    <n v="35"/>
    <x v="1"/>
    <s v="Travel_Rarely"/>
    <n v="287"/>
    <x v="1"/>
    <n v="1"/>
    <n v="4"/>
    <s v="Life Sciences"/>
    <n v="2052"/>
    <n v="3"/>
    <x v="0"/>
    <n v="62"/>
    <n v="1"/>
    <n v="1"/>
    <x v="1"/>
    <n v="4"/>
    <s v="Married"/>
    <x v="1339"/>
    <n v="8952"/>
    <n v="1"/>
    <x v="1"/>
    <n v="12"/>
    <n v="3"/>
    <n v="4"/>
    <n v="1"/>
    <n v="4"/>
    <n v="5"/>
    <n v="3"/>
    <n v="4"/>
    <n v="3"/>
    <n v="1"/>
    <n v="1"/>
    <x v="2"/>
    <s v="Low"/>
    <n v="6281.2528616024974"/>
    <s v="Below salary"/>
    <s v="Low Risk"/>
  </r>
  <r>
    <n v="29"/>
    <x v="1"/>
    <s v="Travel_Rarely"/>
    <n v="1378"/>
    <x v="1"/>
    <n v="13"/>
    <n v="2"/>
    <s v="Other"/>
    <n v="2053"/>
    <n v="4"/>
    <x v="1"/>
    <n v="46"/>
    <n v="2"/>
    <n v="2"/>
    <x v="2"/>
    <n v="2"/>
    <s v="Married"/>
    <x v="717"/>
    <n v="23679"/>
    <n v="4"/>
    <x v="0"/>
    <n v="13"/>
    <n v="3"/>
    <n v="1"/>
    <n v="1"/>
    <n v="10"/>
    <n v="2"/>
    <n v="3"/>
    <n v="4"/>
    <n v="3"/>
    <n v="0"/>
    <n v="3"/>
    <x v="2"/>
    <s v="Mid"/>
    <n v="6281.2528616024974"/>
    <s v="Below salary"/>
    <s v="High Risk"/>
  </r>
  <r>
    <n v="29"/>
    <x v="1"/>
    <s v="Travel_Rarely"/>
    <n v="468"/>
    <x v="1"/>
    <n v="28"/>
    <n v="4"/>
    <s v="Medical"/>
    <n v="2054"/>
    <n v="4"/>
    <x v="0"/>
    <n v="73"/>
    <n v="2"/>
    <n v="1"/>
    <x v="1"/>
    <n v="1"/>
    <s v="Single"/>
    <x v="1340"/>
    <n v="8489"/>
    <n v="1"/>
    <x v="1"/>
    <n v="14"/>
    <n v="3"/>
    <n v="2"/>
    <n v="0"/>
    <n v="5"/>
    <n v="3"/>
    <n v="1"/>
    <n v="5"/>
    <n v="4"/>
    <n v="0"/>
    <n v="4"/>
    <x v="2"/>
    <s v="Mid"/>
    <n v="6281.2528616024974"/>
    <s v="Below salary"/>
    <s v="Medium Risk"/>
  </r>
  <r>
    <n v="50"/>
    <x v="0"/>
    <s v="Travel_Rarely"/>
    <n v="410"/>
    <x v="0"/>
    <n v="28"/>
    <n v="3"/>
    <s v="Marketing"/>
    <n v="2055"/>
    <n v="4"/>
    <x v="1"/>
    <n v="39"/>
    <n v="2"/>
    <n v="3"/>
    <x v="0"/>
    <n v="1"/>
    <s v="Divorced"/>
    <x v="1341"/>
    <n v="16586"/>
    <n v="4"/>
    <x v="0"/>
    <n v="13"/>
    <n v="3"/>
    <n v="2"/>
    <n v="1"/>
    <n v="20"/>
    <n v="3"/>
    <n v="3"/>
    <n v="3"/>
    <n v="2"/>
    <n v="2"/>
    <n v="0"/>
    <x v="1"/>
    <s v="High"/>
    <n v="6959.17264573991"/>
    <s v="Above salary"/>
    <s v="High Risk"/>
  </r>
  <r>
    <n v="39"/>
    <x v="1"/>
    <s v="Travel_Rarely"/>
    <n v="722"/>
    <x v="0"/>
    <n v="24"/>
    <n v="1"/>
    <s v="Marketing"/>
    <n v="2056"/>
    <n v="2"/>
    <x v="0"/>
    <n v="60"/>
    <n v="2"/>
    <n v="4"/>
    <x v="0"/>
    <n v="4"/>
    <s v="Married"/>
    <x v="1342"/>
    <n v="8828"/>
    <n v="0"/>
    <x v="1"/>
    <n v="11"/>
    <n v="3"/>
    <n v="1"/>
    <n v="1"/>
    <n v="21"/>
    <n v="2"/>
    <n v="2"/>
    <n v="20"/>
    <n v="9"/>
    <n v="9"/>
    <n v="6"/>
    <x v="0"/>
    <s v="Very High"/>
    <n v="6959.17264573991"/>
    <s v="Above salary"/>
    <s v="Low Risk"/>
  </r>
  <r>
    <n v="31"/>
    <x v="1"/>
    <s v="Non-Travel"/>
    <n v="325"/>
    <x v="1"/>
    <n v="5"/>
    <n v="3"/>
    <s v="Medical"/>
    <n v="2057"/>
    <n v="2"/>
    <x v="1"/>
    <n v="74"/>
    <n v="3"/>
    <n v="2"/>
    <x v="3"/>
    <n v="1"/>
    <s v="Single"/>
    <x v="1343"/>
    <n v="3787"/>
    <n v="0"/>
    <x v="1"/>
    <n v="19"/>
    <n v="3"/>
    <n v="2"/>
    <n v="0"/>
    <n v="10"/>
    <n v="2"/>
    <n v="3"/>
    <n v="9"/>
    <n v="4"/>
    <n v="1"/>
    <n v="7"/>
    <x v="2"/>
    <s v="High"/>
    <n v="6281.2528616024974"/>
    <s v="Above salary"/>
    <s v="Medium Risk"/>
  </r>
  <r>
    <n v="26"/>
    <x v="1"/>
    <s v="Travel_Rarely"/>
    <n v="1167"/>
    <x v="0"/>
    <n v="5"/>
    <n v="3"/>
    <s v="Other"/>
    <n v="2060"/>
    <n v="4"/>
    <x v="0"/>
    <n v="30"/>
    <n v="2"/>
    <n v="1"/>
    <x v="6"/>
    <n v="3"/>
    <s v="Single"/>
    <x v="1344"/>
    <n v="21378"/>
    <n v="0"/>
    <x v="1"/>
    <n v="18"/>
    <n v="3"/>
    <n v="4"/>
    <n v="0"/>
    <n v="5"/>
    <n v="2"/>
    <n v="3"/>
    <n v="4"/>
    <n v="2"/>
    <n v="0"/>
    <n v="0"/>
    <x v="2"/>
    <s v="Low"/>
    <n v="6959.17264573991"/>
    <s v="Below salary"/>
    <s v="Low Risk"/>
  </r>
  <r>
    <n v="36"/>
    <x v="1"/>
    <s v="Travel_Frequently"/>
    <n v="884"/>
    <x v="1"/>
    <n v="23"/>
    <n v="2"/>
    <s v="Medical"/>
    <n v="2061"/>
    <n v="3"/>
    <x v="1"/>
    <n v="41"/>
    <n v="4"/>
    <n v="2"/>
    <x v="2"/>
    <n v="4"/>
    <s v="Married"/>
    <x v="1345"/>
    <n v="12290"/>
    <n v="4"/>
    <x v="1"/>
    <n v="17"/>
    <n v="3"/>
    <n v="3"/>
    <n v="1"/>
    <n v="17"/>
    <n v="3"/>
    <n v="3"/>
    <n v="5"/>
    <n v="2"/>
    <n v="0"/>
    <n v="3"/>
    <x v="0"/>
    <s v="Low"/>
    <n v="6281.2528616024974"/>
    <s v="Below salary"/>
    <s v="Low Risk"/>
  </r>
  <r>
    <n v="39"/>
    <x v="1"/>
    <s v="Travel_Rarely"/>
    <n v="613"/>
    <x v="1"/>
    <n v="6"/>
    <n v="1"/>
    <s v="Medical"/>
    <n v="2062"/>
    <n v="4"/>
    <x v="1"/>
    <n v="42"/>
    <n v="2"/>
    <n v="3"/>
    <x v="4"/>
    <n v="1"/>
    <s v="Married"/>
    <x v="1346"/>
    <n v="21457"/>
    <n v="4"/>
    <x v="1"/>
    <n v="15"/>
    <n v="3"/>
    <n v="1"/>
    <n v="1"/>
    <n v="9"/>
    <n v="5"/>
    <n v="3"/>
    <n v="7"/>
    <n v="7"/>
    <n v="1"/>
    <n v="7"/>
    <x v="0"/>
    <s v="High"/>
    <n v="6281.2528616024974"/>
    <s v="Above salary"/>
    <s v="Medium Risk"/>
  </r>
  <r>
    <n v="27"/>
    <x v="1"/>
    <s v="Travel_Rarely"/>
    <n v="155"/>
    <x v="1"/>
    <n v="4"/>
    <n v="3"/>
    <s v="Life Sciences"/>
    <n v="2064"/>
    <n v="2"/>
    <x v="1"/>
    <n v="87"/>
    <n v="4"/>
    <n v="2"/>
    <x v="3"/>
    <n v="2"/>
    <s v="Married"/>
    <x v="528"/>
    <n v="5174"/>
    <n v="1"/>
    <x v="0"/>
    <n v="20"/>
    <n v="4"/>
    <n v="2"/>
    <n v="1"/>
    <n v="6"/>
    <n v="0"/>
    <n v="3"/>
    <n v="6"/>
    <n v="2"/>
    <n v="0"/>
    <n v="3"/>
    <x v="2"/>
    <s v="Mid"/>
    <n v="6281.2528616024974"/>
    <s v="Below salary"/>
    <s v="High Risk"/>
  </r>
  <r>
    <n v="49"/>
    <x v="1"/>
    <s v="Travel_Frequently"/>
    <n v="1023"/>
    <x v="0"/>
    <n v="2"/>
    <n v="3"/>
    <s v="Medical"/>
    <n v="2065"/>
    <n v="4"/>
    <x v="1"/>
    <n v="63"/>
    <n v="2"/>
    <n v="2"/>
    <x v="0"/>
    <n v="2"/>
    <s v="Married"/>
    <x v="1347"/>
    <n v="13243"/>
    <n v="2"/>
    <x v="1"/>
    <n v="14"/>
    <n v="3"/>
    <n v="4"/>
    <n v="0"/>
    <n v="17"/>
    <n v="3"/>
    <n v="2"/>
    <n v="9"/>
    <n v="6"/>
    <n v="0"/>
    <n v="8"/>
    <x v="1"/>
    <s v="Mid"/>
    <n v="6959.17264573991"/>
    <s v="Below salary"/>
    <s v="Medium Risk"/>
  </r>
  <r>
    <n v="34"/>
    <x v="1"/>
    <s v="Travel_Rarely"/>
    <n v="628"/>
    <x v="1"/>
    <n v="8"/>
    <n v="3"/>
    <s v="Medical"/>
    <n v="2068"/>
    <n v="2"/>
    <x v="1"/>
    <n v="82"/>
    <n v="4"/>
    <n v="2"/>
    <x v="2"/>
    <n v="3"/>
    <s v="Married"/>
    <x v="1348"/>
    <n v="10228"/>
    <n v="2"/>
    <x v="1"/>
    <n v="12"/>
    <n v="3"/>
    <n v="1"/>
    <n v="0"/>
    <n v="6"/>
    <n v="3"/>
    <n v="4"/>
    <n v="4"/>
    <n v="3"/>
    <n v="1"/>
    <n v="2"/>
    <x v="2"/>
    <s v="Mid"/>
    <n v="6281.2528616024974"/>
    <s v="Below salary"/>
    <s v="Low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BA8A4-2618-436C-90C0-4748A255D4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epartment" colHeaderCaption="Gender">
  <location ref="A3:D8" firstHeaderRow="1" firstDataRow="2" firstDataCol="1" rowPageCount="1" colPageCount="1"/>
  <pivotFields count="37">
    <pivotField showAll="0"/>
    <pivotField axis="axisPage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pageFields count="1">
    <pageField fld="1" item="1" hier="-1"/>
  </pageFields>
  <dataFields count="1">
    <dataField name="Count of Attrition" fld="1" subtotal="count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755E1-25DE-46B9-8A16-307340B3780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JobRole">
  <location ref="A3:B13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5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</pivotFields>
  <rowFields count="1">
    <field x="14"/>
  </rowFields>
  <rowItems count="10">
    <i>
      <x v="3"/>
    </i>
    <i>
      <x v="5"/>
    </i>
    <i>
      <x/>
    </i>
    <i>
      <x v="4"/>
    </i>
    <i>
      <x v="7"/>
    </i>
    <i>
      <x v="1"/>
    </i>
    <i>
      <x v="6"/>
    </i>
    <i>
      <x v="2"/>
    </i>
    <i>
      <x v="8"/>
    </i>
    <i t="grand">
      <x/>
    </i>
  </rowItems>
  <colItems count="1">
    <i/>
  </colItems>
  <dataFields count="1">
    <dataField name="Average of MonthlyIncome" fld="17" subtotal="average" baseField="14" baseItem="0" numFmtId="165"/>
  </dataField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2154E-1692-47A9-8C89-15E56A8A67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Over Time" colHeaderCaption="Attrition">
  <location ref="A3:D7" firstHeaderRow="1" firstDataRow="2" firstDataCol="1"/>
  <pivotFields count="37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Row" showAll="0">
      <items count="3">
        <item x="1"/>
        <item x="0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showDataAs="percentOfRow" baseField="20" baseItem="0" numFmtId="1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11932-B0BA-4EC6-8876-79382BA06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numFmtId="164" showAll="0"/>
    <pivotField showAll="0"/>
    <pivotField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JobSatisfaction" fld="15" subtotal="average" baseField="32" baseItem="0" numFmtId="2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C8894-1E96-4C62-BEDE-FBB62AAD4B2C}" name="Table1" displayName="Table1" ref="A1:AI1471" totalsRowShown="0">
  <autoFilter ref="A1:AI1471" xr:uid="{8ADC8894-1E96-4C62-BEDE-FBB62AAD4B2C}"/>
  <tableColumns count="35">
    <tableColumn id="1" xr3:uid="{107F393F-6CB1-4662-A994-0B1E26916B5F}" name="Age"/>
    <tableColumn id="2" xr3:uid="{B595AB07-38F5-47F9-BF8E-3A5CC9B7B2BD}" name="Attrition"/>
    <tableColumn id="3" xr3:uid="{C3CD7573-C6E9-4CE6-ABF6-5DF1CC2D6A70}" name="BusinessTravel"/>
    <tableColumn id="4" xr3:uid="{679C74BB-C442-462B-9AEA-53513A756F2C}" name="DailyRate"/>
    <tableColumn id="5" xr3:uid="{7794878B-336F-44FE-B564-073B1A63393B}" name="Department"/>
    <tableColumn id="6" xr3:uid="{29045373-4C01-4B6D-847A-AE0C8858B2CF}" name="DistanceFromHome"/>
    <tableColumn id="7" xr3:uid="{D674CE28-01A2-4523-A650-D788B8785557}" name="Education"/>
    <tableColumn id="8" xr3:uid="{773E0ADD-536D-4E18-B3C6-32FC0F5759A2}" name="EducationField"/>
    <tableColumn id="9" xr3:uid="{634A76FE-7E88-4622-8C4C-02173D8BE1D6}" name="EmployeeCount"/>
    <tableColumn id="10" xr3:uid="{676A160C-AA94-437E-9DEC-5FF1D27DA148}" name="EmployeeNumber"/>
    <tableColumn id="11" xr3:uid="{AE0F5CAA-717F-452A-8E70-8EA525338C0E}" name="EnvironmentSatisfaction"/>
    <tableColumn id="12" xr3:uid="{0C2DD3F2-CC72-479C-90D4-08AC98421386}" name="Gender"/>
    <tableColumn id="13" xr3:uid="{E1CF872D-9F21-42D2-986C-972F50549D41}" name="HourlyRate"/>
    <tableColumn id="14" xr3:uid="{293BE8A5-7714-48E6-A660-822E60A5F400}" name="JobInvolvement"/>
    <tableColumn id="15" xr3:uid="{790CEBF7-8CAA-4C98-AD4E-8399032ED489}" name="JobLevel"/>
    <tableColumn id="16" xr3:uid="{AF9E62FC-56DC-452C-89AC-CD0E5726E176}" name="JobRole"/>
    <tableColumn id="17" xr3:uid="{74C91FC0-8037-43C7-B885-F82F4ED22309}" name="JobSatisfaction"/>
    <tableColumn id="18" xr3:uid="{D0293094-2EFA-4A43-B369-450762EE18EC}" name="MaritalStatus"/>
    <tableColumn id="19" xr3:uid="{9E1F97AB-ECAF-4E20-BFD9-AFB45C6B22B9}" name="MonthlyIncome"/>
    <tableColumn id="20" xr3:uid="{9B44CF82-7CDC-403C-AA70-2DAB2C91E6E9}" name="MonthlyRate"/>
    <tableColumn id="21" xr3:uid="{1E31E639-13E8-4E39-8A05-08EB3F0C55E5}" name="NumCompaniesWorked"/>
    <tableColumn id="22" xr3:uid="{1DEF452E-287F-47C4-8EA4-BDCE48E24CC5}" name="Over18"/>
    <tableColumn id="23" xr3:uid="{999BC903-1BEA-4377-81A0-6D2EEF24F1A8}" name="OverTime"/>
    <tableColumn id="24" xr3:uid="{D0321014-D972-4C9E-A352-8CAA82F87EAA}" name="PercentSalaryHike"/>
    <tableColumn id="25" xr3:uid="{419E2D06-BA2F-4F14-A20F-8FE76BD7332F}" name="PerformanceRating"/>
    <tableColumn id="26" xr3:uid="{E47D475C-7D5A-4EA2-9A3D-C27AF564B288}" name="RelationshipSatisfaction"/>
    <tableColumn id="27" xr3:uid="{0E0A045C-F4D5-4364-8982-3E39B5512510}" name="StandardHours"/>
    <tableColumn id="28" xr3:uid="{B72A37AA-D082-42F5-9F0A-6342C18DC1E6}" name="StockOptionLevel"/>
    <tableColumn id="29" xr3:uid="{738F3A5E-A665-48D3-8D24-7317D3F555BE}" name="TotalWorkingYears"/>
    <tableColumn id="30" xr3:uid="{DD1E3FC0-5A9A-475F-B84A-A32833E8058C}" name="TrainingTimesLastYear"/>
    <tableColumn id="31" xr3:uid="{5E8E4DB9-5F5D-4916-9D67-CDEC0FEC883F}" name="WorkLifeBalance"/>
    <tableColumn id="32" xr3:uid="{216E7FCC-B0D7-4C42-99D2-73F3E58C3FDA}" name="YearsAtCompany"/>
    <tableColumn id="33" xr3:uid="{2472F9EB-D778-48FB-B170-8EDCD43C7D71}" name="YearsInCurrentRole"/>
    <tableColumn id="34" xr3:uid="{98EDF737-39A1-4344-8CA7-ED2AA3FD2C84}" name="YearsSinceLastPromotion"/>
    <tableColumn id="35" xr3:uid="{51CCF97F-4239-48D5-9DE0-14ACEB94CD14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B921ED-D252-4BF4-906F-D411F130E2ED}" name="Table13" displayName="Table13" ref="A1:AK1471" totalsRowShown="0">
  <autoFilter ref="A1:AK1471" xr:uid="{88B921ED-D252-4BF4-906F-D411F130E2ED}"/>
  <tableColumns count="37">
    <tableColumn id="1" xr3:uid="{2EB01C40-3D27-48C2-8AE0-8887868B9E44}" name="Age"/>
    <tableColumn id="2" xr3:uid="{A432E0DA-4843-4816-8246-0F2FA9F86F68}" name="Attrition"/>
    <tableColumn id="3" xr3:uid="{8D46DE61-7A51-4925-BD52-605AF03381E3}" name="BusinessTravel"/>
    <tableColumn id="4" xr3:uid="{E925792F-5649-42A9-AB49-CDE2511F76B7}" name="DailyRate"/>
    <tableColumn id="5" xr3:uid="{B8A1D5B7-9CEF-4293-98BF-E82C883FF4A7}" name="Department"/>
    <tableColumn id="6" xr3:uid="{22BB4CE4-8858-4EBA-B101-BF63A37E72DF}" name="DistanceFromHome"/>
    <tableColumn id="7" xr3:uid="{55224D78-19F7-4B40-9B38-0F32A42EE2E0}" name="Education"/>
    <tableColumn id="8" xr3:uid="{513E9F98-F8A2-497C-B9DB-93DD3B5FFDED}" name="EducationField"/>
    <tableColumn id="10" xr3:uid="{B2145427-C886-440E-B859-0BDB16DAFE99}" name="EmployeeNumber"/>
    <tableColumn id="11" xr3:uid="{C2FA9B34-4D11-4DB4-9FD8-C62207A45C5D}" name="EnvironmentSatisfaction"/>
    <tableColumn id="12" xr3:uid="{A6BF22B8-FE7D-4845-8F6C-19D3C6A33071}" name="Gender"/>
    <tableColumn id="13" xr3:uid="{1B9A43C5-D903-43D1-BE02-0EB569C47CF0}" name="HourlyRate"/>
    <tableColumn id="14" xr3:uid="{C7924B16-B1F9-42A4-835E-EE8F24AB9CDD}" name="JobInvolvement"/>
    <tableColumn id="15" xr3:uid="{32C449C9-03E3-44E0-829D-0B9B4B20B0DE}" name="JobLevel"/>
    <tableColumn id="16" xr3:uid="{34EC6A41-4484-4CF7-A3DF-DAC15A52EC7F}" name="JobRole"/>
    <tableColumn id="17" xr3:uid="{19E52D15-65E2-4AAF-85D0-54B411D15D9E}" name="JobSatisfaction"/>
    <tableColumn id="18" xr3:uid="{40C8207E-911E-48AC-B272-289228FCA8BF}" name="MaritalStatus"/>
    <tableColumn id="19" xr3:uid="{F0844B96-A331-4EEA-A695-A87082B79DAD}" name="MonthlyIncome" dataDxfId="12"/>
    <tableColumn id="20" xr3:uid="{8B23BFCB-C0A4-4F63-AE9A-631189E6ED19}" name="MonthlyRate"/>
    <tableColumn id="21" xr3:uid="{A602DE15-EB24-45DA-BE66-20DE5DB7E1E2}" name="NumCompaniesWorked"/>
    <tableColumn id="23" xr3:uid="{05B7B512-20FC-4A80-9E16-B733EA87A1BB}" name="OverTime"/>
    <tableColumn id="24" xr3:uid="{64D787EB-3B6E-464A-B9E0-6DF81224B810}" name="PercentSalaryHike" dataDxfId="11" dataCellStyle="Percent"/>
    <tableColumn id="25" xr3:uid="{4A006632-7454-4009-B1B7-FABBF0575824}" name="PerformanceRating"/>
    <tableColumn id="26" xr3:uid="{6781DAB6-F0A3-4EB5-BB1A-6985F032F99F}" name="RelationshipSatisfaction"/>
    <tableColumn id="28" xr3:uid="{9903FA23-39D3-42D5-A6CB-DFD6B53231A1}" name="StockOptionLevel"/>
    <tableColumn id="29" xr3:uid="{4E07DD49-AB33-47E4-96A1-D2396B005FC8}" name="TotalWorkingYears"/>
    <tableColumn id="30" xr3:uid="{8095ABF9-C7D7-49A8-9CD8-0FD3967F3247}" name="TrainingTimesLastYear"/>
    <tableColumn id="31" xr3:uid="{F76BE2E6-ABDB-4CF7-A0C6-78ADFABE1F61}" name="WorkLifeBalance"/>
    <tableColumn id="32" xr3:uid="{007B8E05-8F8D-4F34-8105-A5C31DD5B834}" name="YearsAtCompany"/>
    <tableColumn id="33" xr3:uid="{95142EAD-C1E7-4B27-A5AF-3361A534C011}" name="YearsInCurrentRole"/>
    <tableColumn id="34" xr3:uid="{B84451EA-D919-443A-95B4-39CA194BB821}" name="YearsSinceLastPromotion"/>
    <tableColumn id="35" xr3:uid="{038F9D71-C53A-4441-9203-154519886A2F}" name="YearsWithCurrManager"/>
    <tableColumn id="36" xr3:uid="{BFC9A99D-07A3-49AC-A3E5-FE32B064C4FF}" name="AgeGroup" dataDxfId="10">
      <calculatedColumnFormula>IF(A2&lt;=25,"18-25",IF(A2&lt;= 35, "26-35",IF(A2&lt;=45, "36-45","46+")))</calculatedColumnFormula>
    </tableColumn>
    <tableColumn id="37" xr3:uid="{4B786398-4452-4BAD-B840-61344B4E1ED5}" name="SalaryBand" dataDxfId="9">
      <calculatedColumnFormula>IF(R2&lt;3000,"Low",IF(R2&lt;7000,"Mid", IF(R2&lt;12000, "High", "Very High")))</calculatedColumnFormula>
    </tableColumn>
    <tableColumn id="38" xr3:uid="{C3F7C2F0-D45D-4457-ABBD-5FD26DDCD2AE}" name="DeptAvgSalary" dataDxfId="8">
      <calculatedColumnFormula>VLOOKUP(E2,Lookup_Tables!$A$3:$B$5,2,)</calculatedColumnFormula>
    </tableColumn>
    <tableColumn id="40" xr3:uid="{F6DB6A15-7949-41D6-8EDC-C6F20E6D0C23}" name="SalaryStatus" dataDxfId="7">
      <calculatedColumnFormula>IF(R2&gt;AI2, "Above salary","Below salary")</calculatedColumnFormula>
    </tableColumn>
    <tableColumn id="41" xr3:uid="{47768456-CB97-4298-BCAF-5B9D80976689}" name="AttritionRisk" dataDxfId="6">
      <calculatedColumnFormula>IF(AND(P2&lt;=2,U2="Yes"),"High Risk")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911928-B749-49DB-8DAE-8B246BE68796}" name="Table4" displayName="Table4" ref="A2:B5" totalsRowShown="0">
  <autoFilter ref="A2:B5" xr:uid="{1D911928-B749-49DB-8DAE-8B246BE68796}"/>
  <tableColumns count="2">
    <tableColumn id="1" xr3:uid="{0DF29581-AE91-4F7F-973E-905CF18CE93C}" name="Department name"/>
    <tableColumn id="2" xr3:uid="{7B726EC1-DB5D-40EF-BFDD-1F21DBA8C5C7}" name="Total Salary" dataDxfId="5">
      <calculatedColumnFormula>SUMIF(Cleaned_Data!E:E, A3,Cleaned_Data!R:R)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74F7E7-4931-4630-96E7-F4430079C4E1}" name="Table5" displayName="Table5" ref="D2:E5" totalsRowShown="0" tableBorderDxfId="4">
  <autoFilter ref="D2:E5" xr:uid="{5174F7E7-4931-4630-96E7-F4430079C4E1}"/>
  <tableColumns count="2">
    <tableColumn id="1" xr3:uid="{009C6995-DCF9-46FD-B276-5D2DECBF4788}" name="Department"/>
    <tableColumn id="2" xr3:uid="{8FA32461-796F-454E-8DC8-A954DC216A42}" name="OT Total Salary" dataDxfId="3">
      <calculatedColumnFormula>SUMIFS(Cleaned_Data!R:R,Cleaned_Data!E:E,D3,Cleaned_Data!U:U,"Yes")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063C26-EAD6-4813-B511-203953A9788D}" name="Table6" displayName="Table6" ref="A10:C13" totalsRowShown="0" tableBorderDxfId="2">
  <autoFilter ref="A10:C13" xr:uid="{2E063C26-EAD6-4813-B511-203953A9788D}"/>
  <tableColumns count="3">
    <tableColumn id="1" xr3:uid="{EEE35AC6-EF06-46B9-9F0E-46C7D950D1ED}" name="Department name"/>
    <tableColumn id="2" xr3:uid="{9E2AA357-9126-438D-9636-D8830DF73982}" name="Dept-wiseTotal Attrition">
      <calculatedColumnFormula>COUNTIFS(Cleaned_Data!E:E,A11,Cleaned_Data!B:B,"Yes")</calculatedColumnFormula>
    </tableColumn>
    <tableColumn id="3" xr3:uid="{71611E92-3254-48BC-97A7-94676BFE7B04}" name="Attrition Rate %" dataDxfId="1">
      <calculatedColumnFormula>COUNTIFS(Cleaned_Data!E:E,A11,Cleaned_Data!B:B,"Yes")
 /COUNTIF(Cleaned_Data!E:E,A11)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2D689-DE0A-4D42-866F-BD15171D1E40}" name="Table3" displayName="Table3" ref="A2:B5" totalsRowShown="0">
  <autoFilter ref="A2:B5" xr:uid="{FE12D689-DE0A-4D42-866F-BD15171D1E40}"/>
  <tableColumns count="2">
    <tableColumn id="1" xr3:uid="{A9017378-E5E7-4ED9-AA66-89E60428E594}" name="Department"/>
    <tableColumn id="2" xr3:uid="{66990C57-6F35-4CA9-96BC-C1FACD69B0D2}" name="Avg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6B74-8FC3-4316-9135-4723B0C26BBB}">
  <dimension ref="A1:AI1471"/>
  <sheetViews>
    <sheetView topLeftCell="A1423" workbookViewId="0">
      <selection activeCell="C1431" sqref="C1431"/>
    </sheetView>
  </sheetViews>
  <sheetFormatPr defaultRowHeight="14.4" x14ac:dyDescent="0.3"/>
  <cols>
    <col min="2" max="2" width="9.77734375" customWidth="1"/>
    <col min="3" max="3" width="15.21875" customWidth="1"/>
    <col min="4" max="4" width="10.88671875" customWidth="1"/>
    <col min="5" max="5" width="12.88671875" customWidth="1"/>
    <col min="6" max="6" width="19.5546875" customWidth="1"/>
    <col min="7" max="7" width="11.21875" customWidth="1"/>
    <col min="8" max="8" width="15.44140625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9.33203125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3" max="23" width="10.88671875" customWidth="1"/>
    <col min="24" max="24" width="18.44140625" customWidth="1"/>
    <col min="25" max="25" width="18.77734375" customWidth="1"/>
    <col min="26" max="26" width="23.33203125" customWidth="1"/>
    <col min="27" max="27" width="15.44140625" customWidth="1"/>
    <col min="28" max="28" width="17.6640625" customWidth="1"/>
    <col min="29" max="29" width="18.33203125" customWidth="1"/>
    <col min="30" max="30" width="21.5546875" customWidth="1"/>
    <col min="31" max="31" width="16.88671875" customWidth="1"/>
    <col min="32" max="32" width="17.109375" customWidth="1"/>
    <col min="33" max="33" width="18.88671875" customWidth="1"/>
    <col min="34" max="34" width="24.21875" customWidth="1"/>
    <col min="35" max="35" width="21.88671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1A60-DB2B-45E8-A31F-D7E1D73EF5D8}">
  <dimension ref="A1:AK1471"/>
  <sheetViews>
    <sheetView tabSelected="1" topLeftCell="AC1" zoomScale="140" zoomScaleNormal="140" workbookViewId="0">
      <pane ySplit="1" topLeftCell="A2" activePane="bottomLeft" state="frozen"/>
      <selection activeCell="O1" sqref="O1"/>
      <selection pane="bottomLeft" activeCell="AJ2" sqref="AJ2"/>
    </sheetView>
  </sheetViews>
  <sheetFormatPr defaultRowHeight="14.4" x14ac:dyDescent="0.3"/>
  <cols>
    <col min="1" max="1" width="6.21875" bestFit="1" customWidth="1"/>
    <col min="2" max="2" width="10.109375" bestFit="1" customWidth="1"/>
    <col min="3" max="3" width="15.6640625" bestFit="1" customWidth="1"/>
    <col min="4" max="4" width="11.21875" bestFit="1" customWidth="1"/>
    <col min="5" max="5" width="21.44140625" bestFit="1" customWidth="1"/>
    <col min="6" max="6" width="20.109375" bestFit="1" customWidth="1"/>
    <col min="7" max="7" width="11.5546875" bestFit="1" customWidth="1"/>
    <col min="8" max="8" width="15.88671875" bestFit="1" customWidth="1"/>
    <col min="9" max="9" width="18.33203125" bestFit="1" customWidth="1"/>
    <col min="10" max="10" width="24" bestFit="1" customWidth="1"/>
    <col min="11" max="11" width="9.33203125" bestFit="1" customWidth="1"/>
    <col min="12" max="12" width="12.44140625" bestFit="1" customWidth="1"/>
    <col min="13" max="13" width="16.33203125" bestFit="1" customWidth="1"/>
    <col min="14" max="14" width="10.33203125" bestFit="1" customWidth="1"/>
    <col min="15" max="15" width="22.6640625" bestFit="1" customWidth="1"/>
    <col min="16" max="16" width="16.109375" bestFit="1" customWidth="1"/>
    <col min="17" max="17" width="14.44140625" bestFit="1" customWidth="1"/>
    <col min="18" max="18" width="16.109375" style="3" bestFit="1" customWidth="1"/>
    <col min="19" max="19" width="13.5546875" bestFit="1" customWidth="1"/>
    <col min="20" max="20" width="23.33203125" bestFit="1" customWidth="1"/>
    <col min="21" max="21" width="11.21875" bestFit="1" customWidth="1"/>
    <col min="22" max="22" width="18.88671875" style="2" bestFit="1" customWidth="1"/>
    <col min="23" max="23" width="19.21875" bestFit="1" customWidth="1"/>
    <col min="24" max="24" width="24" bestFit="1" customWidth="1"/>
    <col min="25" max="25" width="18.109375" bestFit="1" customWidth="1"/>
    <col min="26" max="26" width="18.77734375" bestFit="1" customWidth="1"/>
    <col min="27" max="27" width="22.109375" bestFit="1" customWidth="1"/>
    <col min="28" max="28" width="17.33203125" bestFit="1" customWidth="1"/>
    <col min="29" max="29" width="17.5546875" bestFit="1" customWidth="1"/>
    <col min="30" max="30" width="19.44140625" bestFit="1" customWidth="1"/>
    <col min="31" max="31" width="24.88671875" bestFit="1" customWidth="1"/>
    <col min="32" max="32" width="22.44140625" bestFit="1" customWidth="1"/>
    <col min="33" max="33" width="11.33203125" bestFit="1" customWidth="1"/>
    <col min="34" max="34" width="12.6640625" bestFit="1" customWidth="1"/>
    <col min="35" max="35" width="15.44140625" style="1" bestFit="1" customWidth="1"/>
    <col min="36" max="36" width="13.109375" bestFit="1" customWidth="1"/>
    <col min="37" max="37" width="13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s="3" t="s">
        <v>18</v>
      </c>
      <c r="S1" t="s">
        <v>19</v>
      </c>
      <c r="T1" t="s">
        <v>20</v>
      </c>
      <c r="U1" t="s">
        <v>22</v>
      </c>
      <c r="V1" s="2" t="s">
        <v>23</v>
      </c>
      <c r="W1" t="s">
        <v>24</v>
      </c>
      <c r="X1" t="s">
        <v>25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62</v>
      </c>
      <c r="AH1" t="s">
        <v>63</v>
      </c>
      <c r="AI1" s="1" t="s">
        <v>65</v>
      </c>
      <c r="AJ1" t="s">
        <v>89</v>
      </c>
      <c r="AK1" t="s">
        <v>66</v>
      </c>
    </row>
    <row r="2" spans="1:37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94</v>
      </c>
      <c r="M2">
        <v>3</v>
      </c>
      <c r="N2">
        <v>2</v>
      </c>
      <c r="O2" t="s">
        <v>40</v>
      </c>
      <c r="P2">
        <v>4</v>
      </c>
      <c r="Q2" t="s">
        <v>41</v>
      </c>
      <c r="R2" s="3">
        <v>5993</v>
      </c>
      <c r="S2">
        <v>19479</v>
      </c>
      <c r="T2">
        <v>8</v>
      </c>
      <c r="U2" t="s">
        <v>35</v>
      </c>
      <c r="V2" s="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tr">
        <f t="shared" ref="AG2:AG65" si="0">IF(A2&lt;=25,"18-25",IF(A2&lt;= 35, "26-35",IF(A2&lt;=45, "36-45","46+")))</f>
        <v>36-45</v>
      </c>
      <c r="AH2" t="str">
        <f t="shared" ref="AH2:AH65" si="1">IF(R2&lt;3000,"Low",IF(R2&lt;7000,"Mid", IF(R2&lt;12000, "High", "Very High")))</f>
        <v>Mid</v>
      </c>
      <c r="AI2" s="1">
        <f>VLOOKUP(E2,Lookup_Tables!$A$3:$B$5,2,)</f>
        <v>6959.17264573991</v>
      </c>
      <c r="AJ2" t="str">
        <f t="shared" ref="AJ2:AJ65" si="2">IF(R2&gt;AI2, "Above salary","Below salary")</f>
        <v>Below salary</v>
      </c>
      <c r="AK2" t="str">
        <f>IF(AND(P2&lt;=2,U2="Yes"),"High Risk",IF(OR(P2&lt;=2,U2="Yes"),"Medium Risk","Low Risk"))</f>
        <v>Medium Risk</v>
      </c>
    </row>
    <row r="3" spans="1:37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46</v>
      </c>
      <c r="L3">
        <v>61</v>
      </c>
      <c r="M3">
        <v>2</v>
      </c>
      <c r="N3">
        <v>2</v>
      </c>
      <c r="O3" t="s">
        <v>47</v>
      </c>
      <c r="P3">
        <v>2</v>
      </c>
      <c r="Q3" t="s">
        <v>48</v>
      </c>
      <c r="R3" s="3">
        <v>5130</v>
      </c>
      <c r="S3">
        <v>24907</v>
      </c>
      <c r="T3">
        <v>1</v>
      </c>
      <c r="U3" t="s">
        <v>43</v>
      </c>
      <c r="V3" s="2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tr">
        <f t="shared" si="0"/>
        <v>46+</v>
      </c>
      <c r="AH3" t="str">
        <f t="shared" si="1"/>
        <v>Mid</v>
      </c>
      <c r="AI3" s="1">
        <f>VLOOKUP(E3,Lookup_Tables!$A$3:$B$5,2,)</f>
        <v>6281.2528616024974</v>
      </c>
      <c r="AJ3" t="str">
        <f t="shared" si="2"/>
        <v>Below salary</v>
      </c>
      <c r="AK3" t="str">
        <f t="shared" ref="AK3:AK66" si="3">IF(AND(P3&lt;=2,U3="Yes"),"High Risk",IF(OR(P3&lt;=2,U3="Yes"),"Medium Risk","Low Risk"))</f>
        <v>Medium Risk</v>
      </c>
    </row>
    <row r="4" spans="1:37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t="s">
        <v>46</v>
      </c>
      <c r="L4">
        <v>92</v>
      </c>
      <c r="M4">
        <v>2</v>
      </c>
      <c r="N4">
        <v>1</v>
      </c>
      <c r="O4" t="s">
        <v>50</v>
      </c>
      <c r="P4">
        <v>3</v>
      </c>
      <c r="Q4" t="s">
        <v>41</v>
      </c>
      <c r="R4" s="3">
        <v>2090</v>
      </c>
      <c r="S4">
        <v>2396</v>
      </c>
      <c r="T4">
        <v>6</v>
      </c>
      <c r="U4" t="s">
        <v>35</v>
      </c>
      <c r="V4" s="2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tr">
        <f t="shared" si="0"/>
        <v>36-45</v>
      </c>
      <c r="AH4" t="str">
        <f t="shared" si="1"/>
        <v>Low</v>
      </c>
      <c r="AI4" s="1">
        <f>VLOOKUP(E4,Lookup_Tables!$A$3:$B$5,2,)</f>
        <v>6281.2528616024974</v>
      </c>
      <c r="AJ4" t="str">
        <f t="shared" si="2"/>
        <v>Below salary</v>
      </c>
      <c r="AK4" t="str">
        <f t="shared" si="3"/>
        <v>Medium Risk</v>
      </c>
    </row>
    <row r="5" spans="1:37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56</v>
      </c>
      <c r="M5">
        <v>3</v>
      </c>
      <c r="N5">
        <v>1</v>
      </c>
      <c r="O5" t="s">
        <v>47</v>
      </c>
      <c r="P5">
        <v>3</v>
      </c>
      <c r="Q5" t="s">
        <v>48</v>
      </c>
      <c r="R5" s="3">
        <v>2909</v>
      </c>
      <c r="S5">
        <v>23159</v>
      </c>
      <c r="T5">
        <v>1</v>
      </c>
      <c r="U5" t="s">
        <v>35</v>
      </c>
      <c r="V5" s="2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tr">
        <f t="shared" si="0"/>
        <v>26-35</v>
      </c>
      <c r="AH5" t="str">
        <f t="shared" si="1"/>
        <v>Low</v>
      </c>
      <c r="AI5" s="1">
        <f>VLOOKUP(E5,Lookup_Tables!$A$3:$B$5,2,)</f>
        <v>6281.2528616024974</v>
      </c>
      <c r="AJ5" t="str">
        <f t="shared" si="2"/>
        <v>Below salary</v>
      </c>
      <c r="AK5" t="str">
        <f t="shared" si="3"/>
        <v>Medium Risk</v>
      </c>
    </row>
    <row r="6" spans="1:37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7</v>
      </c>
      <c r="J6">
        <v>1</v>
      </c>
      <c r="K6" t="s">
        <v>46</v>
      </c>
      <c r="L6">
        <v>40</v>
      </c>
      <c r="M6">
        <v>3</v>
      </c>
      <c r="N6">
        <v>1</v>
      </c>
      <c r="O6" t="s">
        <v>50</v>
      </c>
      <c r="P6">
        <v>2</v>
      </c>
      <c r="Q6" t="s">
        <v>48</v>
      </c>
      <c r="R6" s="3">
        <v>3468</v>
      </c>
      <c r="S6">
        <v>16632</v>
      </c>
      <c r="T6">
        <v>9</v>
      </c>
      <c r="U6" t="s">
        <v>43</v>
      </c>
      <c r="V6" s="2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tr">
        <f t="shared" si="0"/>
        <v>26-35</v>
      </c>
      <c r="AH6" t="str">
        <f t="shared" si="1"/>
        <v>Mid</v>
      </c>
      <c r="AI6" s="1">
        <f>VLOOKUP(E6,Lookup_Tables!$A$3:$B$5,2,)</f>
        <v>6281.2528616024974</v>
      </c>
      <c r="AJ6" t="str">
        <f t="shared" si="2"/>
        <v>Below salary</v>
      </c>
      <c r="AK6" t="str">
        <f t="shared" si="3"/>
        <v>Medium Risk</v>
      </c>
    </row>
    <row r="7" spans="1:37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46</v>
      </c>
      <c r="L7">
        <v>79</v>
      </c>
      <c r="M7">
        <v>3</v>
      </c>
      <c r="N7">
        <v>1</v>
      </c>
      <c r="O7" t="s">
        <v>50</v>
      </c>
      <c r="P7">
        <v>4</v>
      </c>
      <c r="Q7" t="s">
        <v>41</v>
      </c>
      <c r="R7" s="3">
        <v>3068</v>
      </c>
      <c r="S7">
        <v>11864</v>
      </c>
      <c r="T7">
        <v>0</v>
      </c>
      <c r="U7" t="s">
        <v>43</v>
      </c>
      <c r="V7" s="2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tr">
        <f t="shared" si="0"/>
        <v>26-35</v>
      </c>
      <c r="AH7" t="str">
        <f t="shared" si="1"/>
        <v>Mid</v>
      </c>
      <c r="AI7" s="1">
        <f>VLOOKUP(E7,Lookup_Tables!$A$3:$B$5,2,)</f>
        <v>6281.2528616024974</v>
      </c>
      <c r="AJ7" t="str">
        <f t="shared" si="2"/>
        <v>Below salary</v>
      </c>
      <c r="AK7" t="str">
        <f t="shared" si="3"/>
        <v>Low Risk</v>
      </c>
    </row>
    <row r="8" spans="1:37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10</v>
      </c>
      <c r="J8">
        <v>3</v>
      </c>
      <c r="K8" t="s">
        <v>39</v>
      </c>
      <c r="L8">
        <v>81</v>
      </c>
      <c r="M8">
        <v>4</v>
      </c>
      <c r="N8">
        <v>1</v>
      </c>
      <c r="O8" t="s">
        <v>50</v>
      </c>
      <c r="P8">
        <v>1</v>
      </c>
      <c r="Q8" t="s">
        <v>48</v>
      </c>
      <c r="R8" s="3">
        <v>2670</v>
      </c>
      <c r="S8">
        <v>9964</v>
      </c>
      <c r="T8">
        <v>4</v>
      </c>
      <c r="U8" t="s">
        <v>35</v>
      </c>
      <c r="V8" s="2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tr">
        <f t="shared" si="0"/>
        <v>46+</v>
      </c>
      <c r="AH8" t="str">
        <f t="shared" si="1"/>
        <v>Low</v>
      </c>
      <c r="AI8" s="1">
        <f>VLOOKUP(E8,Lookup_Tables!$A$3:$B$5,2,)</f>
        <v>6281.2528616024974</v>
      </c>
      <c r="AJ8" t="str">
        <f t="shared" si="2"/>
        <v>Below salary</v>
      </c>
      <c r="AK8" t="str">
        <f t="shared" si="3"/>
        <v>High Risk</v>
      </c>
    </row>
    <row r="9" spans="1:37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46</v>
      </c>
      <c r="L9">
        <v>67</v>
      </c>
      <c r="M9">
        <v>3</v>
      </c>
      <c r="N9">
        <v>1</v>
      </c>
      <c r="O9" t="s">
        <v>50</v>
      </c>
      <c r="P9">
        <v>3</v>
      </c>
      <c r="Q9" t="s">
        <v>52</v>
      </c>
      <c r="R9" s="3">
        <v>2693</v>
      </c>
      <c r="S9">
        <v>13335</v>
      </c>
      <c r="T9">
        <v>1</v>
      </c>
      <c r="U9" t="s">
        <v>43</v>
      </c>
      <c r="V9" s="2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tr">
        <f t="shared" si="0"/>
        <v>26-35</v>
      </c>
      <c r="AH9" t="str">
        <f t="shared" si="1"/>
        <v>Low</v>
      </c>
      <c r="AI9" s="1">
        <f>VLOOKUP(E9,Lookup_Tables!$A$3:$B$5,2,)</f>
        <v>6281.2528616024974</v>
      </c>
      <c r="AJ9" t="str">
        <f t="shared" si="2"/>
        <v>Below salary</v>
      </c>
      <c r="AK9" t="str">
        <f t="shared" si="3"/>
        <v>Low Risk</v>
      </c>
    </row>
    <row r="10" spans="1:37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46</v>
      </c>
      <c r="L10">
        <v>44</v>
      </c>
      <c r="M10">
        <v>2</v>
      </c>
      <c r="N10">
        <v>3</v>
      </c>
      <c r="O10" t="s">
        <v>53</v>
      </c>
      <c r="P10">
        <v>3</v>
      </c>
      <c r="Q10" t="s">
        <v>41</v>
      </c>
      <c r="R10" s="3">
        <v>9526</v>
      </c>
      <c r="S10">
        <v>8787</v>
      </c>
      <c r="T10">
        <v>0</v>
      </c>
      <c r="U10" t="s">
        <v>43</v>
      </c>
      <c r="V10" s="2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tr">
        <f t="shared" si="0"/>
        <v>36-45</v>
      </c>
      <c r="AH10" t="str">
        <f t="shared" si="1"/>
        <v>High</v>
      </c>
      <c r="AI10" s="1">
        <f>VLOOKUP(E10,Lookup_Tables!$A$3:$B$5,2,)</f>
        <v>6281.2528616024974</v>
      </c>
      <c r="AJ10" t="str">
        <f t="shared" si="2"/>
        <v>Above salary</v>
      </c>
      <c r="AK10" t="str">
        <f t="shared" si="3"/>
        <v>Low Risk</v>
      </c>
    </row>
    <row r="11" spans="1:37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13</v>
      </c>
      <c r="J11">
        <v>3</v>
      </c>
      <c r="K11" t="s">
        <v>46</v>
      </c>
      <c r="L11">
        <v>94</v>
      </c>
      <c r="M11">
        <v>3</v>
      </c>
      <c r="N11">
        <v>2</v>
      </c>
      <c r="O11" t="s">
        <v>54</v>
      </c>
      <c r="P11">
        <v>3</v>
      </c>
      <c r="Q11" t="s">
        <v>48</v>
      </c>
      <c r="R11" s="3">
        <v>5237</v>
      </c>
      <c r="S11">
        <v>16577</v>
      </c>
      <c r="T11">
        <v>6</v>
      </c>
      <c r="U11" t="s">
        <v>43</v>
      </c>
      <c r="V11" s="2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tr">
        <f t="shared" si="0"/>
        <v>36-45</v>
      </c>
      <c r="AH11" t="str">
        <f t="shared" si="1"/>
        <v>Mid</v>
      </c>
      <c r="AI11" s="1">
        <f>VLOOKUP(E11,Lookup_Tables!$A$3:$B$5,2,)</f>
        <v>6281.2528616024974</v>
      </c>
      <c r="AJ11" t="str">
        <f t="shared" si="2"/>
        <v>Below salary</v>
      </c>
      <c r="AK11" t="str">
        <f t="shared" si="3"/>
        <v>Low Risk</v>
      </c>
    </row>
    <row r="12" spans="1:37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14</v>
      </c>
      <c r="J12">
        <v>1</v>
      </c>
      <c r="K12" t="s">
        <v>46</v>
      </c>
      <c r="L12">
        <v>84</v>
      </c>
      <c r="M12">
        <v>4</v>
      </c>
      <c r="N12">
        <v>1</v>
      </c>
      <c r="O12" t="s">
        <v>50</v>
      </c>
      <c r="P12">
        <v>2</v>
      </c>
      <c r="Q12" t="s">
        <v>48</v>
      </c>
      <c r="R12" s="3">
        <v>2426</v>
      </c>
      <c r="S12">
        <v>16479</v>
      </c>
      <c r="T12">
        <v>0</v>
      </c>
      <c r="U12" t="s">
        <v>43</v>
      </c>
      <c r="V12" s="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tr">
        <f t="shared" si="0"/>
        <v>26-35</v>
      </c>
      <c r="AH12" t="str">
        <f t="shared" si="1"/>
        <v>Low</v>
      </c>
      <c r="AI12" s="1">
        <f>VLOOKUP(E12,Lookup_Tables!$A$3:$B$5,2,)</f>
        <v>6281.2528616024974</v>
      </c>
      <c r="AJ12" t="str">
        <f t="shared" si="2"/>
        <v>Below salary</v>
      </c>
      <c r="AK12" t="str">
        <f t="shared" si="3"/>
        <v>Medium Risk</v>
      </c>
    </row>
    <row r="13" spans="1:37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49</v>
      </c>
      <c r="M13">
        <v>2</v>
      </c>
      <c r="N13">
        <v>2</v>
      </c>
      <c r="O13" t="s">
        <v>50</v>
      </c>
      <c r="P13">
        <v>3</v>
      </c>
      <c r="Q13" t="s">
        <v>41</v>
      </c>
      <c r="R13" s="3">
        <v>4193</v>
      </c>
      <c r="S13">
        <v>12682</v>
      </c>
      <c r="T13">
        <v>0</v>
      </c>
      <c r="U13" t="s">
        <v>35</v>
      </c>
      <c r="V13" s="2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tr">
        <f t="shared" si="0"/>
        <v>26-35</v>
      </c>
      <c r="AH13" t="str">
        <f t="shared" si="1"/>
        <v>Mid</v>
      </c>
      <c r="AI13" s="1">
        <f>VLOOKUP(E13,Lookup_Tables!$A$3:$B$5,2,)</f>
        <v>6281.2528616024974</v>
      </c>
      <c r="AJ13" t="str">
        <f t="shared" si="2"/>
        <v>Below salary</v>
      </c>
      <c r="AK13" t="str">
        <f t="shared" si="3"/>
        <v>Medium Risk</v>
      </c>
    </row>
    <row r="14" spans="1:37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46</v>
      </c>
      <c r="L14">
        <v>31</v>
      </c>
      <c r="M14">
        <v>3</v>
      </c>
      <c r="N14">
        <v>1</v>
      </c>
      <c r="O14" t="s">
        <v>47</v>
      </c>
      <c r="P14">
        <v>3</v>
      </c>
      <c r="Q14" t="s">
        <v>52</v>
      </c>
      <c r="R14" s="3">
        <v>2911</v>
      </c>
      <c r="S14">
        <v>15170</v>
      </c>
      <c r="T14">
        <v>1</v>
      </c>
      <c r="U14" t="s">
        <v>43</v>
      </c>
      <c r="V14" s="2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tr">
        <f t="shared" si="0"/>
        <v>26-35</v>
      </c>
      <c r="AH14" t="str">
        <f t="shared" si="1"/>
        <v>Low</v>
      </c>
      <c r="AI14" s="1">
        <f>VLOOKUP(E14,Lookup_Tables!$A$3:$B$5,2,)</f>
        <v>6281.2528616024974</v>
      </c>
      <c r="AJ14" t="str">
        <f t="shared" si="2"/>
        <v>Below salary</v>
      </c>
      <c r="AK14" t="str">
        <f t="shared" si="3"/>
        <v>Low Risk</v>
      </c>
    </row>
    <row r="15" spans="1:37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18</v>
      </c>
      <c r="J15">
        <v>2</v>
      </c>
      <c r="K15" t="s">
        <v>46</v>
      </c>
      <c r="L15">
        <v>93</v>
      </c>
      <c r="M15">
        <v>3</v>
      </c>
      <c r="N15">
        <v>1</v>
      </c>
      <c r="O15" t="s">
        <v>50</v>
      </c>
      <c r="P15">
        <v>4</v>
      </c>
      <c r="Q15" t="s">
        <v>52</v>
      </c>
      <c r="R15" s="3">
        <v>2661</v>
      </c>
      <c r="S15">
        <v>8758</v>
      </c>
      <c r="T15">
        <v>0</v>
      </c>
      <c r="U15" t="s">
        <v>43</v>
      </c>
      <c r="V15" s="2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tr">
        <f t="shared" si="0"/>
        <v>26-35</v>
      </c>
      <c r="AH15" t="str">
        <f t="shared" si="1"/>
        <v>Low</v>
      </c>
      <c r="AI15" s="1">
        <f>VLOOKUP(E15,Lookup_Tables!$A$3:$B$5,2,)</f>
        <v>6281.2528616024974</v>
      </c>
      <c r="AJ15" t="str">
        <f t="shared" si="2"/>
        <v>Below salary</v>
      </c>
      <c r="AK15" t="str">
        <f t="shared" si="3"/>
        <v>Low Risk</v>
      </c>
    </row>
    <row r="16" spans="1:37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46</v>
      </c>
      <c r="L16">
        <v>50</v>
      </c>
      <c r="M16">
        <v>2</v>
      </c>
      <c r="N16">
        <v>1</v>
      </c>
      <c r="O16" t="s">
        <v>50</v>
      </c>
      <c r="P16">
        <v>3</v>
      </c>
      <c r="Q16" t="s">
        <v>41</v>
      </c>
      <c r="R16" s="3">
        <v>2028</v>
      </c>
      <c r="S16">
        <v>12947</v>
      </c>
      <c r="T16">
        <v>5</v>
      </c>
      <c r="U16" t="s">
        <v>35</v>
      </c>
      <c r="V16" s="2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tr">
        <f t="shared" si="0"/>
        <v>26-35</v>
      </c>
      <c r="AH16" t="str">
        <f t="shared" si="1"/>
        <v>Low</v>
      </c>
      <c r="AI16" s="1">
        <f>VLOOKUP(E16,Lookup_Tables!$A$3:$B$5,2,)</f>
        <v>6281.2528616024974</v>
      </c>
      <c r="AJ16" t="str">
        <f t="shared" si="2"/>
        <v>Below salary</v>
      </c>
      <c r="AK16" t="str">
        <f t="shared" si="3"/>
        <v>Medium Risk</v>
      </c>
    </row>
    <row r="17" spans="1:37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51</v>
      </c>
      <c r="M17">
        <v>4</v>
      </c>
      <c r="N17">
        <v>3</v>
      </c>
      <c r="O17" t="s">
        <v>53</v>
      </c>
      <c r="P17">
        <v>1</v>
      </c>
      <c r="Q17" t="s">
        <v>52</v>
      </c>
      <c r="R17" s="3">
        <v>9980</v>
      </c>
      <c r="S17">
        <v>10195</v>
      </c>
      <c r="T17">
        <v>1</v>
      </c>
      <c r="U17" t="s">
        <v>43</v>
      </c>
      <c r="V17" s="2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tr">
        <f t="shared" si="0"/>
        <v>26-35</v>
      </c>
      <c r="AH17" t="str">
        <f t="shared" si="1"/>
        <v>High</v>
      </c>
      <c r="AI17" s="1">
        <f>VLOOKUP(E17,Lookup_Tables!$A$3:$B$5,2,)</f>
        <v>6281.2528616024974</v>
      </c>
      <c r="AJ17" t="str">
        <f t="shared" si="2"/>
        <v>Above salary</v>
      </c>
      <c r="AK17" t="str">
        <f t="shared" si="3"/>
        <v>Medium Risk</v>
      </c>
    </row>
    <row r="18" spans="1:37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46</v>
      </c>
      <c r="L18">
        <v>80</v>
      </c>
      <c r="M18">
        <v>4</v>
      </c>
      <c r="N18">
        <v>1</v>
      </c>
      <c r="O18" t="s">
        <v>47</v>
      </c>
      <c r="P18">
        <v>2</v>
      </c>
      <c r="Q18" t="s">
        <v>52</v>
      </c>
      <c r="R18" s="3">
        <v>3298</v>
      </c>
      <c r="S18">
        <v>15053</v>
      </c>
      <c r="T18">
        <v>0</v>
      </c>
      <c r="U18" t="s">
        <v>35</v>
      </c>
      <c r="V18" s="2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tr">
        <f t="shared" si="0"/>
        <v>26-35</v>
      </c>
      <c r="AH18" t="str">
        <f t="shared" si="1"/>
        <v>Mid</v>
      </c>
      <c r="AI18" s="1">
        <f>VLOOKUP(E18,Lookup_Tables!$A$3:$B$5,2,)</f>
        <v>6281.2528616024974</v>
      </c>
      <c r="AJ18" t="str">
        <f t="shared" si="2"/>
        <v>Below salary</v>
      </c>
      <c r="AK18" t="str">
        <f t="shared" si="3"/>
        <v>High Risk</v>
      </c>
    </row>
    <row r="19" spans="1:37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22</v>
      </c>
      <c r="J19">
        <v>4</v>
      </c>
      <c r="K19" t="s">
        <v>46</v>
      </c>
      <c r="L19">
        <v>96</v>
      </c>
      <c r="M19">
        <v>4</v>
      </c>
      <c r="N19">
        <v>1</v>
      </c>
      <c r="O19" t="s">
        <v>50</v>
      </c>
      <c r="P19">
        <v>4</v>
      </c>
      <c r="Q19" t="s">
        <v>52</v>
      </c>
      <c r="R19" s="3">
        <v>2935</v>
      </c>
      <c r="S19">
        <v>7324</v>
      </c>
      <c r="T19">
        <v>1</v>
      </c>
      <c r="U19" t="s">
        <v>35</v>
      </c>
      <c r="V19" s="2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tr">
        <f t="shared" si="0"/>
        <v>18-25</v>
      </c>
      <c r="AH19" t="str">
        <f t="shared" si="1"/>
        <v>Low</v>
      </c>
      <c r="AI19" s="1">
        <f>VLOOKUP(E19,Lookup_Tables!$A$3:$B$5,2,)</f>
        <v>6281.2528616024974</v>
      </c>
      <c r="AJ19" t="str">
        <f t="shared" si="2"/>
        <v>Below salary</v>
      </c>
      <c r="AK19" t="str">
        <f t="shared" si="3"/>
        <v>Medium Risk</v>
      </c>
    </row>
    <row r="20" spans="1:37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78</v>
      </c>
      <c r="M20">
        <v>2</v>
      </c>
      <c r="N20">
        <v>4</v>
      </c>
      <c r="O20" t="s">
        <v>56</v>
      </c>
      <c r="P20">
        <v>4</v>
      </c>
      <c r="Q20" t="s">
        <v>48</v>
      </c>
      <c r="R20" s="3">
        <v>15427</v>
      </c>
      <c r="S20">
        <v>22021</v>
      </c>
      <c r="T20">
        <v>2</v>
      </c>
      <c r="U20" t="s">
        <v>43</v>
      </c>
      <c r="V20" s="2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tr">
        <f t="shared" si="0"/>
        <v>46+</v>
      </c>
      <c r="AH20" t="str">
        <f t="shared" si="1"/>
        <v>Very High</v>
      </c>
      <c r="AI20" s="1">
        <f>VLOOKUP(E20,Lookup_Tables!$A$3:$B$5,2,)</f>
        <v>6959.17264573991</v>
      </c>
      <c r="AJ20" t="str">
        <f t="shared" si="2"/>
        <v>Above salary</v>
      </c>
      <c r="AK20" t="str">
        <f t="shared" si="3"/>
        <v>Low Risk</v>
      </c>
    </row>
    <row r="21" spans="1:37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46</v>
      </c>
      <c r="L21">
        <v>45</v>
      </c>
      <c r="M21">
        <v>3</v>
      </c>
      <c r="N21">
        <v>1</v>
      </c>
      <c r="O21" t="s">
        <v>47</v>
      </c>
      <c r="P21">
        <v>4</v>
      </c>
      <c r="Q21" t="s">
        <v>41</v>
      </c>
      <c r="R21" s="3">
        <v>3944</v>
      </c>
      <c r="S21">
        <v>4306</v>
      </c>
      <c r="T21">
        <v>5</v>
      </c>
      <c r="U21" t="s">
        <v>35</v>
      </c>
      <c r="V21" s="2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tr">
        <f t="shared" si="0"/>
        <v>36-45</v>
      </c>
      <c r="AH21" t="str">
        <f t="shared" si="1"/>
        <v>Mid</v>
      </c>
      <c r="AI21" s="1">
        <f>VLOOKUP(E21,Lookup_Tables!$A$3:$B$5,2,)</f>
        <v>6281.2528616024974</v>
      </c>
      <c r="AJ21" t="str">
        <f t="shared" si="2"/>
        <v>Below salary</v>
      </c>
      <c r="AK21" t="str">
        <f t="shared" si="3"/>
        <v>Medium Risk</v>
      </c>
    </row>
    <row r="22" spans="1:37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t="s">
        <v>39</v>
      </c>
      <c r="L22">
        <v>96</v>
      </c>
      <c r="M22">
        <v>4</v>
      </c>
      <c r="N22">
        <v>2</v>
      </c>
      <c r="O22" t="s">
        <v>53</v>
      </c>
      <c r="P22">
        <v>3</v>
      </c>
      <c r="Q22" t="s">
        <v>52</v>
      </c>
      <c r="R22" s="3">
        <v>4011</v>
      </c>
      <c r="S22">
        <v>8232</v>
      </c>
      <c r="T22">
        <v>0</v>
      </c>
      <c r="U22" t="s">
        <v>43</v>
      </c>
      <c r="V22" s="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tr">
        <f t="shared" si="0"/>
        <v>18-25</v>
      </c>
      <c r="AH22" t="str">
        <f t="shared" si="1"/>
        <v>Mid</v>
      </c>
      <c r="AI22" s="1">
        <f>VLOOKUP(E22,Lookup_Tables!$A$3:$B$5,2,)</f>
        <v>6281.2528616024974</v>
      </c>
      <c r="AJ22" t="str">
        <f t="shared" si="2"/>
        <v>Below salary</v>
      </c>
      <c r="AK22" t="str">
        <f t="shared" si="3"/>
        <v>Low Risk</v>
      </c>
    </row>
    <row r="23" spans="1:37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46</v>
      </c>
      <c r="L23">
        <v>82</v>
      </c>
      <c r="M23">
        <v>2</v>
      </c>
      <c r="N23">
        <v>1</v>
      </c>
      <c r="O23" t="s">
        <v>57</v>
      </c>
      <c r="P23">
        <v>1</v>
      </c>
      <c r="Q23" t="s">
        <v>41</v>
      </c>
      <c r="R23" s="3">
        <v>3407</v>
      </c>
      <c r="S23">
        <v>6986</v>
      </c>
      <c r="T23">
        <v>7</v>
      </c>
      <c r="U23" t="s">
        <v>43</v>
      </c>
      <c r="V23" s="2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tr">
        <f t="shared" si="0"/>
        <v>36-45</v>
      </c>
      <c r="AH23" t="str">
        <f t="shared" si="1"/>
        <v>Mid</v>
      </c>
      <c r="AI23" s="1">
        <f>VLOOKUP(E23,Lookup_Tables!$A$3:$B$5,2,)</f>
        <v>6959.17264573991</v>
      </c>
      <c r="AJ23" t="str">
        <f t="shared" si="2"/>
        <v>Below salary</v>
      </c>
      <c r="AK23" t="str">
        <f t="shared" si="3"/>
        <v>Medium Risk</v>
      </c>
    </row>
    <row r="24" spans="1:37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53</v>
      </c>
      <c r="M24">
        <v>3</v>
      </c>
      <c r="N24">
        <v>3</v>
      </c>
      <c r="O24" t="s">
        <v>58</v>
      </c>
      <c r="P24">
        <v>2</v>
      </c>
      <c r="Q24" t="s">
        <v>41</v>
      </c>
      <c r="R24" s="3">
        <v>11994</v>
      </c>
      <c r="S24">
        <v>21293</v>
      </c>
      <c r="T24">
        <v>0</v>
      </c>
      <c r="U24" t="s">
        <v>43</v>
      </c>
      <c r="V24" s="2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tr">
        <f t="shared" si="0"/>
        <v>26-35</v>
      </c>
      <c r="AH24" t="str">
        <f t="shared" si="1"/>
        <v>High</v>
      </c>
      <c r="AI24" s="1">
        <f>VLOOKUP(E24,Lookup_Tables!$A$3:$B$5,2,)</f>
        <v>6281.2528616024974</v>
      </c>
      <c r="AJ24" t="str">
        <f t="shared" si="2"/>
        <v>Above salary</v>
      </c>
      <c r="AK24" t="str">
        <f t="shared" si="3"/>
        <v>Medium Risk</v>
      </c>
    </row>
    <row r="25" spans="1:37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46</v>
      </c>
      <c r="L25">
        <v>96</v>
      </c>
      <c r="M25">
        <v>3</v>
      </c>
      <c r="N25">
        <v>1</v>
      </c>
      <c r="O25" t="s">
        <v>47</v>
      </c>
      <c r="P25">
        <v>4</v>
      </c>
      <c r="Q25" t="s">
        <v>41</v>
      </c>
      <c r="R25" s="3">
        <v>1232</v>
      </c>
      <c r="S25">
        <v>19281</v>
      </c>
      <c r="T25">
        <v>1</v>
      </c>
      <c r="U25" t="s">
        <v>43</v>
      </c>
      <c r="V25" s="2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tr">
        <f t="shared" si="0"/>
        <v>18-25</v>
      </c>
      <c r="AH25" t="str">
        <f t="shared" si="1"/>
        <v>Low</v>
      </c>
      <c r="AI25" s="1">
        <f>VLOOKUP(E25,Lookup_Tables!$A$3:$B$5,2,)</f>
        <v>6281.2528616024974</v>
      </c>
      <c r="AJ25" t="str">
        <f t="shared" si="2"/>
        <v>Below salary</v>
      </c>
      <c r="AK25" t="str">
        <f t="shared" si="3"/>
        <v>Low Risk</v>
      </c>
    </row>
    <row r="26" spans="1:37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31</v>
      </c>
      <c r="J26">
        <v>2</v>
      </c>
      <c r="K26" t="s">
        <v>46</v>
      </c>
      <c r="L26">
        <v>83</v>
      </c>
      <c r="M26">
        <v>3</v>
      </c>
      <c r="N26">
        <v>1</v>
      </c>
      <c r="O26" t="s">
        <v>47</v>
      </c>
      <c r="P26">
        <v>1</v>
      </c>
      <c r="Q26" t="s">
        <v>41</v>
      </c>
      <c r="R26" s="3">
        <v>2960</v>
      </c>
      <c r="S26">
        <v>17102</v>
      </c>
      <c r="T26">
        <v>2</v>
      </c>
      <c r="U26" t="s">
        <v>43</v>
      </c>
      <c r="V26" s="2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tr">
        <f t="shared" si="0"/>
        <v>26-35</v>
      </c>
      <c r="AH26" t="str">
        <f t="shared" si="1"/>
        <v>Low</v>
      </c>
      <c r="AI26" s="1">
        <f>VLOOKUP(E26,Lookup_Tables!$A$3:$B$5,2,)</f>
        <v>6281.2528616024974</v>
      </c>
      <c r="AJ26" t="str">
        <f t="shared" si="2"/>
        <v>Below salary</v>
      </c>
      <c r="AK26" t="str">
        <f t="shared" si="3"/>
        <v>Medium Risk</v>
      </c>
    </row>
    <row r="27" spans="1:37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t="s">
        <v>39</v>
      </c>
      <c r="L27">
        <v>58</v>
      </c>
      <c r="M27">
        <v>3</v>
      </c>
      <c r="N27">
        <v>5</v>
      </c>
      <c r="O27" t="s">
        <v>56</v>
      </c>
      <c r="P27">
        <v>3</v>
      </c>
      <c r="Q27" t="s">
        <v>52</v>
      </c>
      <c r="R27" s="3">
        <v>19094</v>
      </c>
      <c r="S27">
        <v>10735</v>
      </c>
      <c r="T27">
        <v>4</v>
      </c>
      <c r="U27" t="s">
        <v>43</v>
      </c>
      <c r="V27" s="2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tr">
        <f t="shared" si="0"/>
        <v>46+</v>
      </c>
      <c r="AH27" t="str">
        <f t="shared" si="1"/>
        <v>Very High</v>
      </c>
      <c r="AI27" s="1">
        <f>VLOOKUP(E27,Lookup_Tables!$A$3:$B$5,2,)</f>
        <v>6281.2528616024974</v>
      </c>
      <c r="AJ27" t="str">
        <f t="shared" si="2"/>
        <v>Above salary</v>
      </c>
      <c r="AK27" t="str">
        <f t="shared" si="3"/>
        <v>Low Risk</v>
      </c>
    </row>
    <row r="28" spans="1:37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72</v>
      </c>
      <c r="M28">
        <v>1</v>
      </c>
      <c r="N28">
        <v>1</v>
      </c>
      <c r="O28" t="s">
        <v>47</v>
      </c>
      <c r="P28">
        <v>1</v>
      </c>
      <c r="Q28" t="s">
        <v>41</v>
      </c>
      <c r="R28" s="3">
        <v>3919</v>
      </c>
      <c r="S28">
        <v>4681</v>
      </c>
      <c r="T28">
        <v>1</v>
      </c>
      <c r="U28" t="s">
        <v>35</v>
      </c>
      <c r="V28" s="2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tr">
        <f t="shared" si="0"/>
        <v>26-35</v>
      </c>
      <c r="AH28" t="str">
        <f t="shared" si="1"/>
        <v>Mid</v>
      </c>
      <c r="AI28" s="1">
        <f>VLOOKUP(E28,Lookup_Tables!$A$3:$B$5,2,)</f>
        <v>6281.2528616024974</v>
      </c>
      <c r="AJ28" t="str">
        <f t="shared" si="2"/>
        <v>Below salary</v>
      </c>
      <c r="AK28" t="str">
        <f t="shared" si="3"/>
        <v>High Risk</v>
      </c>
    </row>
    <row r="29" spans="1:37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35</v>
      </c>
      <c r="J29">
        <v>3</v>
      </c>
      <c r="K29" t="s">
        <v>46</v>
      </c>
      <c r="L29">
        <v>48</v>
      </c>
      <c r="M29">
        <v>3</v>
      </c>
      <c r="N29">
        <v>2</v>
      </c>
      <c r="O29" t="s">
        <v>40</v>
      </c>
      <c r="P29">
        <v>2</v>
      </c>
      <c r="Q29" t="s">
        <v>48</v>
      </c>
      <c r="R29" s="3">
        <v>6825</v>
      </c>
      <c r="S29">
        <v>21173</v>
      </c>
      <c r="T29">
        <v>0</v>
      </c>
      <c r="U29" t="s">
        <v>43</v>
      </c>
      <c r="V29" s="2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tr">
        <f t="shared" si="0"/>
        <v>36-45</v>
      </c>
      <c r="AH29" t="str">
        <f t="shared" si="1"/>
        <v>Mid</v>
      </c>
      <c r="AI29" s="1">
        <f>VLOOKUP(E29,Lookup_Tables!$A$3:$B$5,2,)</f>
        <v>6959.17264573991</v>
      </c>
      <c r="AJ29" t="str">
        <f t="shared" si="2"/>
        <v>Below salary</v>
      </c>
      <c r="AK29" t="str">
        <f t="shared" si="3"/>
        <v>Medium Risk</v>
      </c>
    </row>
    <row r="30" spans="1:37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36</v>
      </c>
      <c r="J30">
        <v>1</v>
      </c>
      <c r="K30" t="s">
        <v>39</v>
      </c>
      <c r="L30">
        <v>42</v>
      </c>
      <c r="M30">
        <v>2</v>
      </c>
      <c r="N30">
        <v>3</v>
      </c>
      <c r="O30" t="s">
        <v>54</v>
      </c>
      <c r="P30">
        <v>4</v>
      </c>
      <c r="Q30" t="s">
        <v>48</v>
      </c>
      <c r="R30" s="3">
        <v>10248</v>
      </c>
      <c r="S30">
        <v>2094</v>
      </c>
      <c r="T30">
        <v>3</v>
      </c>
      <c r="U30" t="s">
        <v>43</v>
      </c>
      <c r="V30" s="2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tr">
        <f t="shared" si="0"/>
        <v>36-45</v>
      </c>
      <c r="AH30" t="str">
        <f t="shared" si="1"/>
        <v>High</v>
      </c>
      <c r="AI30" s="1">
        <f>VLOOKUP(E30,Lookup_Tables!$A$3:$B$5,2,)</f>
        <v>6281.2528616024974</v>
      </c>
      <c r="AJ30" t="str">
        <f t="shared" si="2"/>
        <v>Above salary</v>
      </c>
      <c r="AK30" t="str">
        <f t="shared" si="3"/>
        <v>Low Risk</v>
      </c>
    </row>
    <row r="31" spans="1:37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38</v>
      </c>
      <c r="J31">
        <v>2</v>
      </c>
      <c r="K31" t="s">
        <v>39</v>
      </c>
      <c r="L31">
        <v>83</v>
      </c>
      <c r="M31">
        <v>3</v>
      </c>
      <c r="N31">
        <v>5</v>
      </c>
      <c r="O31" t="s">
        <v>56</v>
      </c>
      <c r="P31">
        <v>1</v>
      </c>
      <c r="Q31" t="s">
        <v>41</v>
      </c>
      <c r="R31" s="3">
        <v>18947</v>
      </c>
      <c r="S31">
        <v>22822</v>
      </c>
      <c r="T31">
        <v>3</v>
      </c>
      <c r="U31" t="s">
        <v>43</v>
      </c>
      <c r="V31" s="2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tr">
        <f t="shared" si="0"/>
        <v>46+</v>
      </c>
      <c r="AH31" t="str">
        <f t="shared" si="1"/>
        <v>Very High</v>
      </c>
      <c r="AI31" s="1">
        <f>VLOOKUP(E31,Lookup_Tables!$A$3:$B$5,2,)</f>
        <v>6959.17264573991</v>
      </c>
      <c r="AJ31" t="str">
        <f t="shared" si="2"/>
        <v>Above salary</v>
      </c>
      <c r="AK31" t="str">
        <f t="shared" si="3"/>
        <v>Medium Risk</v>
      </c>
    </row>
    <row r="32" spans="1:37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39</v>
      </c>
      <c r="J32">
        <v>3</v>
      </c>
      <c r="K32" t="s">
        <v>46</v>
      </c>
      <c r="L32">
        <v>78</v>
      </c>
      <c r="M32">
        <v>3</v>
      </c>
      <c r="N32">
        <v>1</v>
      </c>
      <c r="O32" t="s">
        <v>50</v>
      </c>
      <c r="P32">
        <v>4</v>
      </c>
      <c r="Q32" t="s">
        <v>41</v>
      </c>
      <c r="R32" s="3">
        <v>2496</v>
      </c>
      <c r="S32">
        <v>6670</v>
      </c>
      <c r="T32">
        <v>4</v>
      </c>
      <c r="U32" t="s">
        <v>43</v>
      </c>
      <c r="V32" s="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tr">
        <f t="shared" si="0"/>
        <v>26-35</v>
      </c>
      <c r="AH32" t="str">
        <f t="shared" si="1"/>
        <v>Low</v>
      </c>
      <c r="AI32" s="1">
        <f>VLOOKUP(E32,Lookup_Tables!$A$3:$B$5,2,)</f>
        <v>6281.2528616024974</v>
      </c>
      <c r="AJ32" t="str">
        <f t="shared" si="2"/>
        <v>Below salary</v>
      </c>
      <c r="AK32" t="str">
        <f t="shared" si="3"/>
        <v>Low Risk</v>
      </c>
    </row>
    <row r="33" spans="1:37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t="s">
        <v>46</v>
      </c>
      <c r="L33">
        <v>41</v>
      </c>
      <c r="M33">
        <v>3</v>
      </c>
      <c r="N33">
        <v>2</v>
      </c>
      <c r="O33" t="s">
        <v>54</v>
      </c>
      <c r="P33">
        <v>4</v>
      </c>
      <c r="Q33" t="s">
        <v>48</v>
      </c>
      <c r="R33" s="3">
        <v>6465</v>
      </c>
      <c r="S33">
        <v>19121</v>
      </c>
      <c r="T33">
        <v>2</v>
      </c>
      <c r="U33" t="s">
        <v>35</v>
      </c>
      <c r="V33" s="2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tr">
        <f t="shared" si="0"/>
        <v>36-45</v>
      </c>
      <c r="AH33" t="str">
        <f t="shared" si="1"/>
        <v>Mid</v>
      </c>
      <c r="AI33" s="1">
        <f>VLOOKUP(E33,Lookup_Tables!$A$3:$B$5,2,)</f>
        <v>6281.2528616024974</v>
      </c>
      <c r="AJ33" t="str">
        <f t="shared" si="2"/>
        <v>Above salary</v>
      </c>
      <c r="AK33" t="str">
        <f t="shared" si="3"/>
        <v>Medium Risk</v>
      </c>
    </row>
    <row r="34" spans="1:37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41</v>
      </c>
      <c r="J34">
        <v>4</v>
      </c>
      <c r="K34" t="s">
        <v>46</v>
      </c>
      <c r="L34">
        <v>83</v>
      </c>
      <c r="M34">
        <v>2</v>
      </c>
      <c r="N34">
        <v>1</v>
      </c>
      <c r="O34" t="s">
        <v>50</v>
      </c>
      <c r="P34">
        <v>3</v>
      </c>
      <c r="Q34" t="s">
        <v>41</v>
      </c>
      <c r="R34" s="3">
        <v>2206</v>
      </c>
      <c r="S34">
        <v>16117</v>
      </c>
      <c r="T34">
        <v>1</v>
      </c>
      <c r="U34" t="s">
        <v>43</v>
      </c>
      <c r="V34" s="2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tr">
        <f t="shared" si="0"/>
        <v>26-35</v>
      </c>
      <c r="AH34" t="str">
        <f t="shared" si="1"/>
        <v>Low</v>
      </c>
      <c r="AI34" s="1">
        <f>VLOOKUP(E34,Lookup_Tables!$A$3:$B$5,2,)</f>
        <v>6281.2528616024974</v>
      </c>
      <c r="AJ34" t="str">
        <f t="shared" si="2"/>
        <v>Below salary</v>
      </c>
      <c r="AK34" t="str">
        <f t="shared" si="3"/>
        <v>Low Risk</v>
      </c>
    </row>
    <row r="35" spans="1:37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42</v>
      </c>
      <c r="J35">
        <v>4</v>
      </c>
      <c r="K35" t="s">
        <v>46</v>
      </c>
      <c r="L35">
        <v>56</v>
      </c>
      <c r="M35">
        <v>3</v>
      </c>
      <c r="N35">
        <v>2</v>
      </c>
      <c r="O35" t="s">
        <v>57</v>
      </c>
      <c r="P35">
        <v>4</v>
      </c>
      <c r="Q35" t="s">
        <v>48</v>
      </c>
      <c r="R35" s="3">
        <v>2086</v>
      </c>
      <c r="S35">
        <v>3335</v>
      </c>
      <c r="T35">
        <v>3</v>
      </c>
      <c r="U35" t="s">
        <v>43</v>
      </c>
      <c r="V35" s="2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tr">
        <f t="shared" si="0"/>
        <v>36-45</v>
      </c>
      <c r="AH35" t="str">
        <f t="shared" si="1"/>
        <v>Low</v>
      </c>
      <c r="AI35" s="1">
        <f>VLOOKUP(E35,Lookup_Tables!$A$3:$B$5,2,)</f>
        <v>6959.17264573991</v>
      </c>
      <c r="AJ35" t="str">
        <f t="shared" si="2"/>
        <v>Below salary</v>
      </c>
      <c r="AK35" t="str">
        <f t="shared" si="3"/>
        <v>Low Risk</v>
      </c>
    </row>
    <row r="36" spans="1:37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45</v>
      </c>
      <c r="J36">
        <v>2</v>
      </c>
      <c r="K36" t="s">
        <v>46</v>
      </c>
      <c r="L36">
        <v>61</v>
      </c>
      <c r="M36">
        <v>3</v>
      </c>
      <c r="N36">
        <v>1</v>
      </c>
      <c r="O36" t="s">
        <v>47</v>
      </c>
      <c r="P36">
        <v>4</v>
      </c>
      <c r="Q36" t="s">
        <v>48</v>
      </c>
      <c r="R36" s="3">
        <v>2293</v>
      </c>
      <c r="S36">
        <v>3020</v>
      </c>
      <c r="T36">
        <v>2</v>
      </c>
      <c r="U36" t="s">
        <v>35</v>
      </c>
      <c r="V36" s="2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tr">
        <f t="shared" si="0"/>
        <v>18-25</v>
      </c>
      <c r="AH36" t="str">
        <f t="shared" si="1"/>
        <v>Low</v>
      </c>
      <c r="AI36" s="1">
        <f>VLOOKUP(E36,Lookup_Tables!$A$3:$B$5,2,)</f>
        <v>6281.2528616024974</v>
      </c>
      <c r="AJ36" t="str">
        <f t="shared" si="2"/>
        <v>Below salary</v>
      </c>
      <c r="AK36" t="str">
        <f t="shared" si="3"/>
        <v>Medium Risk</v>
      </c>
    </row>
    <row r="37" spans="1:37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46</v>
      </c>
      <c r="J37">
        <v>4</v>
      </c>
      <c r="K37" t="s">
        <v>39</v>
      </c>
      <c r="L37">
        <v>72</v>
      </c>
      <c r="M37">
        <v>4</v>
      </c>
      <c r="N37">
        <v>1</v>
      </c>
      <c r="O37" t="s">
        <v>47</v>
      </c>
      <c r="P37">
        <v>3</v>
      </c>
      <c r="Q37" t="s">
        <v>52</v>
      </c>
      <c r="R37" s="3">
        <v>2645</v>
      </c>
      <c r="S37">
        <v>21923</v>
      </c>
      <c r="T37">
        <v>1</v>
      </c>
      <c r="U37" t="s">
        <v>43</v>
      </c>
      <c r="V37" s="2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tr">
        <f t="shared" si="0"/>
        <v>36-45</v>
      </c>
      <c r="AH37" t="str">
        <f t="shared" si="1"/>
        <v>Low</v>
      </c>
      <c r="AI37" s="1">
        <f>VLOOKUP(E37,Lookup_Tables!$A$3:$B$5,2,)</f>
        <v>6281.2528616024974</v>
      </c>
      <c r="AJ37" t="str">
        <f t="shared" si="2"/>
        <v>Below salary</v>
      </c>
      <c r="AK37" t="str">
        <f t="shared" si="3"/>
        <v>Low Risk</v>
      </c>
    </row>
    <row r="38" spans="1:37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47</v>
      </c>
      <c r="J38">
        <v>1</v>
      </c>
      <c r="K38" t="s">
        <v>46</v>
      </c>
      <c r="L38">
        <v>86</v>
      </c>
      <c r="M38">
        <v>2</v>
      </c>
      <c r="N38">
        <v>1</v>
      </c>
      <c r="O38" t="s">
        <v>57</v>
      </c>
      <c r="P38">
        <v>3</v>
      </c>
      <c r="Q38" t="s">
        <v>48</v>
      </c>
      <c r="R38" s="3">
        <v>2683</v>
      </c>
      <c r="S38">
        <v>3810</v>
      </c>
      <c r="T38">
        <v>1</v>
      </c>
      <c r="U38" t="s">
        <v>35</v>
      </c>
      <c r="V38" s="2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tr">
        <f t="shared" si="0"/>
        <v>46+</v>
      </c>
      <c r="AH38" t="str">
        <f t="shared" si="1"/>
        <v>Low</v>
      </c>
      <c r="AI38" s="1">
        <f>VLOOKUP(E38,Lookup_Tables!$A$3:$B$5,2,)</f>
        <v>6959.17264573991</v>
      </c>
      <c r="AJ38" t="str">
        <f t="shared" si="2"/>
        <v>Below salary</v>
      </c>
      <c r="AK38" t="str">
        <f t="shared" si="3"/>
        <v>Medium Risk</v>
      </c>
    </row>
    <row r="39" spans="1:37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49</v>
      </c>
      <c r="J39">
        <v>4</v>
      </c>
      <c r="K39" t="s">
        <v>39</v>
      </c>
      <c r="L39">
        <v>97</v>
      </c>
      <c r="M39">
        <v>3</v>
      </c>
      <c r="N39">
        <v>1</v>
      </c>
      <c r="O39" t="s">
        <v>57</v>
      </c>
      <c r="P39">
        <v>4</v>
      </c>
      <c r="Q39" t="s">
        <v>48</v>
      </c>
      <c r="R39" s="3">
        <v>2014</v>
      </c>
      <c r="S39">
        <v>9687</v>
      </c>
      <c r="T39">
        <v>1</v>
      </c>
      <c r="U39" t="s">
        <v>43</v>
      </c>
      <c r="V39" s="2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tr">
        <f t="shared" si="0"/>
        <v>26-35</v>
      </c>
      <c r="AH39" t="str">
        <f t="shared" si="1"/>
        <v>Low</v>
      </c>
      <c r="AI39" s="1">
        <f>VLOOKUP(E39,Lookup_Tables!$A$3:$B$5,2,)</f>
        <v>6959.17264573991</v>
      </c>
      <c r="AJ39" t="str">
        <f t="shared" si="2"/>
        <v>Below salary</v>
      </c>
      <c r="AK39" t="str">
        <f t="shared" si="3"/>
        <v>Low Risk</v>
      </c>
    </row>
    <row r="40" spans="1:37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82</v>
      </c>
      <c r="M40">
        <v>2</v>
      </c>
      <c r="N40">
        <v>1</v>
      </c>
      <c r="O40" t="s">
        <v>47</v>
      </c>
      <c r="P40">
        <v>1</v>
      </c>
      <c r="Q40" t="s">
        <v>48</v>
      </c>
      <c r="R40" s="3">
        <v>3419</v>
      </c>
      <c r="S40">
        <v>13072</v>
      </c>
      <c r="T40">
        <v>9</v>
      </c>
      <c r="U40" t="s">
        <v>35</v>
      </c>
      <c r="V40" s="2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tr">
        <f t="shared" si="0"/>
        <v>36-45</v>
      </c>
      <c r="AH40" t="str">
        <f t="shared" si="1"/>
        <v>Mid</v>
      </c>
      <c r="AI40" s="1">
        <f>VLOOKUP(E40,Lookup_Tables!$A$3:$B$5,2,)</f>
        <v>6281.2528616024974</v>
      </c>
      <c r="AJ40" t="str">
        <f t="shared" si="2"/>
        <v>Below salary</v>
      </c>
      <c r="AK40" t="str">
        <f t="shared" si="3"/>
        <v>High Risk</v>
      </c>
    </row>
    <row r="41" spans="1:37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42</v>
      </c>
      <c r="M41">
        <v>4</v>
      </c>
      <c r="N41">
        <v>2</v>
      </c>
      <c r="O41" t="s">
        <v>40</v>
      </c>
      <c r="P41">
        <v>1</v>
      </c>
      <c r="Q41" t="s">
        <v>48</v>
      </c>
      <c r="R41" s="3">
        <v>5376</v>
      </c>
      <c r="S41">
        <v>3193</v>
      </c>
      <c r="T41">
        <v>2</v>
      </c>
      <c r="U41" t="s">
        <v>43</v>
      </c>
      <c r="V41" s="2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tr">
        <f t="shared" si="0"/>
        <v>26-35</v>
      </c>
      <c r="AH41" t="str">
        <f t="shared" si="1"/>
        <v>Mid</v>
      </c>
      <c r="AI41" s="1">
        <f>VLOOKUP(E41,Lookup_Tables!$A$3:$B$5,2,)</f>
        <v>6959.17264573991</v>
      </c>
      <c r="AJ41" t="str">
        <f t="shared" si="2"/>
        <v>Below salary</v>
      </c>
      <c r="AK41" t="str">
        <f t="shared" si="3"/>
        <v>Medium Risk</v>
      </c>
    </row>
    <row r="42" spans="1:37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t="s">
        <v>46</v>
      </c>
      <c r="L42">
        <v>75</v>
      </c>
      <c r="M42">
        <v>3</v>
      </c>
      <c r="N42">
        <v>1</v>
      </c>
      <c r="O42" t="s">
        <v>50</v>
      </c>
      <c r="P42">
        <v>4</v>
      </c>
      <c r="Q42" t="s">
        <v>52</v>
      </c>
      <c r="R42" s="3">
        <v>1951</v>
      </c>
      <c r="S42">
        <v>10910</v>
      </c>
      <c r="T42">
        <v>1</v>
      </c>
      <c r="U42" t="s">
        <v>43</v>
      </c>
      <c r="V42" s="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tr">
        <f t="shared" si="0"/>
        <v>26-35</v>
      </c>
      <c r="AH42" t="str">
        <f t="shared" si="1"/>
        <v>Low</v>
      </c>
      <c r="AI42" s="1">
        <f>VLOOKUP(E42,Lookup_Tables!$A$3:$B$5,2,)</f>
        <v>6281.2528616024974</v>
      </c>
      <c r="AJ42" t="str">
        <f t="shared" si="2"/>
        <v>Below salary</v>
      </c>
      <c r="AK42" t="str">
        <f t="shared" si="3"/>
        <v>Low Risk</v>
      </c>
    </row>
    <row r="43" spans="1:37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33</v>
      </c>
      <c r="M43">
        <v>3</v>
      </c>
      <c r="N43">
        <v>1</v>
      </c>
      <c r="O43" t="s">
        <v>50</v>
      </c>
      <c r="P43">
        <v>1</v>
      </c>
      <c r="Q43" t="s">
        <v>52</v>
      </c>
      <c r="R43" s="3">
        <v>2341</v>
      </c>
      <c r="S43">
        <v>19715</v>
      </c>
      <c r="T43">
        <v>1</v>
      </c>
      <c r="U43" t="s">
        <v>43</v>
      </c>
      <c r="V43" s="2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tr">
        <f t="shared" si="0"/>
        <v>26-35</v>
      </c>
      <c r="AH43" t="str">
        <f t="shared" si="1"/>
        <v>Low</v>
      </c>
      <c r="AI43" s="1">
        <f>VLOOKUP(E43,Lookup_Tables!$A$3:$B$5,2,)</f>
        <v>6281.2528616024974</v>
      </c>
      <c r="AJ43" t="str">
        <f t="shared" si="2"/>
        <v>Below salary</v>
      </c>
      <c r="AK43" t="str">
        <f t="shared" si="3"/>
        <v>Medium Risk</v>
      </c>
    </row>
    <row r="44" spans="1:37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46</v>
      </c>
      <c r="L44">
        <v>48</v>
      </c>
      <c r="M44">
        <v>1</v>
      </c>
      <c r="N44">
        <v>1</v>
      </c>
      <c r="O44" t="s">
        <v>50</v>
      </c>
      <c r="P44">
        <v>3</v>
      </c>
      <c r="Q44" t="s">
        <v>41</v>
      </c>
      <c r="R44" s="3">
        <v>2293</v>
      </c>
      <c r="S44">
        <v>10558</v>
      </c>
      <c r="T44">
        <v>1</v>
      </c>
      <c r="U44" t="s">
        <v>43</v>
      </c>
      <c r="V44" s="2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tr">
        <f t="shared" si="0"/>
        <v>26-35</v>
      </c>
      <c r="AH44" t="str">
        <f t="shared" si="1"/>
        <v>Low</v>
      </c>
      <c r="AI44" s="1">
        <f>VLOOKUP(E44,Lookup_Tables!$A$3:$B$5,2,)</f>
        <v>6281.2528616024974</v>
      </c>
      <c r="AJ44" t="str">
        <f t="shared" si="2"/>
        <v>Below salary</v>
      </c>
      <c r="AK44" t="str">
        <f t="shared" si="3"/>
        <v>Low Risk</v>
      </c>
    </row>
    <row r="45" spans="1:37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46</v>
      </c>
      <c r="L45">
        <v>37</v>
      </c>
      <c r="M45">
        <v>3</v>
      </c>
      <c r="N45">
        <v>3</v>
      </c>
      <c r="O45" t="s">
        <v>40</v>
      </c>
      <c r="P45">
        <v>3</v>
      </c>
      <c r="Q45" t="s">
        <v>41</v>
      </c>
      <c r="R45" s="3">
        <v>8726</v>
      </c>
      <c r="S45">
        <v>2975</v>
      </c>
      <c r="T45">
        <v>1</v>
      </c>
      <c r="U45" t="s">
        <v>43</v>
      </c>
      <c r="V45" s="2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tr">
        <f t="shared" si="0"/>
        <v>26-35</v>
      </c>
      <c r="AH45" t="str">
        <f t="shared" si="1"/>
        <v>High</v>
      </c>
      <c r="AI45" s="1">
        <f>VLOOKUP(E45,Lookup_Tables!$A$3:$B$5,2,)</f>
        <v>6959.17264573991</v>
      </c>
      <c r="AJ45" t="str">
        <f t="shared" si="2"/>
        <v>Above salary</v>
      </c>
      <c r="AK45" t="str">
        <f t="shared" si="3"/>
        <v>Low Risk</v>
      </c>
    </row>
    <row r="46" spans="1:37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57</v>
      </c>
      <c r="J46">
        <v>3</v>
      </c>
      <c r="K46" t="s">
        <v>39</v>
      </c>
      <c r="L46">
        <v>58</v>
      </c>
      <c r="M46">
        <v>3</v>
      </c>
      <c r="N46">
        <v>2</v>
      </c>
      <c r="O46" t="s">
        <v>50</v>
      </c>
      <c r="P46">
        <v>4</v>
      </c>
      <c r="Q46" t="s">
        <v>41</v>
      </c>
      <c r="R46" s="3">
        <v>4011</v>
      </c>
      <c r="S46">
        <v>10781</v>
      </c>
      <c r="T46">
        <v>1</v>
      </c>
      <c r="U46" t="s">
        <v>43</v>
      </c>
      <c r="V46" s="2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tr">
        <f t="shared" si="0"/>
        <v>26-35</v>
      </c>
      <c r="AH46" t="str">
        <f t="shared" si="1"/>
        <v>Mid</v>
      </c>
      <c r="AI46" s="1">
        <f>VLOOKUP(E46,Lookup_Tables!$A$3:$B$5,2,)</f>
        <v>6281.2528616024974</v>
      </c>
      <c r="AJ46" t="str">
        <f t="shared" si="2"/>
        <v>Below salary</v>
      </c>
      <c r="AK46" t="str">
        <f t="shared" si="3"/>
        <v>Low Risk</v>
      </c>
    </row>
    <row r="47" spans="1:37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58</v>
      </c>
      <c r="J47">
        <v>2</v>
      </c>
      <c r="K47" t="s">
        <v>39</v>
      </c>
      <c r="L47">
        <v>49</v>
      </c>
      <c r="M47">
        <v>3</v>
      </c>
      <c r="N47">
        <v>5</v>
      </c>
      <c r="O47" t="s">
        <v>58</v>
      </c>
      <c r="P47">
        <v>3</v>
      </c>
      <c r="Q47" t="s">
        <v>48</v>
      </c>
      <c r="R47" s="3">
        <v>19545</v>
      </c>
      <c r="S47">
        <v>16280</v>
      </c>
      <c r="T47">
        <v>1</v>
      </c>
      <c r="U47" t="s">
        <v>43</v>
      </c>
      <c r="V47" s="2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tr">
        <f t="shared" si="0"/>
        <v>36-45</v>
      </c>
      <c r="AH47" t="str">
        <f t="shared" si="1"/>
        <v>Very High</v>
      </c>
      <c r="AI47" s="1">
        <f>VLOOKUP(E47,Lookup_Tables!$A$3:$B$5,2,)</f>
        <v>6281.2528616024974</v>
      </c>
      <c r="AJ47" t="str">
        <f t="shared" si="2"/>
        <v>Above salary</v>
      </c>
      <c r="AK47" t="str">
        <f t="shared" si="3"/>
        <v>Low Risk</v>
      </c>
    </row>
    <row r="48" spans="1:37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60</v>
      </c>
      <c r="J48">
        <v>2</v>
      </c>
      <c r="K48" t="s">
        <v>46</v>
      </c>
      <c r="L48">
        <v>72</v>
      </c>
      <c r="M48">
        <v>3</v>
      </c>
      <c r="N48">
        <v>2</v>
      </c>
      <c r="O48" t="s">
        <v>40</v>
      </c>
      <c r="P48">
        <v>3</v>
      </c>
      <c r="Q48" t="s">
        <v>41</v>
      </c>
      <c r="R48" s="3">
        <v>4568</v>
      </c>
      <c r="S48">
        <v>10034</v>
      </c>
      <c r="T48">
        <v>0</v>
      </c>
      <c r="U48" t="s">
        <v>43</v>
      </c>
      <c r="V48" s="2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tr">
        <f t="shared" si="0"/>
        <v>26-35</v>
      </c>
      <c r="AH48" t="str">
        <f t="shared" si="1"/>
        <v>Mid</v>
      </c>
      <c r="AI48" s="1">
        <f>VLOOKUP(E48,Lookup_Tables!$A$3:$B$5,2,)</f>
        <v>6959.17264573991</v>
      </c>
      <c r="AJ48" t="str">
        <f t="shared" si="2"/>
        <v>Below salary</v>
      </c>
      <c r="AK48" t="str">
        <f t="shared" si="3"/>
        <v>Low Risk</v>
      </c>
    </row>
    <row r="49" spans="1:37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46</v>
      </c>
      <c r="L49">
        <v>73</v>
      </c>
      <c r="M49">
        <v>3</v>
      </c>
      <c r="N49">
        <v>1</v>
      </c>
      <c r="O49" t="s">
        <v>47</v>
      </c>
      <c r="P49">
        <v>2</v>
      </c>
      <c r="Q49" t="s">
        <v>48</v>
      </c>
      <c r="R49" s="3">
        <v>3022</v>
      </c>
      <c r="S49">
        <v>10227</v>
      </c>
      <c r="T49">
        <v>4</v>
      </c>
      <c r="U49" t="s">
        <v>43</v>
      </c>
      <c r="V49" s="2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tr">
        <f t="shared" si="0"/>
        <v>36-45</v>
      </c>
      <c r="AH49" t="str">
        <f t="shared" si="1"/>
        <v>Mid</v>
      </c>
      <c r="AI49" s="1">
        <f>VLOOKUP(E49,Lookup_Tables!$A$3:$B$5,2,)</f>
        <v>6281.2528616024974</v>
      </c>
      <c r="AJ49" t="str">
        <f t="shared" si="2"/>
        <v>Below salary</v>
      </c>
      <c r="AK49" t="str">
        <f t="shared" si="3"/>
        <v>Medium Risk</v>
      </c>
    </row>
    <row r="50" spans="1:37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62</v>
      </c>
      <c r="J50">
        <v>1</v>
      </c>
      <c r="K50" t="s">
        <v>46</v>
      </c>
      <c r="L50">
        <v>98</v>
      </c>
      <c r="M50">
        <v>3</v>
      </c>
      <c r="N50">
        <v>2</v>
      </c>
      <c r="O50" t="s">
        <v>40</v>
      </c>
      <c r="P50">
        <v>4</v>
      </c>
      <c r="Q50" t="s">
        <v>41</v>
      </c>
      <c r="R50" s="3">
        <v>5772</v>
      </c>
      <c r="S50">
        <v>20445</v>
      </c>
      <c r="T50">
        <v>4</v>
      </c>
      <c r="U50" t="s">
        <v>35</v>
      </c>
      <c r="V50" s="2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tr">
        <f t="shared" si="0"/>
        <v>46+</v>
      </c>
      <c r="AH50" t="str">
        <f t="shared" si="1"/>
        <v>Mid</v>
      </c>
      <c r="AI50" s="1">
        <f>VLOOKUP(E50,Lookup_Tables!$A$3:$B$5,2,)</f>
        <v>6959.17264573991</v>
      </c>
      <c r="AJ50" t="str">
        <f t="shared" si="2"/>
        <v>Below salary</v>
      </c>
      <c r="AK50" t="str">
        <f t="shared" si="3"/>
        <v>Medium Risk</v>
      </c>
    </row>
    <row r="51" spans="1:37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46</v>
      </c>
      <c r="L51">
        <v>36</v>
      </c>
      <c r="M51">
        <v>4</v>
      </c>
      <c r="N51">
        <v>1</v>
      </c>
      <c r="O51" t="s">
        <v>50</v>
      </c>
      <c r="P51">
        <v>4</v>
      </c>
      <c r="Q51" t="s">
        <v>48</v>
      </c>
      <c r="R51" s="3">
        <v>2269</v>
      </c>
      <c r="S51">
        <v>4892</v>
      </c>
      <c r="T51">
        <v>1</v>
      </c>
      <c r="U51" t="s">
        <v>43</v>
      </c>
      <c r="V51" s="2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tr">
        <f t="shared" si="0"/>
        <v>26-35</v>
      </c>
      <c r="AH51" t="str">
        <f t="shared" si="1"/>
        <v>Low</v>
      </c>
      <c r="AI51" s="1">
        <f>VLOOKUP(E51,Lookup_Tables!$A$3:$B$5,2,)</f>
        <v>6281.2528616024974</v>
      </c>
      <c r="AJ51" t="str">
        <f t="shared" si="2"/>
        <v>Below salary</v>
      </c>
      <c r="AK51" t="str">
        <f t="shared" si="3"/>
        <v>Low Risk</v>
      </c>
    </row>
    <row r="52" spans="1:37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46</v>
      </c>
      <c r="L52">
        <v>98</v>
      </c>
      <c r="M52">
        <v>2</v>
      </c>
      <c r="N52">
        <v>3</v>
      </c>
      <c r="O52" t="s">
        <v>50</v>
      </c>
      <c r="P52">
        <v>3</v>
      </c>
      <c r="Q52" t="s">
        <v>41</v>
      </c>
      <c r="R52" s="3">
        <v>5381</v>
      </c>
      <c r="S52">
        <v>19294</v>
      </c>
      <c r="T52">
        <v>9</v>
      </c>
      <c r="U52" t="s">
        <v>35</v>
      </c>
      <c r="V52" s="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tr">
        <f t="shared" si="0"/>
        <v>46+</v>
      </c>
      <c r="AH52" t="str">
        <f t="shared" si="1"/>
        <v>Mid</v>
      </c>
      <c r="AI52" s="1">
        <f>VLOOKUP(E52,Lookup_Tables!$A$3:$B$5,2,)</f>
        <v>6281.2528616024974</v>
      </c>
      <c r="AJ52" t="str">
        <f t="shared" si="2"/>
        <v>Below salary</v>
      </c>
      <c r="AK52" t="str">
        <f t="shared" si="3"/>
        <v>Medium Risk</v>
      </c>
    </row>
    <row r="53" spans="1:37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65</v>
      </c>
      <c r="J53">
        <v>3</v>
      </c>
      <c r="K53" t="s">
        <v>46</v>
      </c>
      <c r="L53">
        <v>50</v>
      </c>
      <c r="M53">
        <v>3</v>
      </c>
      <c r="N53">
        <v>1</v>
      </c>
      <c r="O53" t="s">
        <v>50</v>
      </c>
      <c r="P53">
        <v>3</v>
      </c>
      <c r="Q53" t="s">
        <v>41</v>
      </c>
      <c r="R53" s="3">
        <v>3441</v>
      </c>
      <c r="S53">
        <v>11179</v>
      </c>
      <c r="T53">
        <v>1</v>
      </c>
      <c r="U53" t="s">
        <v>35</v>
      </c>
      <c r="V53" s="2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tr">
        <f t="shared" si="0"/>
        <v>26-35</v>
      </c>
      <c r="AH53" t="str">
        <f t="shared" si="1"/>
        <v>Mid</v>
      </c>
      <c r="AI53" s="1">
        <f>VLOOKUP(E53,Lookup_Tables!$A$3:$B$5,2,)</f>
        <v>6281.2528616024974</v>
      </c>
      <c r="AJ53" t="str">
        <f t="shared" si="2"/>
        <v>Below salary</v>
      </c>
      <c r="AK53" t="str">
        <f t="shared" si="3"/>
        <v>Medium Risk</v>
      </c>
    </row>
    <row r="54" spans="1:37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68</v>
      </c>
      <c r="J54">
        <v>2</v>
      </c>
      <c r="K54" t="s">
        <v>39</v>
      </c>
      <c r="L54">
        <v>75</v>
      </c>
      <c r="M54">
        <v>3</v>
      </c>
      <c r="N54">
        <v>2</v>
      </c>
      <c r="O54" t="s">
        <v>40</v>
      </c>
      <c r="P54">
        <v>1</v>
      </c>
      <c r="Q54" t="s">
        <v>52</v>
      </c>
      <c r="R54" s="3">
        <v>5454</v>
      </c>
      <c r="S54">
        <v>4009</v>
      </c>
      <c r="T54">
        <v>5</v>
      </c>
      <c r="U54" t="s">
        <v>35</v>
      </c>
      <c r="V54" s="2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tr">
        <f t="shared" si="0"/>
        <v>36-45</v>
      </c>
      <c r="AH54" t="str">
        <f t="shared" si="1"/>
        <v>Mid</v>
      </c>
      <c r="AI54" s="1">
        <f>VLOOKUP(E54,Lookup_Tables!$A$3:$B$5,2,)</f>
        <v>6959.17264573991</v>
      </c>
      <c r="AJ54" t="str">
        <f t="shared" si="2"/>
        <v>Below salary</v>
      </c>
      <c r="AK54" t="str">
        <f t="shared" si="3"/>
        <v>High Risk</v>
      </c>
    </row>
    <row r="55" spans="1:37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70</v>
      </c>
      <c r="J55">
        <v>3</v>
      </c>
      <c r="K55" t="s">
        <v>46</v>
      </c>
      <c r="L55">
        <v>79</v>
      </c>
      <c r="M55">
        <v>2</v>
      </c>
      <c r="N55">
        <v>3</v>
      </c>
      <c r="O55" t="s">
        <v>54</v>
      </c>
      <c r="P55">
        <v>1</v>
      </c>
      <c r="Q55" t="s">
        <v>48</v>
      </c>
      <c r="R55" s="3">
        <v>9884</v>
      </c>
      <c r="S55">
        <v>8302</v>
      </c>
      <c r="T55">
        <v>2</v>
      </c>
      <c r="U55" t="s">
        <v>35</v>
      </c>
      <c r="V55" s="2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tr">
        <f t="shared" si="0"/>
        <v>26-35</v>
      </c>
      <c r="AH55" t="str">
        <f t="shared" si="1"/>
        <v>High</v>
      </c>
      <c r="AI55" s="1">
        <f>VLOOKUP(E55,Lookup_Tables!$A$3:$B$5,2,)</f>
        <v>6281.2528616024974</v>
      </c>
      <c r="AJ55" t="str">
        <f t="shared" si="2"/>
        <v>Above salary</v>
      </c>
      <c r="AK55" t="str">
        <f t="shared" si="3"/>
        <v>High Risk</v>
      </c>
    </row>
    <row r="56" spans="1:37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72</v>
      </c>
      <c r="J56">
        <v>3</v>
      </c>
      <c r="K56" t="s">
        <v>39</v>
      </c>
      <c r="L56">
        <v>47</v>
      </c>
      <c r="M56">
        <v>2</v>
      </c>
      <c r="N56">
        <v>2</v>
      </c>
      <c r="O56" t="s">
        <v>40</v>
      </c>
      <c r="P56">
        <v>4</v>
      </c>
      <c r="Q56" t="s">
        <v>48</v>
      </c>
      <c r="R56" s="3">
        <v>4157</v>
      </c>
      <c r="S56">
        <v>21436</v>
      </c>
      <c r="T56">
        <v>7</v>
      </c>
      <c r="U56" t="s">
        <v>35</v>
      </c>
      <c r="V56" s="2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tr">
        <f t="shared" si="0"/>
        <v>26-35</v>
      </c>
      <c r="AH56" t="str">
        <f t="shared" si="1"/>
        <v>Mid</v>
      </c>
      <c r="AI56" s="1">
        <f>VLOOKUP(E56,Lookup_Tables!$A$3:$B$5,2,)</f>
        <v>6959.17264573991</v>
      </c>
      <c r="AJ56" t="str">
        <f t="shared" si="2"/>
        <v>Below salary</v>
      </c>
      <c r="AK56" t="str">
        <f t="shared" si="3"/>
        <v>Medium Risk</v>
      </c>
    </row>
    <row r="57" spans="1:37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98</v>
      </c>
      <c r="M57">
        <v>3</v>
      </c>
      <c r="N57">
        <v>3</v>
      </c>
      <c r="O57" t="s">
        <v>58</v>
      </c>
      <c r="P57">
        <v>4</v>
      </c>
      <c r="Q57" t="s">
        <v>41</v>
      </c>
      <c r="R57" s="3">
        <v>13458</v>
      </c>
      <c r="S57">
        <v>15146</v>
      </c>
      <c r="T57">
        <v>1</v>
      </c>
      <c r="U57" t="s">
        <v>35</v>
      </c>
      <c r="V57" s="2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tr">
        <f t="shared" si="0"/>
        <v>26-35</v>
      </c>
      <c r="AH57" t="str">
        <f t="shared" si="1"/>
        <v>Very High</v>
      </c>
      <c r="AI57" s="1">
        <f>VLOOKUP(E57,Lookup_Tables!$A$3:$B$5,2,)</f>
        <v>6281.2528616024974</v>
      </c>
      <c r="AJ57" t="str">
        <f t="shared" si="2"/>
        <v>Above salary</v>
      </c>
      <c r="AK57" t="str">
        <f t="shared" si="3"/>
        <v>Medium Risk</v>
      </c>
    </row>
    <row r="58" spans="1:37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46</v>
      </c>
      <c r="L58">
        <v>71</v>
      </c>
      <c r="M58">
        <v>3</v>
      </c>
      <c r="N58">
        <v>3</v>
      </c>
      <c r="O58" t="s">
        <v>40</v>
      </c>
      <c r="P58">
        <v>1</v>
      </c>
      <c r="Q58" t="s">
        <v>48</v>
      </c>
      <c r="R58" s="3">
        <v>9069</v>
      </c>
      <c r="S58">
        <v>11031</v>
      </c>
      <c r="T58">
        <v>1</v>
      </c>
      <c r="U58" t="s">
        <v>43</v>
      </c>
      <c r="V58" s="2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tr">
        <f t="shared" si="0"/>
        <v>26-35</v>
      </c>
      <c r="AH58" t="str">
        <f t="shared" si="1"/>
        <v>High</v>
      </c>
      <c r="AI58" s="1">
        <f>VLOOKUP(E58,Lookup_Tables!$A$3:$B$5,2,)</f>
        <v>6959.17264573991</v>
      </c>
      <c r="AJ58" t="str">
        <f t="shared" si="2"/>
        <v>Above salary</v>
      </c>
      <c r="AK58" t="str">
        <f t="shared" si="3"/>
        <v>Medium Risk</v>
      </c>
    </row>
    <row r="59" spans="1:37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75</v>
      </c>
      <c r="J59">
        <v>3</v>
      </c>
      <c r="K59" t="s">
        <v>39</v>
      </c>
      <c r="L59">
        <v>30</v>
      </c>
      <c r="M59">
        <v>3</v>
      </c>
      <c r="N59">
        <v>1</v>
      </c>
      <c r="O59" t="s">
        <v>50</v>
      </c>
      <c r="P59">
        <v>1</v>
      </c>
      <c r="Q59" t="s">
        <v>48</v>
      </c>
      <c r="R59" s="3">
        <v>4014</v>
      </c>
      <c r="S59">
        <v>16002</v>
      </c>
      <c r="T59">
        <v>3</v>
      </c>
      <c r="U59" t="s">
        <v>35</v>
      </c>
      <c r="V59" s="2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tr">
        <f t="shared" si="0"/>
        <v>26-35</v>
      </c>
      <c r="AH59" t="str">
        <f t="shared" si="1"/>
        <v>Mid</v>
      </c>
      <c r="AI59" s="1">
        <f>VLOOKUP(E59,Lookup_Tables!$A$3:$B$5,2,)</f>
        <v>6281.2528616024974</v>
      </c>
      <c r="AJ59" t="str">
        <f t="shared" si="2"/>
        <v>Below salary</v>
      </c>
      <c r="AK59" t="str">
        <f t="shared" si="3"/>
        <v>High Risk</v>
      </c>
    </row>
    <row r="60" spans="1:37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46</v>
      </c>
      <c r="L60">
        <v>48</v>
      </c>
      <c r="M60">
        <v>3</v>
      </c>
      <c r="N60">
        <v>2</v>
      </c>
      <c r="O60" t="s">
        <v>50</v>
      </c>
      <c r="P60">
        <v>4</v>
      </c>
      <c r="Q60" t="s">
        <v>52</v>
      </c>
      <c r="R60" s="3">
        <v>5915</v>
      </c>
      <c r="S60">
        <v>9528</v>
      </c>
      <c r="T60">
        <v>3</v>
      </c>
      <c r="U60" t="s">
        <v>43</v>
      </c>
      <c r="V60" s="2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tr">
        <f t="shared" si="0"/>
        <v>26-35</v>
      </c>
      <c r="AH60" t="str">
        <f t="shared" si="1"/>
        <v>Mid</v>
      </c>
      <c r="AI60" s="1">
        <f>VLOOKUP(E60,Lookup_Tables!$A$3:$B$5,2,)</f>
        <v>6281.2528616024974</v>
      </c>
      <c r="AJ60" t="str">
        <f t="shared" si="2"/>
        <v>Below salary</v>
      </c>
      <c r="AK60" t="str">
        <f t="shared" si="3"/>
        <v>Low Risk</v>
      </c>
    </row>
    <row r="61" spans="1:37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46</v>
      </c>
      <c r="L61">
        <v>51</v>
      </c>
      <c r="M61">
        <v>2</v>
      </c>
      <c r="N61">
        <v>2</v>
      </c>
      <c r="O61" t="s">
        <v>53</v>
      </c>
      <c r="P61">
        <v>3</v>
      </c>
      <c r="Q61" t="s">
        <v>52</v>
      </c>
      <c r="R61" s="3">
        <v>5993</v>
      </c>
      <c r="S61">
        <v>2689</v>
      </c>
      <c r="T61">
        <v>1</v>
      </c>
      <c r="U61" t="s">
        <v>43</v>
      </c>
      <c r="V61" s="2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tr">
        <f t="shared" si="0"/>
        <v>36-45</v>
      </c>
      <c r="AH61" t="str">
        <f t="shared" si="1"/>
        <v>Mid</v>
      </c>
      <c r="AI61" s="1">
        <f>VLOOKUP(E61,Lookup_Tables!$A$3:$B$5,2,)</f>
        <v>6281.2528616024974</v>
      </c>
      <c r="AJ61" t="str">
        <f t="shared" si="2"/>
        <v>Below salary</v>
      </c>
      <c r="AK61" t="str">
        <f t="shared" si="3"/>
        <v>Low Risk</v>
      </c>
    </row>
    <row r="62" spans="1:37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78</v>
      </c>
      <c r="J62">
        <v>1</v>
      </c>
      <c r="K62" t="s">
        <v>46</v>
      </c>
      <c r="L62">
        <v>33</v>
      </c>
      <c r="M62">
        <v>3</v>
      </c>
      <c r="N62">
        <v>2</v>
      </c>
      <c r="O62" t="s">
        <v>53</v>
      </c>
      <c r="P62">
        <v>4</v>
      </c>
      <c r="Q62" t="s">
        <v>48</v>
      </c>
      <c r="R62" s="3">
        <v>6162</v>
      </c>
      <c r="S62">
        <v>10877</v>
      </c>
      <c r="T62">
        <v>1</v>
      </c>
      <c r="U62" t="s">
        <v>35</v>
      </c>
      <c r="V62" s="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tr">
        <f t="shared" si="0"/>
        <v>26-35</v>
      </c>
      <c r="AH62" t="str">
        <f t="shared" si="1"/>
        <v>Mid</v>
      </c>
      <c r="AI62" s="1">
        <f>VLOOKUP(E62,Lookup_Tables!$A$3:$B$5,2,)</f>
        <v>6281.2528616024974</v>
      </c>
      <c r="AJ62" t="str">
        <f t="shared" si="2"/>
        <v>Below salary</v>
      </c>
      <c r="AK62" t="str">
        <f t="shared" si="3"/>
        <v>Medium Risk</v>
      </c>
    </row>
    <row r="63" spans="1:37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50</v>
      </c>
      <c r="M63">
        <v>3</v>
      </c>
      <c r="N63">
        <v>2</v>
      </c>
      <c r="O63" t="s">
        <v>50</v>
      </c>
      <c r="P63">
        <v>4</v>
      </c>
      <c r="Q63" t="s">
        <v>41</v>
      </c>
      <c r="R63" s="3">
        <v>2406</v>
      </c>
      <c r="S63">
        <v>5456</v>
      </c>
      <c r="T63">
        <v>1</v>
      </c>
      <c r="U63" t="s">
        <v>43</v>
      </c>
      <c r="V63" s="2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tr">
        <f t="shared" si="0"/>
        <v>36-45</v>
      </c>
      <c r="AH63" t="str">
        <f t="shared" si="1"/>
        <v>Low</v>
      </c>
      <c r="AI63" s="1">
        <f>VLOOKUP(E63,Lookup_Tables!$A$3:$B$5,2,)</f>
        <v>6281.2528616024974</v>
      </c>
      <c r="AJ63" t="str">
        <f t="shared" si="2"/>
        <v>Below salary</v>
      </c>
      <c r="AK63" t="str">
        <f t="shared" si="3"/>
        <v>Low Risk</v>
      </c>
    </row>
    <row r="64" spans="1:37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80</v>
      </c>
      <c r="J64">
        <v>2</v>
      </c>
      <c r="K64" t="s">
        <v>39</v>
      </c>
      <c r="L64">
        <v>43</v>
      </c>
      <c r="M64">
        <v>2</v>
      </c>
      <c r="N64">
        <v>5</v>
      </c>
      <c r="O64" t="s">
        <v>58</v>
      </c>
      <c r="P64">
        <v>3</v>
      </c>
      <c r="Q64" t="s">
        <v>52</v>
      </c>
      <c r="R64" s="3">
        <v>18740</v>
      </c>
      <c r="S64">
        <v>16701</v>
      </c>
      <c r="T64">
        <v>5</v>
      </c>
      <c r="U64" t="s">
        <v>35</v>
      </c>
      <c r="V64" s="2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tr">
        <f t="shared" si="0"/>
        <v>46+</v>
      </c>
      <c r="AH64" t="str">
        <f t="shared" si="1"/>
        <v>Very High</v>
      </c>
      <c r="AI64" s="1">
        <f>VLOOKUP(E64,Lookup_Tables!$A$3:$B$5,2,)</f>
        <v>6281.2528616024974</v>
      </c>
      <c r="AJ64" t="str">
        <f t="shared" si="2"/>
        <v>Above salary</v>
      </c>
      <c r="AK64" t="str">
        <f t="shared" si="3"/>
        <v>Medium Risk</v>
      </c>
    </row>
    <row r="65" spans="1:37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99</v>
      </c>
      <c r="M65">
        <v>3</v>
      </c>
      <c r="N65">
        <v>3</v>
      </c>
      <c r="O65" t="s">
        <v>40</v>
      </c>
      <c r="P65">
        <v>1</v>
      </c>
      <c r="Q65" t="s">
        <v>41</v>
      </c>
      <c r="R65" s="3">
        <v>7637</v>
      </c>
      <c r="S65">
        <v>2354</v>
      </c>
      <c r="T65">
        <v>7</v>
      </c>
      <c r="U65" t="s">
        <v>43</v>
      </c>
      <c r="V65" s="2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tr">
        <f t="shared" si="0"/>
        <v>46+</v>
      </c>
      <c r="AH65" t="str">
        <f t="shared" si="1"/>
        <v>High</v>
      </c>
      <c r="AI65" s="1">
        <f>VLOOKUP(E65,Lookup_Tables!$A$3:$B$5,2,)</f>
        <v>6959.17264573991</v>
      </c>
      <c r="AJ65" t="str">
        <f t="shared" si="2"/>
        <v>Above salary</v>
      </c>
      <c r="AK65" t="str">
        <f t="shared" si="3"/>
        <v>Medium Risk</v>
      </c>
    </row>
    <row r="66" spans="1:37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83</v>
      </c>
      <c r="J66">
        <v>3</v>
      </c>
      <c r="K66" t="s">
        <v>39</v>
      </c>
      <c r="L66">
        <v>59</v>
      </c>
      <c r="M66">
        <v>3</v>
      </c>
      <c r="N66">
        <v>3</v>
      </c>
      <c r="O66" t="s">
        <v>54</v>
      </c>
      <c r="P66">
        <v>3</v>
      </c>
      <c r="Q66" t="s">
        <v>52</v>
      </c>
      <c r="R66" s="3">
        <v>10096</v>
      </c>
      <c r="S66">
        <v>8202</v>
      </c>
      <c r="T66">
        <v>1</v>
      </c>
      <c r="U66" t="s">
        <v>43</v>
      </c>
      <c r="V66" s="2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tr">
        <f t="shared" ref="AG66:AG129" si="4">IF(A66&lt;=25,"18-25",IF(A66&lt;= 35, "26-35",IF(A66&lt;=45, "36-45","46+")))</f>
        <v>36-45</v>
      </c>
      <c r="AH66" t="str">
        <f t="shared" ref="AH66:AH129" si="5">IF(R66&lt;3000,"Low",IF(R66&lt;7000,"Mid", IF(R66&lt;12000, "High", "Very High")))</f>
        <v>High</v>
      </c>
      <c r="AI66" s="1">
        <f>VLOOKUP(E66,Lookup_Tables!$A$3:$B$5,2,)</f>
        <v>6281.2528616024974</v>
      </c>
      <c r="AJ66" t="str">
        <f t="shared" ref="AJ66:AJ129" si="6">IF(R66&gt;AI66, "Above salary","Below salary")</f>
        <v>Above salary</v>
      </c>
      <c r="AK66" t="str">
        <f t="shared" si="3"/>
        <v>Low Risk</v>
      </c>
    </row>
    <row r="67" spans="1:37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84</v>
      </c>
      <c r="J67">
        <v>4</v>
      </c>
      <c r="K67" t="s">
        <v>39</v>
      </c>
      <c r="L67">
        <v>33</v>
      </c>
      <c r="M67">
        <v>3</v>
      </c>
      <c r="N67">
        <v>4</v>
      </c>
      <c r="O67" t="s">
        <v>56</v>
      </c>
      <c r="P67">
        <v>3</v>
      </c>
      <c r="Q67" t="s">
        <v>52</v>
      </c>
      <c r="R67" s="3">
        <v>14756</v>
      </c>
      <c r="S67">
        <v>19730</v>
      </c>
      <c r="T67">
        <v>2</v>
      </c>
      <c r="U67" t="s">
        <v>35</v>
      </c>
      <c r="V67" s="2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tr">
        <f t="shared" si="4"/>
        <v>46+</v>
      </c>
      <c r="AH67" t="str">
        <f t="shared" si="5"/>
        <v>Very High</v>
      </c>
      <c r="AI67" s="1">
        <f>VLOOKUP(E67,Lookup_Tables!$A$3:$B$5,2,)</f>
        <v>6281.2528616024974</v>
      </c>
      <c r="AJ67" t="str">
        <f t="shared" si="6"/>
        <v>Above salary</v>
      </c>
      <c r="AK67" t="str">
        <f t="shared" ref="AK67:AK130" si="7">IF(AND(P67&lt;=2,U67="Yes"),"High Risk",IF(OR(P67&lt;=2,U67="Yes"),"Medium Risk","Low Risk"))</f>
        <v>Medium Risk</v>
      </c>
    </row>
    <row r="68" spans="1:37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46</v>
      </c>
      <c r="L68">
        <v>95</v>
      </c>
      <c r="M68">
        <v>2</v>
      </c>
      <c r="N68">
        <v>2</v>
      </c>
      <c r="O68" t="s">
        <v>53</v>
      </c>
      <c r="P68">
        <v>2</v>
      </c>
      <c r="Q68" t="s">
        <v>41</v>
      </c>
      <c r="R68" s="3">
        <v>6499</v>
      </c>
      <c r="S68">
        <v>22656</v>
      </c>
      <c r="T68">
        <v>1</v>
      </c>
      <c r="U68" t="s">
        <v>43</v>
      </c>
      <c r="V68" s="2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tr">
        <f t="shared" si="4"/>
        <v>36-45</v>
      </c>
      <c r="AH68" t="str">
        <f t="shared" si="5"/>
        <v>Mid</v>
      </c>
      <c r="AI68" s="1">
        <f>VLOOKUP(E68,Lookup_Tables!$A$3:$B$5,2,)</f>
        <v>6281.2528616024974</v>
      </c>
      <c r="AJ68" t="str">
        <f t="shared" si="6"/>
        <v>Above salary</v>
      </c>
      <c r="AK68" t="str">
        <f t="shared" si="7"/>
        <v>Medium Risk</v>
      </c>
    </row>
    <row r="69" spans="1:37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46</v>
      </c>
      <c r="L69">
        <v>59</v>
      </c>
      <c r="M69">
        <v>3</v>
      </c>
      <c r="N69">
        <v>3</v>
      </c>
      <c r="O69" t="s">
        <v>47</v>
      </c>
      <c r="P69">
        <v>1</v>
      </c>
      <c r="Q69" t="s">
        <v>52</v>
      </c>
      <c r="R69" s="3">
        <v>9724</v>
      </c>
      <c r="S69">
        <v>18787</v>
      </c>
      <c r="T69">
        <v>2</v>
      </c>
      <c r="U69" t="s">
        <v>43</v>
      </c>
      <c r="V69" s="2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tr">
        <f t="shared" si="4"/>
        <v>36-45</v>
      </c>
      <c r="AH69" t="str">
        <f t="shared" si="5"/>
        <v>High</v>
      </c>
      <c r="AI69" s="1">
        <f>VLOOKUP(E69,Lookup_Tables!$A$3:$B$5,2,)</f>
        <v>6281.2528616024974</v>
      </c>
      <c r="AJ69" t="str">
        <f t="shared" si="6"/>
        <v>Above salary</v>
      </c>
      <c r="AK69" t="str">
        <f t="shared" si="7"/>
        <v>Medium Risk</v>
      </c>
    </row>
    <row r="70" spans="1:37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88</v>
      </c>
      <c r="J70">
        <v>2</v>
      </c>
      <c r="K70" t="s">
        <v>46</v>
      </c>
      <c r="L70">
        <v>79</v>
      </c>
      <c r="M70">
        <v>3</v>
      </c>
      <c r="N70">
        <v>1</v>
      </c>
      <c r="O70" t="s">
        <v>47</v>
      </c>
      <c r="P70">
        <v>1</v>
      </c>
      <c r="Q70" t="s">
        <v>48</v>
      </c>
      <c r="R70" s="3">
        <v>2194</v>
      </c>
      <c r="S70">
        <v>5868</v>
      </c>
      <c r="T70">
        <v>4</v>
      </c>
      <c r="U70" t="s">
        <v>43</v>
      </c>
      <c r="V70" s="2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tr">
        <f t="shared" si="4"/>
        <v>26-35</v>
      </c>
      <c r="AH70" t="str">
        <f t="shared" si="5"/>
        <v>Low</v>
      </c>
      <c r="AI70" s="1">
        <f>VLOOKUP(E70,Lookup_Tables!$A$3:$B$5,2,)</f>
        <v>6281.2528616024974</v>
      </c>
      <c r="AJ70" t="str">
        <f t="shared" si="6"/>
        <v>Below salary</v>
      </c>
      <c r="AK70" t="str">
        <f t="shared" si="7"/>
        <v>Medium Risk</v>
      </c>
    </row>
    <row r="71" spans="1:37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90</v>
      </c>
      <c r="J71">
        <v>4</v>
      </c>
      <c r="K71" t="s">
        <v>46</v>
      </c>
      <c r="L71">
        <v>79</v>
      </c>
      <c r="M71">
        <v>2</v>
      </c>
      <c r="N71">
        <v>1</v>
      </c>
      <c r="O71" t="s">
        <v>47</v>
      </c>
      <c r="P71">
        <v>3</v>
      </c>
      <c r="Q71" t="s">
        <v>48</v>
      </c>
      <c r="R71" s="3">
        <v>3388</v>
      </c>
      <c r="S71">
        <v>21777</v>
      </c>
      <c r="T71">
        <v>0</v>
      </c>
      <c r="U71" t="s">
        <v>35</v>
      </c>
      <c r="V71" s="2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tr">
        <f t="shared" si="4"/>
        <v>36-45</v>
      </c>
      <c r="AH71" t="str">
        <f t="shared" si="5"/>
        <v>Mid</v>
      </c>
      <c r="AI71" s="1">
        <f>VLOOKUP(E71,Lookup_Tables!$A$3:$B$5,2,)</f>
        <v>6281.2528616024974</v>
      </c>
      <c r="AJ71" t="str">
        <f t="shared" si="6"/>
        <v>Below salary</v>
      </c>
      <c r="AK71" t="str">
        <f t="shared" si="7"/>
        <v>Medium Risk</v>
      </c>
    </row>
    <row r="72" spans="1:37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57</v>
      </c>
      <c r="M72">
        <v>2</v>
      </c>
      <c r="N72">
        <v>2</v>
      </c>
      <c r="O72" t="s">
        <v>40</v>
      </c>
      <c r="P72">
        <v>3</v>
      </c>
      <c r="Q72" t="s">
        <v>41</v>
      </c>
      <c r="R72" s="3">
        <v>5473</v>
      </c>
      <c r="S72">
        <v>24668</v>
      </c>
      <c r="T72">
        <v>7</v>
      </c>
      <c r="U72" t="s">
        <v>43</v>
      </c>
      <c r="V72" s="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tr">
        <f t="shared" si="4"/>
        <v>46+</v>
      </c>
      <c r="AH72" t="str">
        <f t="shared" si="5"/>
        <v>Mid</v>
      </c>
      <c r="AI72" s="1">
        <f>VLOOKUP(E72,Lookup_Tables!$A$3:$B$5,2,)</f>
        <v>6959.17264573991</v>
      </c>
      <c r="AJ72" t="str">
        <f t="shared" si="6"/>
        <v>Below salary</v>
      </c>
      <c r="AK72" t="str">
        <f t="shared" si="7"/>
        <v>Low Risk</v>
      </c>
    </row>
    <row r="73" spans="1:37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46</v>
      </c>
      <c r="L73">
        <v>76</v>
      </c>
      <c r="M73">
        <v>3</v>
      </c>
      <c r="N73">
        <v>1</v>
      </c>
      <c r="O73" t="s">
        <v>47</v>
      </c>
      <c r="P73">
        <v>2</v>
      </c>
      <c r="Q73" t="s">
        <v>48</v>
      </c>
      <c r="R73" s="3">
        <v>2703</v>
      </c>
      <c r="S73">
        <v>4956</v>
      </c>
      <c r="T73">
        <v>0</v>
      </c>
      <c r="U73" t="s">
        <v>43</v>
      </c>
      <c r="V73" s="2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tr">
        <f t="shared" si="4"/>
        <v>26-35</v>
      </c>
      <c r="AH73" t="str">
        <f t="shared" si="5"/>
        <v>Low</v>
      </c>
      <c r="AI73" s="1">
        <f>VLOOKUP(E73,Lookup_Tables!$A$3:$B$5,2,)</f>
        <v>6281.2528616024974</v>
      </c>
      <c r="AJ73" t="str">
        <f t="shared" si="6"/>
        <v>Below salary</v>
      </c>
      <c r="AK73" t="str">
        <f t="shared" si="7"/>
        <v>Medium Risk</v>
      </c>
    </row>
    <row r="74" spans="1:37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95</v>
      </c>
      <c r="J74">
        <v>3</v>
      </c>
      <c r="K74" t="s">
        <v>46</v>
      </c>
      <c r="L74">
        <v>87</v>
      </c>
      <c r="M74">
        <v>3</v>
      </c>
      <c r="N74">
        <v>1</v>
      </c>
      <c r="O74" t="s">
        <v>47</v>
      </c>
      <c r="P74">
        <v>2</v>
      </c>
      <c r="Q74" t="s">
        <v>41</v>
      </c>
      <c r="R74" s="3">
        <v>2501</v>
      </c>
      <c r="S74">
        <v>18775</v>
      </c>
      <c r="T74">
        <v>1</v>
      </c>
      <c r="U74" t="s">
        <v>43</v>
      </c>
      <c r="V74" s="2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tr">
        <f t="shared" si="4"/>
        <v>26-35</v>
      </c>
      <c r="AH74" t="str">
        <f t="shared" si="5"/>
        <v>Low</v>
      </c>
      <c r="AI74" s="1">
        <f>VLOOKUP(E74,Lookup_Tables!$A$3:$B$5,2,)</f>
        <v>6281.2528616024974</v>
      </c>
      <c r="AJ74" t="str">
        <f t="shared" si="6"/>
        <v>Below salary</v>
      </c>
      <c r="AK74" t="str">
        <f t="shared" si="7"/>
        <v>Medium Risk</v>
      </c>
    </row>
    <row r="75" spans="1:37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46</v>
      </c>
      <c r="L75">
        <v>66</v>
      </c>
      <c r="M75">
        <v>3</v>
      </c>
      <c r="N75">
        <v>2</v>
      </c>
      <c r="O75" t="s">
        <v>47</v>
      </c>
      <c r="P75">
        <v>2</v>
      </c>
      <c r="Q75" t="s">
        <v>48</v>
      </c>
      <c r="R75" s="3">
        <v>6220</v>
      </c>
      <c r="S75">
        <v>7346</v>
      </c>
      <c r="T75">
        <v>1</v>
      </c>
      <c r="U75" t="s">
        <v>43</v>
      </c>
      <c r="V75" s="2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tr">
        <f t="shared" si="4"/>
        <v>26-35</v>
      </c>
      <c r="AH75" t="str">
        <f t="shared" si="5"/>
        <v>Mid</v>
      </c>
      <c r="AI75" s="1">
        <f>VLOOKUP(E75,Lookup_Tables!$A$3:$B$5,2,)</f>
        <v>6281.2528616024974</v>
      </c>
      <c r="AJ75" t="str">
        <f t="shared" si="6"/>
        <v>Below salary</v>
      </c>
      <c r="AK75" t="str">
        <f t="shared" si="7"/>
        <v>Medium Risk</v>
      </c>
    </row>
    <row r="76" spans="1:37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55</v>
      </c>
      <c r="M76">
        <v>4</v>
      </c>
      <c r="N76">
        <v>1</v>
      </c>
      <c r="O76" t="s">
        <v>50</v>
      </c>
      <c r="P76">
        <v>4</v>
      </c>
      <c r="Q76" t="s">
        <v>48</v>
      </c>
      <c r="R76" s="3">
        <v>3038</v>
      </c>
      <c r="S76">
        <v>22002</v>
      </c>
      <c r="T76">
        <v>3</v>
      </c>
      <c r="U76" t="s">
        <v>43</v>
      </c>
      <c r="V76" s="2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tr">
        <f t="shared" si="4"/>
        <v>36-45</v>
      </c>
      <c r="AH76" t="str">
        <f t="shared" si="5"/>
        <v>Mid</v>
      </c>
      <c r="AI76" s="1">
        <f>VLOOKUP(E76,Lookup_Tables!$A$3:$B$5,2,)</f>
        <v>6281.2528616024974</v>
      </c>
      <c r="AJ76" t="str">
        <f t="shared" si="6"/>
        <v>Below salary</v>
      </c>
      <c r="AK76" t="str">
        <f t="shared" si="7"/>
        <v>Low Risk</v>
      </c>
    </row>
    <row r="77" spans="1:37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61</v>
      </c>
      <c r="M77">
        <v>3</v>
      </c>
      <c r="N77">
        <v>2</v>
      </c>
      <c r="O77" t="s">
        <v>53</v>
      </c>
      <c r="P77">
        <v>4</v>
      </c>
      <c r="Q77" t="s">
        <v>41</v>
      </c>
      <c r="R77" s="3">
        <v>4424</v>
      </c>
      <c r="S77">
        <v>20682</v>
      </c>
      <c r="T77">
        <v>1</v>
      </c>
      <c r="U77" t="s">
        <v>43</v>
      </c>
      <c r="V77" s="2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tr">
        <f t="shared" si="4"/>
        <v>26-35</v>
      </c>
      <c r="AH77" t="str">
        <f t="shared" si="5"/>
        <v>Mid</v>
      </c>
      <c r="AI77" s="1">
        <f>VLOOKUP(E77,Lookup_Tables!$A$3:$B$5,2,)</f>
        <v>6281.2528616024974</v>
      </c>
      <c r="AJ77" t="str">
        <f t="shared" si="6"/>
        <v>Below salary</v>
      </c>
      <c r="AK77" t="str">
        <f t="shared" si="7"/>
        <v>Low Risk</v>
      </c>
    </row>
    <row r="78" spans="1:37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100</v>
      </c>
      <c r="J78">
        <v>3</v>
      </c>
      <c r="K78" t="s">
        <v>46</v>
      </c>
      <c r="L78">
        <v>32</v>
      </c>
      <c r="M78">
        <v>2</v>
      </c>
      <c r="N78">
        <v>2</v>
      </c>
      <c r="O78" t="s">
        <v>40</v>
      </c>
      <c r="P78">
        <v>1</v>
      </c>
      <c r="Q78" t="s">
        <v>41</v>
      </c>
      <c r="R78" s="3">
        <v>4312</v>
      </c>
      <c r="S78">
        <v>23016</v>
      </c>
      <c r="T78">
        <v>0</v>
      </c>
      <c r="U78" t="s">
        <v>43</v>
      </c>
      <c r="V78" s="2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tr">
        <f t="shared" si="4"/>
        <v>26-35</v>
      </c>
      <c r="AH78" t="str">
        <f t="shared" si="5"/>
        <v>Mid</v>
      </c>
      <c r="AI78" s="1">
        <f>VLOOKUP(E78,Lookup_Tables!$A$3:$B$5,2,)</f>
        <v>6959.17264573991</v>
      </c>
      <c r="AJ78" t="str">
        <f t="shared" si="6"/>
        <v>Below salary</v>
      </c>
      <c r="AK78" t="str">
        <f t="shared" si="7"/>
        <v>Medium Risk</v>
      </c>
    </row>
    <row r="79" spans="1:37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t="s">
        <v>46</v>
      </c>
      <c r="L79">
        <v>52</v>
      </c>
      <c r="M79">
        <v>3</v>
      </c>
      <c r="N79">
        <v>3</v>
      </c>
      <c r="O79" t="s">
        <v>58</v>
      </c>
      <c r="P79">
        <v>1</v>
      </c>
      <c r="Q79" t="s">
        <v>48</v>
      </c>
      <c r="R79" s="3">
        <v>13245</v>
      </c>
      <c r="S79">
        <v>15067</v>
      </c>
      <c r="T79">
        <v>4</v>
      </c>
      <c r="U79" t="s">
        <v>35</v>
      </c>
      <c r="V79" s="2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tr">
        <f t="shared" si="4"/>
        <v>36-45</v>
      </c>
      <c r="AH79" t="str">
        <f t="shared" si="5"/>
        <v>Very High</v>
      </c>
      <c r="AI79" s="1">
        <f>VLOOKUP(E79,Lookup_Tables!$A$3:$B$5,2,)</f>
        <v>6281.2528616024974</v>
      </c>
      <c r="AJ79" t="str">
        <f t="shared" si="6"/>
        <v>Above salary</v>
      </c>
      <c r="AK79" t="str">
        <f t="shared" si="7"/>
        <v>High Risk</v>
      </c>
    </row>
    <row r="80" spans="1:37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102</v>
      </c>
      <c r="J80">
        <v>1</v>
      </c>
      <c r="K80" t="s">
        <v>46</v>
      </c>
      <c r="L80">
        <v>30</v>
      </c>
      <c r="M80">
        <v>3</v>
      </c>
      <c r="N80">
        <v>3</v>
      </c>
      <c r="O80" t="s">
        <v>58</v>
      </c>
      <c r="P80">
        <v>3</v>
      </c>
      <c r="Q80" t="s">
        <v>41</v>
      </c>
      <c r="R80" s="3">
        <v>13664</v>
      </c>
      <c r="S80">
        <v>25258</v>
      </c>
      <c r="T80">
        <v>4</v>
      </c>
      <c r="U80" t="s">
        <v>43</v>
      </c>
      <c r="V80" s="2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tr">
        <f t="shared" si="4"/>
        <v>36-45</v>
      </c>
      <c r="AH80" t="str">
        <f t="shared" si="5"/>
        <v>Very High</v>
      </c>
      <c r="AI80" s="1">
        <f>VLOOKUP(E80,Lookup_Tables!$A$3:$B$5,2,)</f>
        <v>6281.2528616024974</v>
      </c>
      <c r="AJ80" t="str">
        <f t="shared" si="6"/>
        <v>Above salary</v>
      </c>
      <c r="AK80" t="str">
        <f t="shared" si="7"/>
        <v>Low Risk</v>
      </c>
    </row>
    <row r="81" spans="1:37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103</v>
      </c>
      <c r="J81">
        <v>2</v>
      </c>
      <c r="K81" t="s">
        <v>46</v>
      </c>
      <c r="L81">
        <v>80</v>
      </c>
      <c r="M81">
        <v>3</v>
      </c>
      <c r="N81">
        <v>2</v>
      </c>
      <c r="O81" t="s">
        <v>61</v>
      </c>
      <c r="P81">
        <v>2</v>
      </c>
      <c r="Q81" t="s">
        <v>52</v>
      </c>
      <c r="R81" s="3">
        <v>5021</v>
      </c>
      <c r="S81">
        <v>10425</v>
      </c>
      <c r="T81">
        <v>8</v>
      </c>
      <c r="U81" t="s">
        <v>35</v>
      </c>
      <c r="V81" s="2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tr">
        <f t="shared" si="4"/>
        <v>46+</v>
      </c>
      <c r="AH81" t="str">
        <f t="shared" si="5"/>
        <v>Mid</v>
      </c>
      <c r="AI81" s="1">
        <f>VLOOKUP(E81,Lookup_Tables!$A$3:$B$5,2,)</f>
        <v>6654.5079365079364</v>
      </c>
      <c r="AJ81" t="str">
        <f t="shared" si="6"/>
        <v>Below salary</v>
      </c>
      <c r="AK81" t="str">
        <f t="shared" si="7"/>
        <v>High Risk</v>
      </c>
    </row>
    <row r="82" spans="1:37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46</v>
      </c>
      <c r="L82">
        <v>55</v>
      </c>
      <c r="M82">
        <v>2</v>
      </c>
      <c r="N82">
        <v>2</v>
      </c>
      <c r="O82" t="s">
        <v>50</v>
      </c>
      <c r="P82">
        <v>4</v>
      </c>
      <c r="Q82" t="s">
        <v>48</v>
      </c>
      <c r="R82" s="3">
        <v>5126</v>
      </c>
      <c r="S82">
        <v>15998</v>
      </c>
      <c r="T82">
        <v>1</v>
      </c>
      <c r="U82" t="s">
        <v>35</v>
      </c>
      <c r="V82" s="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tr">
        <f t="shared" si="4"/>
        <v>26-35</v>
      </c>
      <c r="AH82" t="str">
        <f t="shared" si="5"/>
        <v>Mid</v>
      </c>
      <c r="AI82" s="1">
        <f>VLOOKUP(E82,Lookup_Tables!$A$3:$B$5,2,)</f>
        <v>6281.2528616024974</v>
      </c>
      <c r="AJ82" t="str">
        <f t="shared" si="6"/>
        <v>Below salary</v>
      </c>
      <c r="AK82" t="str">
        <f t="shared" si="7"/>
        <v>Medium Risk</v>
      </c>
    </row>
    <row r="83" spans="1:37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105</v>
      </c>
      <c r="J83">
        <v>2</v>
      </c>
      <c r="K83" t="s">
        <v>46</v>
      </c>
      <c r="L83">
        <v>30</v>
      </c>
      <c r="M83">
        <v>2</v>
      </c>
      <c r="N83">
        <v>1</v>
      </c>
      <c r="O83" t="s">
        <v>47</v>
      </c>
      <c r="P83">
        <v>3</v>
      </c>
      <c r="Q83" t="s">
        <v>41</v>
      </c>
      <c r="R83" s="3">
        <v>2859</v>
      </c>
      <c r="S83">
        <v>26278</v>
      </c>
      <c r="T83">
        <v>1</v>
      </c>
      <c r="U83" t="s">
        <v>43</v>
      </c>
      <c r="V83" s="2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tr">
        <f t="shared" si="4"/>
        <v>26-35</v>
      </c>
      <c r="AH83" t="str">
        <f t="shared" si="5"/>
        <v>Low</v>
      </c>
      <c r="AI83" s="1">
        <f>VLOOKUP(E83,Lookup_Tables!$A$3:$B$5,2,)</f>
        <v>6281.2528616024974</v>
      </c>
      <c r="AJ83" t="str">
        <f t="shared" si="6"/>
        <v>Below salary</v>
      </c>
      <c r="AK83" t="str">
        <f t="shared" si="7"/>
        <v>Low Risk</v>
      </c>
    </row>
    <row r="84" spans="1:37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46</v>
      </c>
      <c r="L84">
        <v>70</v>
      </c>
      <c r="M84">
        <v>3</v>
      </c>
      <c r="N84">
        <v>3</v>
      </c>
      <c r="O84" t="s">
        <v>40</v>
      </c>
      <c r="P84">
        <v>4</v>
      </c>
      <c r="Q84" t="s">
        <v>48</v>
      </c>
      <c r="R84" s="3">
        <v>10239</v>
      </c>
      <c r="S84">
        <v>18092</v>
      </c>
      <c r="T84">
        <v>3</v>
      </c>
      <c r="U84" t="s">
        <v>43</v>
      </c>
      <c r="V84" s="2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tr">
        <f t="shared" si="4"/>
        <v>46+</v>
      </c>
      <c r="AH84" t="str">
        <f t="shared" si="5"/>
        <v>High</v>
      </c>
      <c r="AI84" s="1">
        <f>VLOOKUP(E84,Lookup_Tables!$A$3:$B$5,2,)</f>
        <v>6959.17264573991</v>
      </c>
      <c r="AJ84" t="str">
        <f t="shared" si="6"/>
        <v>Above salary</v>
      </c>
      <c r="AK84" t="str">
        <f t="shared" si="7"/>
        <v>Low Risk</v>
      </c>
    </row>
    <row r="85" spans="1:37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107</v>
      </c>
      <c r="J85">
        <v>2</v>
      </c>
      <c r="K85" t="s">
        <v>39</v>
      </c>
      <c r="L85">
        <v>79</v>
      </c>
      <c r="M85">
        <v>1</v>
      </c>
      <c r="N85">
        <v>2</v>
      </c>
      <c r="O85" t="s">
        <v>47</v>
      </c>
      <c r="P85">
        <v>4</v>
      </c>
      <c r="Q85" t="s">
        <v>52</v>
      </c>
      <c r="R85" s="3">
        <v>5329</v>
      </c>
      <c r="S85">
        <v>15717</v>
      </c>
      <c r="T85">
        <v>7</v>
      </c>
      <c r="U85" t="s">
        <v>35</v>
      </c>
      <c r="V85" s="2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tr">
        <f t="shared" si="4"/>
        <v>36-45</v>
      </c>
      <c r="AH85" t="str">
        <f t="shared" si="5"/>
        <v>Mid</v>
      </c>
      <c r="AI85" s="1">
        <f>VLOOKUP(E85,Lookup_Tables!$A$3:$B$5,2,)</f>
        <v>6281.2528616024974</v>
      </c>
      <c r="AJ85" t="str">
        <f t="shared" si="6"/>
        <v>Below salary</v>
      </c>
      <c r="AK85" t="str">
        <f t="shared" si="7"/>
        <v>Medium Risk</v>
      </c>
    </row>
    <row r="86" spans="1:37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110</v>
      </c>
      <c r="J86">
        <v>1</v>
      </c>
      <c r="K86" t="s">
        <v>46</v>
      </c>
      <c r="L86">
        <v>94</v>
      </c>
      <c r="M86">
        <v>3</v>
      </c>
      <c r="N86">
        <v>2</v>
      </c>
      <c r="O86" t="s">
        <v>53</v>
      </c>
      <c r="P86">
        <v>2</v>
      </c>
      <c r="Q86" t="s">
        <v>48</v>
      </c>
      <c r="R86" s="3">
        <v>4325</v>
      </c>
      <c r="S86">
        <v>17736</v>
      </c>
      <c r="T86">
        <v>1</v>
      </c>
      <c r="U86" t="s">
        <v>43</v>
      </c>
      <c r="V86" s="2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tr">
        <f t="shared" si="4"/>
        <v>26-35</v>
      </c>
      <c r="AH86" t="str">
        <f t="shared" si="5"/>
        <v>Mid</v>
      </c>
      <c r="AI86" s="1">
        <f>VLOOKUP(E86,Lookup_Tables!$A$3:$B$5,2,)</f>
        <v>6281.2528616024974</v>
      </c>
      <c r="AJ86" t="str">
        <f t="shared" si="6"/>
        <v>Below salary</v>
      </c>
      <c r="AK86" t="str">
        <f t="shared" si="7"/>
        <v>Medium Risk</v>
      </c>
    </row>
    <row r="87" spans="1:37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46</v>
      </c>
      <c r="L87">
        <v>49</v>
      </c>
      <c r="M87">
        <v>1</v>
      </c>
      <c r="N87">
        <v>3</v>
      </c>
      <c r="O87" t="s">
        <v>53</v>
      </c>
      <c r="P87">
        <v>4</v>
      </c>
      <c r="Q87" t="s">
        <v>41</v>
      </c>
      <c r="R87" s="3">
        <v>7260</v>
      </c>
      <c r="S87">
        <v>21698</v>
      </c>
      <c r="T87">
        <v>4</v>
      </c>
      <c r="U87" t="s">
        <v>43</v>
      </c>
      <c r="V87" s="2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tr">
        <f t="shared" si="4"/>
        <v>46+</v>
      </c>
      <c r="AH87" t="str">
        <f t="shared" si="5"/>
        <v>High</v>
      </c>
      <c r="AI87" s="1">
        <f>VLOOKUP(E87,Lookup_Tables!$A$3:$B$5,2,)</f>
        <v>6281.2528616024974</v>
      </c>
      <c r="AJ87" t="str">
        <f t="shared" si="6"/>
        <v>Above salary</v>
      </c>
      <c r="AK87" t="str">
        <f t="shared" si="7"/>
        <v>Low Risk</v>
      </c>
    </row>
    <row r="88" spans="1:37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113</v>
      </c>
      <c r="J88">
        <v>3</v>
      </c>
      <c r="K88" t="s">
        <v>46</v>
      </c>
      <c r="L88">
        <v>62</v>
      </c>
      <c r="M88">
        <v>3</v>
      </c>
      <c r="N88">
        <v>1</v>
      </c>
      <c r="O88" t="s">
        <v>57</v>
      </c>
      <c r="P88">
        <v>1</v>
      </c>
      <c r="Q88" t="s">
        <v>52</v>
      </c>
      <c r="R88" s="3">
        <v>2322</v>
      </c>
      <c r="S88">
        <v>9518</v>
      </c>
      <c r="T88">
        <v>3</v>
      </c>
      <c r="U88" t="s">
        <v>43</v>
      </c>
      <c r="V88" s="2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tr">
        <f t="shared" si="4"/>
        <v>18-25</v>
      </c>
      <c r="AH88" t="str">
        <f t="shared" si="5"/>
        <v>Low</v>
      </c>
      <c r="AI88" s="1">
        <f>VLOOKUP(E88,Lookup_Tables!$A$3:$B$5,2,)</f>
        <v>6959.17264573991</v>
      </c>
      <c r="AJ88" t="str">
        <f t="shared" si="6"/>
        <v>Below salary</v>
      </c>
      <c r="AK88" t="str">
        <f t="shared" si="7"/>
        <v>Medium Risk</v>
      </c>
    </row>
    <row r="89" spans="1:37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46</v>
      </c>
      <c r="L89">
        <v>96</v>
      </c>
      <c r="M89">
        <v>3</v>
      </c>
      <c r="N89">
        <v>1</v>
      </c>
      <c r="O89" t="s">
        <v>50</v>
      </c>
      <c r="P89">
        <v>4</v>
      </c>
      <c r="Q89" t="s">
        <v>48</v>
      </c>
      <c r="R89" s="3">
        <v>2075</v>
      </c>
      <c r="S89">
        <v>18725</v>
      </c>
      <c r="T89">
        <v>3</v>
      </c>
      <c r="U89" t="s">
        <v>43</v>
      </c>
      <c r="V89" s="2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tr">
        <f t="shared" si="4"/>
        <v>46+</v>
      </c>
      <c r="AH89" t="str">
        <f t="shared" si="5"/>
        <v>Low</v>
      </c>
      <c r="AI89" s="1">
        <f>VLOOKUP(E89,Lookup_Tables!$A$3:$B$5,2,)</f>
        <v>6281.2528616024974</v>
      </c>
      <c r="AJ89" t="str">
        <f t="shared" si="6"/>
        <v>Below salary</v>
      </c>
      <c r="AK89" t="str">
        <f t="shared" si="7"/>
        <v>Low Risk</v>
      </c>
    </row>
    <row r="90" spans="1:37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46</v>
      </c>
      <c r="L90">
        <v>99</v>
      </c>
      <c r="M90">
        <v>2</v>
      </c>
      <c r="N90">
        <v>2</v>
      </c>
      <c r="O90" t="s">
        <v>54</v>
      </c>
      <c r="P90">
        <v>4</v>
      </c>
      <c r="Q90" t="s">
        <v>48</v>
      </c>
      <c r="R90" s="3">
        <v>4152</v>
      </c>
      <c r="S90">
        <v>15830</v>
      </c>
      <c r="T90">
        <v>1</v>
      </c>
      <c r="U90" t="s">
        <v>43</v>
      </c>
      <c r="V90" s="2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tr">
        <f t="shared" si="4"/>
        <v>26-35</v>
      </c>
      <c r="AH90" t="str">
        <f t="shared" si="5"/>
        <v>Mid</v>
      </c>
      <c r="AI90" s="1">
        <f>VLOOKUP(E90,Lookup_Tables!$A$3:$B$5,2,)</f>
        <v>6281.2528616024974</v>
      </c>
      <c r="AJ90" t="str">
        <f t="shared" si="6"/>
        <v>Below salary</v>
      </c>
      <c r="AK90" t="str">
        <f t="shared" si="7"/>
        <v>Low Risk</v>
      </c>
    </row>
    <row r="91" spans="1:37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118</v>
      </c>
      <c r="J91">
        <v>3</v>
      </c>
      <c r="K91" t="s">
        <v>46</v>
      </c>
      <c r="L91">
        <v>64</v>
      </c>
      <c r="M91">
        <v>2</v>
      </c>
      <c r="N91">
        <v>3</v>
      </c>
      <c r="O91" t="s">
        <v>40</v>
      </c>
      <c r="P91">
        <v>4</v>
      </c>
      <c r="Q91" t="s">
        <v>41</v>
      </c>
      <c r="R91" s="3">
        <v>9619</v>
      </c>
      <c r="S91">
        <v>13596</v>
      </c>
      <c r="T91">
        <v>1</v>
      </c>
      <c r="U91" t="s">
        <v>43</v>
      </c>
      <c r="V91" s="2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tr">
        <f t="shared" si="4"/>
        <v>46+</v>
      </c>
      <c r="AH91" t="str">
        <f t="shared" si="5"/>
        <v>High</v>
      </c>
      <c r="AI91" s="1">
        <f>VLOOKUP(E91,Lookup_Tables!$A$3:$B$5,2,)</f>
        <v>6959.17264573991</v>
      </c>
      <c r="AJ91" t="str">
        <f t="shared" si="6"/>
        <v>Above salary</v>
      </c>
      <c r="AK91" t="str">
        <f t="shared" si="7"/>
        <v>Low Risk</v>
      </c>
    </row>
    <row r="92" spans="1:37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46</v>
      </c>
      <c r="L92">
        <v>78</v>
      </c>
      <c r="M92">
        <v>2</v>
      </c>
      <c r="N92">
        <v>4</v>
      </c>
      <c r="O92" t="s">
        <v>54</v>
      </c>
      <c r="P92">
        <v>2</v>
      </c>
      <c r="Q92" t="s">
        <v>48</v>
      </c>
      <c r="R92" s="3">
        <v>13503</v>
      </c>
      <c r="S92">
        <v>14115</v>
      </c>
      <c r="T92">
        <v>1</v>
      </c>
      <c r="U92" t="s">
        <v>43</v>
      </c>
      <c r="V92" s="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tr">
        <f t="shared" si="4"/>
        <v>36-45</v>
      </c>
      <c r="AH92" t="str">
        <f t="shared" si="5"/>
        <v>Very High</v>
      </c>
      <c r="AI92" s="1">
        <f>VLOOKUP(E92,Lookup_Tables!$A$3:$B$5,2,)</f>
        <v>6281.2528616024974</v>
      </c>
      <c r="AJ92" t="str">
        <f t="shared" si="6"/>
        <v>Above salary</v>
      </c>
      <c r="AK92" t="str">
        <f t="shared" si="7"/>
        <v>Medium Risk</v>
      </c>
    </row>
    <row r="93" spans="1:37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120</v>
      </c>
      <c r="J93">
        <v>3</v>
      </c>
      <c r="K93" t="s">
        <v>46</v>
      </c>
      <c r="L93">
        <v>71</v>
      </c>
      <c r="M93">
        <v>3</v>
      </c>
      <c r="N93">
        <v>2</v>
      </c>
      <c r="O93" t="s">
        <v>40</v>
      </c>
      <c r="P93">
        <v>4</v>
      </c>
      <c r="Q93" t="s">
        <v>41</v>
      </c>
      <c r="R93" s="3">
        <v>5441</v>
      </c>
      <c r="S93">
        <v>8423</v>
      </c>
      <c r="T93">
        <v>0</v>
      </c>
      <c r="U93" t="s">
        <v>35</v>
      </c>
      <c r="V93" s="2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tr">
        <f t="shared" si="4"/>
        <v>46+</v>
      </c>
      <c r="AH93" t="str">
        <f t="shared" si="5"/>
        <v>Mid</v>
      </c>
      <c r="AI93" s="1">
        <f>VLOOKUP(E93,Lookup_Tables!$A$3:$B$5,2,)</f>
        <v>6959.17264573991</v>
      </c>
      <c r="AJ93" t="str">
        <f t="shared" si="6"/>
        <v>Below salary</v>
      </c>
      <c r="AK93" t="str">
        <f t="shared" si="7"/>
        <v>Medium Risk</v>
      </c>
    </row>
    <row r="94" spans="1:37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121</v>
      </c>
      <c r="J94">
        <v>3</v>
      </c>
      <c r="K94" t="s">
        <v>39</v>
      </c>
      <c r="L94">
        <v>63</v>
      </c>
      <c r="M94">
        <v>2</v>
      </c>
      <c r="N94">
        <v>2</v>
      </c>
      <c r="O94" t="s">
        <v>40</v>
      </c>
      <c r="P94">
        <v>2</v>
      </c>
      <c r="Q94" t="s">
        <v>52</v>
      </c>
      <c r="R94" s="3">
        <v>5209</v>
      </c>
      <c r="S94">
        <v>19760</v>
      </c>
      <c r="T94">
        <v>1</v>
      </c>
      <c r="U94" t="s">
        <v>35</v>
      </c>
      <c r="V94" s="2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tr">
        <f t="shared" si="4"/>
        <v>26-35</v>
      </c>
      <c r="AH94" t="str">
        <f t="shared" si="5"/>
        <v>Mid</v>
      </c>
      <c r="AI94" s="1">
        <f>VLOOKUP(E94,Lookup_Tables!$A$3:$B$5,2,)</f>
        <v>6959.17264573991</v>
      </c>
      <c r="AJ94" t="str">
        <f t="shared" si="6"/>
        <v>Below salary</v>
      </c>
      <c r="AK94" t="str">
        <f t="shared" si="7"/>
        <v>High Risk</v>
      </c>
    </row>
    <row r="95" spans="1:37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124</v>
      </c>
      <c r="J95">
        <v>3</v>
      </c>
      <c r="K95" t="s">
        <v>46</v>
      </c>
      <c r="L95">
        <v>40</v>
      </c>
      <c r="M95">
        <v>2</v>
      </c>
      <c r="N95">
        <v>3</v>
      </c>
      <c r="O95" t="s">
        <v>54</v>
      </c>
      <c r="P95">
        <v>1</v>
      </c>
      <c r="Q95" t="s">
        <v>48</v>
      </c>
      <c r="R95" s="3">
        <v>10673</v>
      </c>
      <c r="S95">
        <v>3142</v>
      </c>
      <c r="T95">
        <v>2</v>
      </c>
      <c r="U95" t="s">
        <v>35</v>
      </c>
      <c r="V95" s="2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tr">
        <f t="shared" si="4"/>
        <v>46+</v>
      </c>
      <c r="AH95" t="str">
        <f t="shared" si="5"/>
        <v>High</v>
      </c>
      <c r="AI95" s="1">
        <f>VLOOKUP(E95,Lookup_Tables!$A$3:$B$5,2,)</f>
        <v>6281.2528616024974</v>
      </c>
      <c r="AJ95" t="str">
        <f t="shared" si="6"/>
        <v>Above salary</v>
      </c>
      <c r="AK95" t="str">
        <f t="shared" si="7"/>
        <v>High Risk</v>
      </c>
    </row>
    <row r="96" spans="1:37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125</v>
      </c>
      <c r="J96">
        <v>2</v>
      </c>
      <c r="K96" t="s">
        <v>46</v>
      </c>
      <c r="L96">
        <v>87</v>
      </c>
      <c r="M96">
        <v>3</v>
      </c>
      <c r="N96">
        <v>2</v>
      </c>
      <c r="O96" t="s">
        <v>40</v>
      </c>
      <c r="P96">
        <v>3</v>
      </c>
      <c r="Q96" t="s">
        <v>41</v>
      </c>
      <c r="R96" s="3">
        <v>5010</v>
      </c>
      <c r="S96">
        <v>24301</v>
      </c>
      <c r="T96">
        <v>1</v>
      </c>
      <c r="U96" t="s">
        <v>43</v>
      </c>
      <c r="V96" s="2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tr">
        <f t="shared" si="4"/>
        <v>26-35</v>
      </c>
      <c r="AH96" t="str">
        <f t="shared" si="5"/>
        <v>Mid</v>
      </c>
      <c r="AI96" s="1">
        <f>VLOOKUP(E96,Lookup_Tables!$A$3:$B$5,2,)</f>
        <v>6959.17264573991</v>
      </c>
      <c r="AJ96" t="str">
        <f t="shared" si="6"/>
        <v>Below salary</v>
      </c>
      <c r="AK96" t="str">
        <f t="shared" si="7"/>
        <v>Low Risk</v>
      </c>
    </row>
    <row r="97" spans="1:37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126</v>
      </c>
      <c r="J97">
        <v>1</v>
      </c>
      <c r="K97" t="s">
        <v>39</v>
      </c>
      <c r="L97">
        <v>60</v>
      </c>
      <c r="M97">
        <v>3</v>
      </c>
      <c r="N97">
        <v>3</v>
      </c>
      <c r="O97" t="s">
        <v>58</v>
      </c>
      <c r="P97">
        <v>3</v>
      </c>
      <c r="Q97" t="s">
        <v>48</v>
      </c>
      <c r="R97" s="3">
        <v>13549</v>
      </c>
      <c r="S97">
        <v>24001</v>
      </c>
      <c r="T97">
        <v>9</v>
      </c>
      <c r="U97" t="s">
        <v>43</v>
      </c>
      <c r="V97" s="2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tr">
        <f t="shared" si="4"/>
        <v>46+</v>
      </c>
      <c r="AH97" t="str">
        <f t="shared" si="5"/>
        <v>Very High</v>
      </c>
      <c r="AI97" s="1">
        <f>VLOOKUP(E97,Lookup_Tables!$A$3:$B$5,2,)</f>
        <v>6281.2528616024974</v>
      </c>
      <c r="AJ97" t="str">
        <f t="shared" si="6"/>
        <v>Above salary</v>
      </c>
      <c r="AK97" t="str">
        <f t="shared" si="7"/>
        <v>Low Risk</v>
      </c>
    </row>
    <row r="98" spans="1:37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128</v>
      </c>
      <c r="J98">
        <v>1</v>
      </c>
      <c r="K98" t="s">
        <v>39</v>
      </c>
      <c r="L98">
        <v>33</v>
      </c>
      <c r="M98">
        <v>3</v>
      </c>
      <c r="N98">
        <v>2</v>
      </c>
      <c r="O98" t="s">
        <v>40</v>
      </c>
      <c r="P98">
        <v>3</v>
      </c>
      <c r="Q98" t="s">
        <v>48</v>
      </c>
      <c r="R98" s="3">
        <v>4999</v>
      </c>
      <c r="S98">
        <v>17519</v>
      </c>
      <c r="T98">
        <v>0</v>
      </c>
      <c r="U98" t="s">
        <v>43</v>
      </c>
      <c r="V98" s="2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tr">
        <f t="shared" si="4"/>
        <v>18-25</v>
      </c>
      <c r="AH98" t="str">
        <f t="shared" si="5"/>
        <v>Mid</v>
      </c>
      <c r="AI98" s="1">
        <f>VLOOKUP(E98,Lookup_Tables!$A$3:$B$5,2,)</f>
        <v>6959.17264573991</v>
      </c>
      <c r="AJ98" t="str">
        <f t="shared" si="6"/>
        <v>Below salary</v>
      </c>
      <c r="AK98" t="str">
        <f t="shared" si="7"/>
        <v>Low Risk</v>
      </c>
    </row>
    <row r="99" spans="1:37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129</v>
      </c>
      <c r="J99">
        <v>2</v>
      </c>
      <c r="K99" t="s">
        <v>46</v>
      </c>
      <c r="L99">
        <v>43</v>
      </c>
      <c r="M99">
        <v>3</v>
      </c>
      <c r="N99">
        <v>2</v>
      </c>
      <c r="O99" t="s">
        <v>40</v>
      </c>
      <c r="P99">
        <v>3</v>
      </c>
      <c r="Q99" t="s">
        <v>48</v>
      </c>
      <c r="R99" s="3">
        <v>4221</v>
      </c>
      <c r="S99">
        <v>8863</v>
      </c>
      <c r="T99">
        <v>1</v>
      </c>
      <c r="U99" t="s">
        <v>43</v>
      </c>
      <c r="V99" s="2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tr">
        <f t="shared" si="4"/>
        <v>26-35</v>
      </c>
      <c r="AH99" t="str">
        <f t="shared" si="5"/>
        <v>Mid</v>
      </c>
      <c r="AI99" s="1">
        <f>VLOOKUP(E99,Lookup_Tables!$A$3:$B$5,2,)</f>
        <v>6959.17264573991</v>
      </c>
      <c r="AJ99" t="str">
        <f t="shared" si="6"/>
        <v>Below salary</v>
      </c>
      <c r="AK99" t="str">
        <f t="shared" si="7"/>
        <v>Low Risk</v>
      </c>
    </row>
    <row r="100" spans="1:37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131</v>
      </c>
      <c r="J100">
        <v>4</v>
      </c>
      <c r="K100" t="s">
        <v>46</v>
      </c>
      <c r="L100">
        <v>37</v>
      </c>
      <c r="M100">
        <v>3</v>
      </c>
      <c r="N100">
        <v>4</v>
      </c>
      <c r="O100" t="s">
        <v>40</v>
      </c>
      <c r="P100">
        <v>3</v>
      </c>
      <c r="Q100" t="s">
        <v>41</v>
      </c>
      <c r="R100" s="3">
        <v>13872</v>
      </c>
      <c r="S100">
        <v>24409</v>
      </c>
      <c r="T100">
        <v>0</v>
      </c>
      <c r="U100" t="s">
        <v>43</v>
      </c>
      <c r="V100" s="2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tr">
        <f t="shared" si="4"/>
        <v>46+</v>
      </c>
      <c r="AH100" t="str">
        <f t="shared" si="5"/>
        <v>Very High</v>
      </c>
      <c r="AI100" s="1">
        <f>VLOOKUP(E100,Lookup_Tables!$A$3:$B$5,2,)</f>
        <v>6959.17264573991</v>
      </c>
      <c r="AJ100" t="str">
        <f t="shared" si="6"/>
        <v>Above salary</v>
      </c>
      <c r="AK100" t="str">
        <f t="shared" si="7"/>
        <v>Low Risk</v>
      </c>
    </row>
    <row r="101" spans="1:37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132</v>
      </c>
      <c r="J101">
        <v>2</v>
      </c>
      <c r="K101" t="s">
        <v>46</v>
      </c>
      <c r="L101">
        <v>67</v>
      </c>
      <c r="M101">
        <v>3</v>
      </c>
      <c r="N101">
        <v>2</v>
      </c>
      <c r="O101" t="s">
        <v>50</v>
      </c>
      <c r="P101">
        <v>2</v>
      </c>
      <c r="Q101" t="s">
        <v>48</v>
      </c>
      <c r="R101" s="3">
        <v>2042</v>
      </c>
      <c r="S101">
        <v>25043</v>
      </c>
      <c r="T101">
        <v>4</v>
      </c>
      <c r="U101" t="s">
        <v>43</v>
      </c>
      <c r="V101" s="2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tr">
        <f t="shared" si="4"/>
        <v>36-45</v>
      </c>
      <c r="AH101" t="str">
        <f t="shared" si="5"/>
        <v>Low</v>
      </c>
      <c r="AI101" s="1">
        <f>VLOOKUP(E101,Lookup_Tables!$A$3:$B$5,2,)</f>
        <v>6281.2528616024974</v>
      </c>
      <c r="AJ101" t="str">
        <f t="shared" si="6"/>
        <v>Below salary</v>
      </c>
      <c r="AK101" t="str">
        <f t="shared" si="7"/>
        <v>Medium Risk</v>
      </c>
    </row>
    <row r="102" spans="1:37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133</v>
      </c>
      <c r="J102">
        <v>3</v>
      </c>
      <c r="K102" t="s">
        <v>46</v>
      </c>
      <c r="L102">
        <v>63</v>
      </c>
      <c r="M102">
        <v>3</v>
      </c>
      <c r="N102">
        <v>1</v>
      </c>
      <c r="O102" t="s">
        <v>61</v>
      </c>
      <c r="P102">
        <v>1</v>
      </c>
      <c r="Q102" t="s">
        <v>52</v>
      </c>
      <c r="R102" s="3">
        <v>2073</v>
      </c>
      <c r="S102">
        <v>23648</v>
      </c>
      <c r="T102">
        <v>4</v>
      </c>
      <c r="U102" t="s">
        <v>35</v>
      </c>
      <c r="V102" s="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tr">
        <f t="shared" si="4"/>
        <v>36-45</v>
      </c>
      <c r="AH102" t="str">
        <f t="shared" si="5"/>
        <v>Low</v>
      </c>
      <c r="AI102" s="1">
        <f>VLOOKUP(E102,Lookup_Tables!$A$3:$B$5,2,)</f>
        <v>6654.5079365079364</v>
      </c>
      <c r="AJ102" t="str">
        <f t="shared" si="6"/>
        <v>Below salary</v>
      </c>
      <c r="AK102" t="str">
        <f t="shared" si="7"/>
        <v>High Risk</v>
      </c>
    </row>
    <row r="103" spans="1:37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46</v>
      </c>
      <c r="L103">
        <v>71</v>
      </c>
      <c r="M103">
        <v>3</v>
      </c>
      <c r="N103">
        <v>1</v>
      </c>
      <c r="O103" t="s">
        <v>47</v>
      </c>
      <c r="P103">
        <v>1</v>
      </c>
      <c r="Q103" t="s">
        <v>41</v>
      </c>
      <c r="R103" s="3">
        <v>2956</v>
      </c>
      <c r="S103">
        <v>15178</v>
      </c>
      <c r="T103">
        <v>1</v>
      </c>
      <c r="U103" t="s">
        <v>43</v>
      </c>
      <c r="V103" s="2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tr">
        <f t="shared" si="4"/>
        <v>26-35</v>
      </c>
      <c r="AH103" t="str">
        <f t="shared" si="5"/>
        <v>Low</v>
      </c>
      <c r="AI103" s="1">
        <f>VLOOKUP(E103,Lookup_Tables!$A$3:$B$5,2,)</f>
        <v>6281.2528616024974</v>
      </c>
      <c r="AJ103" t="str">
        <f t="shared" si="6"/>
        <v>Below salary</v>
      </c>
      <c r="AK103" t="str">
        <f t="shared" si="7"/>
        <v>Medium Risk</v>
      </c>
    </row>
    <row r="104" spans="1:37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66</v>
      </c>
      <c r="M104">
        <v>2</v>
      </c>
      <c r="N104">
        <v>1</v>
      </c>
      <c r="O104" t="s">
        <v>50</v>
      </c>
      <c r="P104">
        <v>4</v>
      </c>
      <c r="Q104" t="s">
        <v>41</v>
      </c>
      <c r="R104" s="3">
        <v>2926</v>
      </c>
      <c r="S104">
        <v>19783</v>
      </c>
      <c r="T104">
        <v>1</v>
      </c>
      <c r="U104" t="s">
        <v>35</v>
      </c>
      <c r="V104" s="2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tr">
        <f t="shared" si="4"/>
        <v>18-25</v>
      </c>
      <c r="AH104" t="str">
        <f t="shared" si="5"/>
        <v>Low</v>
      </c>
      <c r="AI104" s="1">
        <f>VLOOKUP(E104,Lookup_Tables!$A$3:$B$5,2,)</f>
        <v>6281.2528616024974</v>
      </c>
      <c r="AJ104" t="str">
        <f t="shared" si="6"/>
        <v>Below salary</v>
      </c>
      <c r="AK104" t="str">
        <f t="shared" si="7"/>
        <v>Medium Risk</v>
      </c>
    </row>
    <row r="105" spans="1:37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t="s">
        <v>39</v>
      </c>
      <c r="L105">
        <v>41</v>
      </c>
      <c r="M105">
        <v>3</v>
      </c>
      <c r="N105">
        <v>2</v>
      </c>
      <c r="O105" t="s">
        <v>47</v>
      </c>
      <c r="P105">
        <v>3</v>
      </c>
      <c r="Q105" t="s">
        <v>41</v>
      </c>
      <c r="R105" s="3">
        <v>4809</v>
      </c>
      <c r="S105">
        <v>12482</v>
      </c>
      <c r="T105">
        <v>1</v>
      </c>
      <c r="U105" t="s">
        <v>43</v>
      </c>
      <c r="V105" s="2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tr">
        <f t="shared" si="4"/>
        <v>26-35</v>
      </c>
      <c r="AH105" t="str">
        <f t="shared" si="5"/>
        <v>Mid</v>
      </c>
      <c r="AI105" s="1">
        <f>VLOOKUP(E105,Lookup_Tables!$A$3:$B$5,2,)</f>
        <v>6281.2528616024974</v>
      </c>
      <c r="AJ105" t="str">
        <f t="shared" si="6"/>
        <v>Below salary</v>
      </c>
      <c r="AK105" t="str">
        <f t="shared" si="7"/>
        <v>Low Risk</v>
      </c>
    </row>
    <row r="106" spans="1:37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46</v>
      </c>
      <c r="L106">
        <v>100</v>
      </c>
      <c r="M106">
        <v>2</v>
      </c>
      <c r="N106">
        <v>2</v>
      </c>
      <c r="O106" t="s">
        <v>54</v>
      </c>
      <c r="P106">
        <v>4</v>
      </c>
      <c r="Q106" t="s">
        <v>52</v>
      </c>
      <c r="R106" s="3">
        <v>5163</v>
      </c>
      <c r="S106">
        <v>15850</v>
      </c>
      <c r="T106">
        <v>5</v>
      </c>
      <c r="U106" t="s">
        <v>43</v>
      </c>
      <c r="V106" s="2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tr">
        <f t="shared" si="4"/>
        <v>36-45</v>
      </c>
      <c r="AH106" t="str">
        <f t="shared" si="5"/>
        <v>Mid</v>
      </c>
      <c r="AI106" s="1">
        <f>VLOOKUP(E106,Lookup_Tables!$A$3:$B$5,2,)</f>
        <v>6281.2528616024974</v>
      </c>
      <c r="AJ106" t="str">
        <f t="shared" si="6"/>
        <v>Below salary</v>
      </c>
      <c r="AK106" t="str">
        <f t="shared" si="7"/>
        <v>Low Risk</v>
      </c>
    </row>
    <row r="107" spans="1:37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140</v>
      </c>
      <c r="J107">
        <v>3</v>
      </c>
      <c r="K107" t="s">
        <v>39</v>
      </c>
      <c r="L107">
        <v>32</v>
      </c>
      <c r="M107">
        <v>2</v>
      </c>
      <c r="N107">
        <v>5</v>
      </c>
      <c r="O107" t="s">
        <v>56</v>
      </c>
      <c r="P107">
        <v>4</v>
      </c>
      <c r="Q107" t="s">
        <v>48</v>
      </c>
      <c r="R107" s="3">
        <v>18844</v>
      </c>
      <c r="S107">
        <v>21922</v>
      </c>
      <c r="T107">
        <v>9</v>
      </c>
      <c r="U107" t="s">
        <v>43</v>
      </c>
      <c r="V107" s="2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tr">
        <f t="shared" si="4"/>
        <v>46+</v>
      </c>
      <c r="AH107" t="str">
        <f t="shared" si="5"/>
        <v>Very High</v>
      </c>
      <c r="AI107" s="1">
        <f>VLOOKUP(E107,Lookup_Tables!$A$3:$B$5,2,)</f>
        <v>6654.5079365079364</v>
      </c>
      <c r="AJ107" t="str">
        <f t="shared" si="6"/>
        <v>Above salary</v>
      </c>
      <c r="AK107" t="str">
        <f t="shared" si="7"/>
        <v>Low Risk</v>
      </c>
    </row>
    <row r="108" spans="1:37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73</v>
      </c>
      <c r="M108">
        <v>3</v>
      </c>
      <c r="N108">
        <v>5</v>
      </c>
      <c r="O108" t="s">
        <v>58</v>
      </c>
      <c r="P108">
        <v>2</v>
      </c>
      <c r="Q108" t="s">
        <v>48</v>
      </c>
      <c r="R108" s="3">
        <v>18172</v>
      </c>
      <c r="S108">
        <v>9755</v>
      </c>
      <c r="T108">
        <v>3</v>
      </c>
      <c r="U108" t="s">
        <v>35</v>
      </c>
      <c r="V108" s="2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tr">
        <f t="shared" si="4"/>
        <v>46+</v>
      </c>
      <c r="AH108" t="str">
        <f t="shared" si="5"/>
        <v>Very High</v>
      </c>
      <c r="AI108" s="1">
        <f>VLOOKUP(E108,Lookup_Tables!$A$3:$B$5,2,)</f>
        <v>6281.2528616024974</v>
      </c>
      <c r="AJ108" t="str">
        <f t="shared" si="6"/>
        <v>Above salary</v>
      </c>
      <c r="AK108" t="str">
        <f t="shared" si="7"/>
        <v>High Risk</v>
      </c>
    </row>
    <row r="109" spans="1:37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142</v>
      </c>
      <c r="J109">
        <v>3</v>
      </c>
      <c r="K109" t="s">
        <v>46</v>
      </c>
      <c r="L109">
        <v>46</v>
      </c>
      <c r="M109">
        <v>2</v>
      </c>
      <c r="N109">
        <v>2</v>
      </c>
      <c r="O109" t="s">
        <v>40</v>
      </c>
      <c r="P109">
        <v>3</v>
      </c>
      <c r="Q109" t="s">
        <v>41</v>
      </c>
      <c r="R109" s="3">
        <v>5744</v>
      </c>
      <c r="S109">
        <v>26959</v>
      </c>
      <c r="T109">
        <v>1</v>
      </c>
      <c r="U109" t="s">
        <v>35</v>
      </c>
      <c r="V109" s="2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tr">
        <f t="shared" si="4"/>
        <v>18-25</v>
      </c>
      <c r="AH109" t="str">
        <f t="shared" si="5"/>
        <v>Mid</v>
      </c>
      <c r="AI109" s="1">
        <f>VLOOKUP(E109,Lookup_Tables!$A$3:$B$5,2,)</f>
        <v>6959.17264573991</v>
      </c>
      <c r="AJ109" t="str">
        <f t="shared" si="6"/>
        <v>Below salary</v>
      </c>
      <c r="AK109" t="str">
        <f t="shared" si="7"/>
        <v>Medium Risk</v>
      </c>
    </row>
    <row r="110" spans="1:37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143</v>
      </c>
      <c r="J110">
        <v>4</v>
      </c>
      <c r="K110" t="s">
        <v>46</v>
      </c>
      <c r="L110">
        <v>64</v>
      </c>
      <c r="M110">
        <v>2</v>
      </c>
      <c r="N110">
        <v>1</v>
      </c>
      <c r="O110" t="s">
        <v>47</v>
      </c>
      <c r="P110">
        <v>4</v>
      </c>
      <c r="Q110" t="s">
        <v>48</v>
      </c>
      <c r="R110" s="3">
        <v>2889</v>
      </c>
      <c r="S110">
        <v>26897</v>
      </c>
      <c r="T110">
        <v>1</v>
      </c>
      <c r="U110" t="s">
        <v>43</v>
      </c>
      <c r="V110" s="2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tr">
        <f t="shared" si="4"/>
        <v>18-25</v>
      </c>
      <c r="AH110" t="str">
        <f t="shared" si="5"/>
        <v>Low</v>
      </c>
      <c r="AI110" s="1">
        <f>VLOOKUP(E110,Lookup_Tables!$A$3:$B$5,2,)</f>
        <v>6281.2528616024974</v>
      </c>
      <c r="AJ110" t="str">
        <f t="shared" si="6"/>
        <v>Below salary</v>
      </c>
      <c r="AK110" t="str">
        <f t="shared" si="7"/>
        <v>Low Risk</v>
      </c>
    </row>
    <row r="111" spans="1:37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144</v>
      </c>
      <c r="J111">
        <v>2</v>
      </c>
      <c r="K111" t="s">
        <v>39</v>
      </c>
      <c r="L111">
        <v>59</v>
      </c>
      <c r="M111">
        <v>3</v>
      </c>
      <c r="N111">
        <v>1</v>
      </c>
      <c r="O111" t="s">
        <v>50</v>
      </c>
      <c r="P111">
        <v>4</v>
      </c>
      <c r="Q111" t="s">
        <v>41</v>
      </c>
      <c r="R111" s="3">
        <v>2871</v>
      </c>
      <c r="S111">
        <v>23785</v>
      </c>
      <c r="T111">
        <v>1</v>
      </c>
      <c r="U111" t="s">
        <v>43</v>
      </c>
      <c r="V111" s="2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tr">
        <f t="shared" si="4"/>
        <v>18-25</v>
      </c>
      <c r="AH111" t="str">
        <f t="shared" si="5"/>
        <v>Low</v>
      </c>
      <c r="AI111" s="1">
        <f>VLOOKUP(E111,Lookup_Tables!$A$3:$B$5,2,)</f>
        <v>6281.2528616024974</v>
      </c>
      <c r="AJ111" t="str">
        <f t="shared" si="6"/>
        <v>Below salary</v>
      </c>
      <c r="AK111" t="str">
        <f t="shared" si="7"/>
        <v>Low Risk</v>
      </c>
    </row>
    <row r="112" spans="1:37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145</v>
      </c>
      <c r="J112">
        <v>1</v>
      </c>
      <c r="K112" t="s">
        <v>39</v>
      </c>
      <c r="L112">
        <v>30</v>
      </c>
      <c r="M112">
        <v>2</v>
      </c>
      <c r="N112">
        <v>3</v>
      </c>
      <c r="O112" t="s">
        <v>54</v>
      </c>
      <c r="P112">
        <v>1</v>
      </c>
      <c r="Q112" t="s">
        <v>41</v>
      </c>
      <c r="R112" s="3">
        <v>7484</v>
      </c>
      <c r="S112">
        <v>25796</v>
      </c>
      <c r="T112">
        <v>3</v>
      </c>
      <c r="U112" t="s">
        <v>43</v>
      </c>
      <c r="V112" s="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tr">
        <f t="shared" si="4"/>
        <v>46+</v>
      </c>
      <c r="AH112" t="str">
        <f t="shared" si="5"/>
        <v>High</v>
      </c>
      <c r="AI112" s="1">
        <f>VLOOKUP(E112,Lookup_Tables!$A$3:$B$5,2,)</f>
        <v>6281.2528616024974</v>
      </c>
      <c r="AJ112" t="str">
        <f t="shared" si="6"/>
        <v>Above salary</v>
      </c>
      <c r="AK112" t="str">
        <f t="shared" si="7"/>
        <v>Medium Risk</v>
      </c>
    </row>
    <row r="113" spans="1:37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46</v>
      </c>
      <c r="L113">
        <v>66</v>
      </c>
      <c r="M113">
        <v>1</v>
      </c>
      <c r="N113">
        <v>2</v>
      </c>
      <c r="O113" t="s">
        <v>50</v>
      </c>
      <c r="P113">
        <v>3</v>
      </c>
      <c r="Q113" t="s">
        <v>41</v>
      </c>
      <c r="R113" s="3">
        <v>6074</v>
      </c>
      <c r="S113">
        <v>22887</v>
      </c>
      <c r="T113">
        <v>1</v>
      </c>
      <c r="U113" t="s">
        <v>35</v>
      </c>
      <c r="V113" s="2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tr">
        <f t="shared" si="4"/>
        <v>26-35</v>
      </c>
      <c r="AH113" t="str">
        <f t="shared" si="5"/>
        <v>Mid</v>
      </c>
      <c r="AI113" s="1">
        <f>VLOOKUP(E113,Lookup_Tables!$A$3:$B$5,2,)</f>
        <v>6281.2528616024974</v>
      </c>
      <c r="AJ113" t="str">
        <f t="shared" si="6"/>
        <v>Below salary</v>
      </c>
      <c r="AK113" t="str">
        <f t="shared" si="7"/>
        <v>Medium Risk</v>
      </c>
    </row>
    <row r="114" spans="1:37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148</v>
      </c>
      <c r="J114">
        <v>4</v>
      </c>
      <c r="K114" t="s">
        <v>39</v>
      </c>
      <c r="L114">
        <v>30</v>
      </c>
      <c r="M114">
        <v>4</v>
      </c>
      <c r="N114">
        <v>4</v>
      </c>
      <c r="O114" t="s">
        <v>56</v>
      </c>
      <c r="P114">
        <v>4</v>
      </c>
      <c r="Q114" t="s">
        <v>41</v>
      </c>
      <c r="R114" s="3">
        <v>17328</v>
      </c>
      <c r="S114">
        <v>13871</v>
      </c>
      <c r="T114">
        <v>2</v>
      </c>
      <c r="U114" t="s">
        <v>35</v>
      </c>
      <c r="V114" s="2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tr">
        <f t="shared" si="4"/>
        <v>46+</v>
      </c>
      <c r="AH114" t="str">
        <f t="shared" si="5"/>
        <v>Very High</v>
      </c>
      <c r="AI114" s="1">
        <f>VLOOKUP(E114,Lookup_Tables!$A$3:$B$5,2,)</f>
        <v>6654.5079365079364</v>
      </c>
      <c r="AJ114" t="str">
        <f t="shared" si="6"/>
        <v>Above salary</v>
      </c>
      <c r="AK114" t="str">
        <f t="shared" si="7"/>
        <v>Medium Risk</v>
      </c>
    </row>
    <row r="115" spans="1:37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46</v>
      </c>
      <c r="L115">
        <v>52</v>
      </c>
      <c r="M115">
        <v>3</v>
      </c>
      <c r="N115">
        <v>1</v>
      </c>
      <c r="O115" t="s">
        <v>50</v>
      </c>
      <c r="P115">
        <v>3</v>
      </c>
      <c r="Q115" t="s">
        <v>48</v>
      </c>
      <c r="R115" s="3">
        <v>2774</v>
      </c>
      <c r="S115">
        <v>13257</v>
      </c>
      <c r="T115">
        <v>0</v>
      </c>
      <c r="U115" t="s">
        <v>43</v>
      </c>
      <c r="V115" s="2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tr">
        <f t="shared" si="4"/>
        <v>18-25</v>
      </c>
      <c r="AH115" t="str">
        <f t="shared" si="5"/>
        <v>Low</v>
      </c>
      <c r="AI115" s="1">
        <f>VLOOKUP(E115,Lookup_Tables!$A$3:$B$5,2,)</f>
        <v>6281.2528616024974</v>
      </c>
      <c r="AJ115" t="str">
        <f t="shared" si="6"/>
        <v>Below salary</v>
      </c>
      <c r="AK115" t="str">
        <f t="shared" si="7"/>
        <v>Low Risk</v>
      </c>
    </row>
    <row r="116" spans="1:37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45</v>
      </c>
      <c r="M116">
        <v>2</v>
      </c>
      <c r="N116">
        <v>2</v>
      </c>
      <c r="O116" t="s">
        <v>47</v>
      </c>
      <c r="P116">
        <v>2</v>
      </c>
      <c r="Q116" t="s">
        <v>52</v>
      </c>
      <c r="R116" s="3">
        <v>4505</v>
      </c>
      <c r="S116">
        <v>15000</v>
      </c>
      <c r="T116">
        <v>6</v>
      </c>
      <c r="U116" t="s">
        <v>43</v>
      </c>
      <c r="V116" s="2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tr">
        <f t="shared" si="4"/>
        <v>26-35</v>
      </c>
      <c r="AH116" t="str">
        <f t="shared" si="5"/>
        <v>Mid</v>
      </c>
      <c r="AI116" s="1">
        <f>VLOOKUP(E116,Lookup_Tables!$A$3:$B$5,2,)</f>
        <v>6281.2528616024974</v>
      </c>
      <c r="AJ116" t="str">
        <f t="shared" si="6"/>
        <v>Below salary</v>
      </c>
      <c r="AK116" t="str">
        <f t="shared" si="7"/>
        <v>Medium Risk</v>
      </c>
    </row>
    <row r="117" spans="1:37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46</v>
      </c>
      <c r="L117">
        <v>87</v>
      </c>
      <c r="M117">
        <v>3</v>
      </c>
      <c r="N117">
        <v>3</v>
      </c>
      <c r="O117" t="s">
        <v>40</v>
      </c>
      <c r="P117">
        <v>4</v>
      </c>
      <c r="Q117" t="s">
        <v>41</v>
      </c>
      <c r="R117" s="3">
        <v>7428</v>
      </c>
      <c r="S117">
        <v>14506</v>
      </c>
      <c r="T117">
        <v>2</v>
      </c>
      <c r="U117" t="s">
        <v>43</v>
      </c>
      <c r="V117" s="2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tr">
        <f t="shared" si="4"/>
        <v>36-45</v>
      </c>
      <c r="AH117" t="str">
        <f t="shared" si="5"/>
        <v>High</v>
      </c>
      <c r="AI117" s="1">
        <f>VLOOKUP(E117,Lookup_Tables!$A$3:$B$5,2,)</f>
        <v>6959.17264573991</v>
      </c>
      <c r="AJ117" t="str">
        <f t="shared" si="6"/>
        <v>Above salary</v>
      </c>
      <c r="AK117" t="str">
        <f t="shared" si="7"/>
        <v>Low Risk</v>
      </c>
    </row>
    <row r="118" spans="1:37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153</v>
      </c>
      <c r="J118">
        <v>3</v>
      </c>
      <c r="K118" t="s">
        <v>39</v>
      </c>
      <c r="L118">
        <v>45</v>
      </c>
      <c r="M118">
        <v>2</v>
      </c>
      <c r="N118">
        <v>3</v>
      </c>
      <c r="O118" t="s">
        <v>56</v>
      </c>
      <c r="P118">
        <v>1</v>
      </c>
      <c r="Q118" t="s">
        <v>41</v>
      </c>
      <c r="R118" s="3">
        <v>11631</v>
      </c>
      <c r="S118">
        <v>5615</v>
      </c>
      <c r="T118">
        <v>2</v>
      </c>
      <c r="U118" t="s">
        <v>43</v>
      </c>
      <c r="V118" s="2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tr">
        <f t="shared" si="4"/>
        <v>26-35</v>
      </c>
      <c r="AH118" t="str">
        <f t="shared" si="5"/>
        <v>High</v>
      </c>
      <c r="AI118" s="1">
        <f>VLOOKUP(E118,Lookup_Tables!$A$3:$B$5,2,)</f>
        <v>6281.2528616024974</v>
      </c>
      <c r="AJ118" t="str">
        <f t="shared" si="6"/>
        <v>Above salary</v>
      </c>
      <c r="AK118" t="str">
        <f t="shared" si="7"/>
        <v>Medium Risk</v>
      </c>
    </row>
    <row r="119" spans="1:37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154</v>
      </c>
      <c r="J119">
        <v>2</v>
      </c>
      <c r="K119" t="s">
        <v>39</v>
      </c>
      <c r="L119">
        <v>92</v>
      </c>
      <c r="M119">
        <v>3</v>
      </c>
      <c r="N119">
        <v>3</v>
      </c>
      <c r="O119" t="s">
        <v>40</v>
      </c>
      <c r="P119">
        <v>4</v>
      </c>
      <c r="Q119" t="s">
        <v>48</v>
      </c>
      <c r="R119" s="3">
        <v>9738</v>
      </c>
      <c r="S119">
        <v>22952</v>
      </c>
      <c r="T119">
        <v>0</v>
      </c>
      <c r="U119" t="s">
        <v>43</v>
      </c>
      <c r="V119" s="2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tr">
        <f t="shared" si="4"/>
        <v>36-45</v>
      </c>
      <c r="AH119" t="str">
        <f t="shared" si="5"/>
        <v>High</v>
      </c>
      <c r="AI119" s="1">
        <f>VLOOKUP(E119,Lookup_Tables!$A$3:$B$5,2,)</f>
        <v>6959.17264573991</v>
      </c>
      <c r="AJ119" t="str">
        <f t="shared" si="6"/>
        <v>Above salary</v>
      </c>
      <c r="AK119" t="str">
        <f t="shared" si="7"/>
        <v>Low Risk</v>
      </c>
    </row>
    <row r="120" spans="1:37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39</v>
      </c>
      <c r="M120">
        <v>3</v>
      </c>
      <c r="N120">
        <v>1</v>
      </c>
      <c r="O120" t="s">
        <v>50</v>
      </c>
      <c r="P120">
        <v>4</v>
      </c>
      <c r="Q120" t="s">
        <v>52</v>
      </c>
      <c r="R120" s="3">
        <v>2835</v>
      </c>
      <c r="S120">
        <v>2561</v>
      </c>
      <c r="T120">
        <v>5</v>
      </c>
      <c r="U120" t="s">
        <v>43</v>
      </c>
      <c r="V120" s="2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tr">
        <f t="shared" si="4"/>
        <v>36-45</v>
      </c>
      <c r="AH120" t="str">
        <f t="shared" si="5"/>
        <v>Low</v>
      </c>
      <c r="AI120" s="1">
        <f>VLOOKUP(E120,Lookup_Tables!$A$3:$B$5,2,)</f>
        <v>6281.2528616024974</v>
      </c>
      <c r="AJ120" t="str">
        <f t="shared" si="6"/>
        <v>Below salary</v>
      </c>
      <c r="AK120" t="str">
        <f t="shared" si="7"/>
        <v>Low Risk</v>
      </c>
    </row>
    <row r="121" spans="1:37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46</v>
      </c>
      <c r="L121">
        <v>92</v>
      </c>
      <c r="M121">
        <v>3</v>
      </c>
      <c r="N121">
        <v>4</v>
      </c>
      <c r="O121" t="s">
        <v>56</v>
      </c>
      <c r="P121">
        <v>4</v>
      </c>
      <c r="Q121" t="s">
        <v>48</v>
      </c>
      <c r="R121" s="3">
        <v>16959</v>
      </c>
      <c r="S121">
        <v>19494</v>
      </c>
      <c r="T121">
        <v>1</v>
      </c>
      <c r="U121" t="s">
        <v>35</v>
      </c>
      <c r="V121" s="2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tr">
        <f t="shared" si="4"/>
        <v>36-45</v>
      </c>
      <c r="AH121" t="str">
        <f t="shared" si="5"/>
        <v>Very High</v>
      </c>
      <c r="AI121" s="1">
        <f>VLOOKUP(E121,Lookup_Tables!$A$3:$B$5,2,)</f>
        <v>6959.17264573991</v>
      </c>
      <c r="AJ121" t="str">
        <f t="shared" si="6"/>
        <v>Above salary</v>
      </c>
      <c r="AK121" t="str">
        <f t="shared" si="7"/>
        <v>Medium Risk</v>
      </c>
    </row>
    <row r="122" spans="1:37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46</v>
      </c>
      <c r="L122">
        <v>96</v>
      </c>
      <c r="M122">
        <v>1</v>
      </c>
      <c r="N122">
        <v>1</v>
      </c>
      <c r="O122" t="s">
        <v>47</v>
      </c>
      <c r="P122">
        <v>3</v>
      </c>
      <c r="Q122" t="s">
        <v>52</v>
      </c>
      <c r="R122" s="3">
        <v>2613</v>
      </c>
      <c r="S122">
        <v>22310</v>
      </c>
      <c r="T122">
        <v>1</v>
      </c>
      <c r="U122" t="s">
        <v>43</v>
      </c>
      <c r="V122" s="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tr">
        <f t="shared" si="4"/>
        <v>26-35</v>
      </c>
      <c r="AH122" t="str">
        <f t="shared" si="5"/>
        <v>Low</v>
      </c>
      <c r="AI122" s="1">
        <f>VLOOKUP(E122,Lookup_Tables!$A$3:$B$5,2,)</f>
        <v>6281.2528616024974</v>
      </c>
      <c r="AJ122" t="str">
        <f t="shared" si="6"/>
        <v>Below salary</v>
      </c>
      <c r="AK122" t="str">
        <f t="shared" si="7"/>
        <v>Low Risk</v>
      </c>
    </row>
    <row r="123" spans="1:37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160</v>
      </c>
      <c r="J123">
        <v>3</v>
      </c>
      <c r="K123" t="s">
        <v>46</v>
      </c>
      <c r="L123">
        <v>95</v>
      </c>
      <c r="M123">
        <v>3</v>
      </c>
      <c r="N123">
        <v>2</v>
      </c>
      <c r="O123" t="s">
        <v>40</v>
      </c>
      <c r="P123">
        <v>2</v>
      </c>
      <c r="Q123" t="s">
        <v>48</v>
      </c>
      <c r="R123" s="3">
        <v>6146</v>
      </c>
      <c r="S123">
        <v>15480</v>
      </c>
      <c r="T123">
        <v>0</v>
      </c>
      <c r="U123" t="s">
        <v>43</v>
      </c>
      <c r="V123" s="2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tr">
        <f t="shared" si="4"/>
        <v>26-35</v>
      </c>
      <c r="AH123" t="str">
        <f t="shared" si="5"/>
        <v>Mid</v>
      </c>
      <c r="AI123" s="1">
        <f>VLOOKUP(E123,Lookup_Tables!$A$3:$B$5,2,)</f>
        <v>6959.17264573991</v>
      </c>
      <c r="AJ123" t="str">
        <f t="shared" si="6"/>
        <v>Below salary</v>
      </c>
      <c r="AK123" t="str">
        <f t="shared" si="7"/>
        <v>Medium Risk</v>
      </c>
    </row>
    <row r="124" spans="1:37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72</v>
      </c>
      <c r="M124">
        <v>3</v>
      </c>
      <c r="N124">
        <v>1</v>
      </c>
      <c r="O124" t="s">
        <v>47</v>
      </c>
      <c r="P124">
        <v>2</v>
      </c>
      <c r="Q124" t="s">
        <v>48</v>
      </c>
      <c r="R124" s="3">
        <v>4963</v>
      </c>
      <c r="S124">
        <v>4510</v>
      </c>
      <c r="T124">
        <v>9</v>
      </c>
      <c r="U124" t="s">
        <v>35</v>
      </c>
      <c r="V124" s="2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tr">
        <f t="shared" si="4"/>
        <v>46+</v>
      </c>
      <c r="AH124" t="str">
        <f t="shared" si="5"/>
        <v>Mid</v>
      </c>
      <c r="AI124" s="1">
        <f>VLOOKUP(E124,Lookup_Tables!$A$3:$B$5,2,)</f>
        <v>6281.2528616024974</v>
      </c>
      <c r="AJ124" t="str">
        <f t="shared" si="6"/>
        <v>Below salary</v>
      </c>
      <c r="AK124" t="str">
        <f t="shared" si="7"/>
        <v>High Risk</v>
      </c>
    </row>
    <row r="125" spans="1:37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46</v>
      </c>
      <c r="L125">
        <v>51</v>
      </c>
      <c r="M125">
        <v>3</v>
      </c>
      <c r="N125">
        <v>5</v>
      </c>
      <c r="O125" t="s">
        <v>58</v>
      </c>
      <c r="P125">
        <v>3</v>
      </c>
      <c r="Q125" t="s">
        <v>41</v>
      </c>
      <c r="R125" s="3">
        <v>19537</v>
      </c>
      <c r="S125">
        <v>6462</v>
      </c>
      <c r="T125">
        <v>7</v>
      </c>
      <c r="U125" t="s">
        <v>43</v>
      </c>
      <c r="V125" s="2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tr">
        <f t="shared" si="4"/>
        <v>46+</v>
      </c>
      <c r="AH125" t="str">
        <f t="shared" si="5"/>
        <v>Very High</v>
      </c>
      <c r="AI125" s="1">
        <f>VLOOKUP(E125,Lookup_Tables!$A$3:$B$5,2,)</f>
        <v>6281.2528616024974</v>
      </c>
      <c r="AJ125" t="str">
        <f t="shared" si="6"/>
        <v>Above salary</v>
      </c>
      <c r="AK125" t="str">
        <f t="shared" si="7"/>
        <v>Low Risk</v>
      </c>
    </row>
    <row r="126" spans="1:37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46</v>
      </c>
      <c r="L126">
        <v>76</v>
      </c>
      <c r="M126">
        <v>1</v>
      </c>
      <c r="N126">
        <v>2</v>
      </c>
      <c r="O126" t="s">
        <v>40</v>
      </c>
      <c r="P126">
        <v>3</v>
      </c>
      <c r="Q126" t="s">
        <v>48</v>
      </c>
      <c r="R126" s="3">
        <v>6172</v>
      </c>
      <c r="S126">
        <v>20739</v>
      </c>
      <c r="T126">
        <v>4</v>
      </c>
      <c r="U126" t="s">
        <v>35</v>
      </c>
      <c r="V126" s="2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tr">
        <f t="shared" si="4"/>
        <v>26-35</v>
      </c>
      <c r="AH126" t="str">
        <f t="shared" si="5"/>
        <v>Mid</v>
      </c>
      <c r="AI126" s="1">
        <f>VLOOKUP(E126,Lookup_Tables!$A$3:$B$5,2,)</f>
        <v>6959.17264573991</v>
      </c>
      <c r="AJ126" t="str">
        <f t="shared" si="6"/>
        <v>Below salary</v>
      </c>
      <c r="AK126" t="str">
        <f t="shared" si="7"/>
        <v>Medium Risk</v>
      </c>
    </row>
    <row r="127" spans="1:37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t="s">
        <v>39</v>
      </c>
      <c r="L127">
        <v>46</v>
      </c>
      <c r="M127">
        <v>2</v>
      </c>
      <c r="N127">
        <v>1</v>
      </c>
      <c r="O127" t="s">
        <v>47</v>
      </c>
      <c r="P127">
        <v>2</v>
      </c>
      <c r="Q127" t="s">
        <v>48</v>
      </c>
      <c r="R127" s="3">
        <v>2368</v>
      </c>
      <c r="S127">
        <v>23300</v>
      </c>
      <c r="T127">
        <v>1</v>
      </c>
      <c r="U127" t="s">
        <v>43</v>
      </c>
      <c r="V127" s="2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tr">
        <f t="shared" si="4"/>
        <v>26-35</v>
      </c>
      <c r="AH127" t="str">
        <f t="shared" si="5"/>
        <v>Low</v>
      </c>
      <c r="AI127" s="1">
        <f>VLOOKUP(E127,Lookup_Tables!$A$3:$B$5,2,)</f>
        <v>6281.2528616024974</v>
      </c>
      <c r="AJ127" t="str">
        <f t="shared" si="6"/>
        <v>Below salary</v>
      </c>
      <c r="AK127" t="str">
        <f t="shared" si="7"/>
        <v>Medium Risk</v>
      </c>
    </row>
    <row r="128" spans="1:37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165</v>
      </c>
      <c r="J128">
        <v>4</v>
      </c>
      <c r="K128" t="s">
        <v>39</v>
      </c>
      <c r="L128">
        <v>94</v>
      </c>
      <c r="M128">
        <v>3</v>
      </c>
      <c r="N128">
        <v>3</v>
      </c>
      <c r="O128" t="s">
        <v>54</v>
      </c>
      <c r="P128">
        <v>4</v>
      </c>
      <c r="Q128" t="s">
        <v>48</v>
      </c>
      <c r="R128" s="3">
        <v>10312</v>
      </c>
      <c r="S128">
        <v>3465</v>
      </c>
      <c r="T128">
        <v>1</v>
      </c>
      <c r="U128" t="s">
        <v>43</v>
      </c>
      <c r="V128" s="2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tr">
        <f t="shared" si="4"/>
        <v>46+</v>
      </c>
      <c r="AH128" t="str">
        <f t="shared" si="5"/>
        <v>High</v>
      </c>
      <c r="AI128" s="1">
        <f>VLOOKUP(E128,Lookup_Tables!$A$3:$B$5,2,)</f>
        <v>6281.2528616024974</v>
      </c>
      <c r="AJ128" t="str">
        <f t="shared" si="6"/>
        <v>Above salary</v>
      </c>
      <c r="AK128" t="str">
        <f t="shared" si="7"/>
        <v>Low Risk</v>
      </c>
    </row>
    <row r="129" spans="1:37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167</v>
      </c>
      <c r="J129">
        <v>4</v>
      </c>
      <c r="K129" t="s">
        <v>46</v>
      </c>
      <c r="L129">
        <v>50</v>
      </c>
      <c r="M129">
        <v>3</v>
      </c>
      <c r="N129">
        <v>1</v>
      </c>
      <c r="O129" t="s">
        <v>57</v>
      </c>
      <c r="P129">
        <v>3</v>
      </c>
      <c r="Q129" t="s">
        <v>41</v>
      </c>
      <c r="R129" s="3">
        <v>1675</v>
      </c>
      <c r="S129">
        <v>26820</v>
      </c>
      <c r="T129">
        <v>1</v>
      </c>
      <c r="U129" t="s">
        <v>35</v>
      </c>
      <c r="V129" s="2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tr">
        <f t="shared" si="4"/>
        <v>18-25</v>
      </c>
      <c r="AH129" t="str">
        <f t="shared" si="5"/>
        <v>Low</v>
      </c>
      <c r="AI129" s="1">
        <f>VLOOKUP(E129,Lookup_Tables!$A$3:$B$5,2,)</f>
        <v>6959.17264573991</v>
      </c>
      <c r="AJ129" t="str">
        <f t="shared" si="6"/>
        <v>Below salary</v>
      </c>
      <c r="AK129" t="str">
        <f t="shared" si="7"/>
        <v>Medium Risk</v>
      </c>
    </row>
    <row r="130" spans="1:37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169</v>
      </c>
      <c r="J130">
        <v>3</v>
      </c>
      <c r="K130" t="s">
        <v>46</v>
      </c>
      <c r="L130">
        <v>100</v>
      </c>
      <c r="M130">
        <v>3</v>
      </c>
      <c r="N130">
        <v>1</v>
      </c>
      <c r="O130" t="s">
        <v>50</v>
      </c>
      <c r="P130">
        <v>4</v>
      </c>
      <c r="Q130" t="s">
        <v>48</v>
      </c>
      <c r="R130" s="3">
        <v>2523</v>
      </c>
      <c r="S130">
        <v>19299</v>
      </c>
      <c r="T130">
        <v>0</v>
      </c>
      <c r="U130" t="s">
        <v>43</v>
      </c>
      <c r="V130" s="2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tr">
        <f t="shared" ref="AG130:AG193" si="8">IF(A130&lt;=25,"18-25",IF(A130&lt;= 35, "26-35",IF(A130&lt;=45, "36-45","46+")))</f>
        <v>18-25</v>
      </c>
      <c r="AH130" t="str">
        <f t="shared" ref="AH130:AH193" si="9">IF(R130&lt;3000,"Low",IF(R130&lt;7000,"Mid", IF(R130&lt;12000, "High", "Very High")))</f>
        <v>Low</v>
      </c>
      <c r="AI130" s="1">
        <f>VLOOKUP(E130,Lookup_Tables!$A$3:$B$5,2,)</f>
        <v>6281.2528616024974</v>
      </c>
      <c r="AJ130" t="str">
        <f t="shared" ref="AJ130:AJ193" si="10">IF(R130&gt;AI130, "Above salary","Below salary")</f>
        <v>Below salary</v>
      </c>
      <c r="AK130" t="str">
        <f t="shared" si="7"/>
        <v>Low Risk</v>
      </c>
    </row>
    <row r="131" spans="1:37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170</v>
      </c>
      <c r="J131">
        <v>3</v>
      </c>
      <c r="K131" t="s">
        <v>39</v>
      </c>
      <c r="L131">
        <v>96</v>
      </c>
      <c r="M131">
        <v>3</v>
      </c>
      <c r="N131">
        <v>2</v>
      </c>
      <c r="O131" t="s">
        <v>53</v>
      </c>
      <c r="P131">
        <v>1</v>
      </c>
      <c r="Q131" t="s">
        <v>48</v>
      </c>
      <c r="R131" s="3">
        <v>6567</v>
      </c>
      <c r="S131">
        <v>5549</v>
      </c>
      <c r="T131">
        <v>1</v>
      </c>
      <c r="U131" t="s">
        <v>43</v>
      </c>
      <c r="V131" s="2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tr">
        <f t="shared" si="8"/>
        <v>46+</v>
      </c>
      <c r="AH131" t="str">
        <f t="shared" si="9"/>
        <v>Mid</v>
      </c>
      <c r="AI131" s="1">
        <f>VLOOKUP(E131,Lookup_Tables!$A$3:$B$5,2,)</f>
        <v>6281.2528616024974</v>
      </c>
      <c r="AJ131" t="str">
        <f t="shared" si="10"/>
        <v>Above salary</v>
      </c>
      <c r="AK131" t="str">
        <f t="shared" ref="AK131:AK194" si="11">IF(AND(P131&lt;=2,U131="Yes"),"High Risk",IF(OR(P131&lt;=2,U131="Yes"),"Medium Risk","Low Risk"))</f>
        <v>Medium Risk</v>
      </c>
    </row>
    <row r="132" spans="1:37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171</v>
      </c>
      <c r="J132">
        <v>2</v>
      </c>
      <c r="K132" t="s">
        <v>39</v>
      </c>
      <c r="L132">
        <v>72</v>
      </c>
      <c r="M132">
        <v>4</v>
      </c>
      <c r="N132">
        <v>1</v>
      </c>
      <c r="O132" t="s">
        <v>47</v>
      </c>
      <c r="P132">
        <v>3</v>
      </c>
      <c r="Q132" t="s">
        <v>41</v>
      </c>
      <c r="R132" s="3">
        <v>4739</v>
      </c>
      <c r="S132">
        <v>16090</v>
      </c>
      <c r="T132">
        <v>4</v>
      </c>
      <c r="U132" t="s">
        <v>43</v>
      </c>
      <c r="V132" s="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tr">
        <f t="shared" si="8"/>
        <v>36-45</v>
      </c>
      <c r="AH132" t="str">
        <f t="shared" si="9"/>
        <v>Mid</v>
      </c>
      <c r="AI132" s="1">
        <f>VLOOKUP(E132,Lookup_Tables!$A$3:$B$5,2,)</f>
        <v>6281.2528616024974</v>
      </c>
      <c r="AJ132" t="str">
        <f t="shared" si="10"/>
        <v>Below salary</v>
      </c>
      <c r="AK132" t="str">
        <f t="shared" si="11"/>
        <v>Low Risk</v>
      </c>
    </row>
    <row r="133" spans="1:37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174</v>
      </c>
      <c r="J133">
        <v>3</v>
      </c>
      <c r="K133" t="s">
        <v>39</v>
      </c>
      <c r="L133">
        <v>77</v>
      </c>
      <c r="M133">
        <v>3</v>
      </c>
      <c r="N133">
        <v>3</v>
      </c>
      <c r="O133" t="s">
        <v>40</v>
      </c>
      <c r="P133">
        <v>4</v>
      </c>
      <c r="Q133" t="s">
        <v>41</v>
      </c>
      <c r="R133" s="3">
        <v>9208</v>
      </c>
      <c r="S133">
        <v>6645</v>
      </c>
      <c r="T133">
        <v>4</v>
      </c>
      <c r="U133" t="s">
        <v>43</v>
      </c>
      <c r="V133" s="2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tr">
        <f t="shared" si="8"/>
        <v>46+</v>
      </c>
      <c r="AH133" t="str">
        <f t="shared" si="9"/>
        <v>High</v>
      </c>
      <c r="AI133" s="1">
        <f>VLOOKUP(E133,Lookup_Tables!$A$3:$B$5,2,)</f>
        <v>6959.17264573991</v>
      </c>
      <c r="AJ133" t="str">
        <f t="shared" si="10"/>
        <v>Above salary</v>
      </c>
      <c r="AK133" t="str">
        <f t="shared" si="11"/>
        <v>Low Risk</v>
      </c>
    </row>
    <row r="134" spans="1:37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71</v>
      </c>
      <c r="M134">
        <v>1</v>
      </c>
      <c r="N134">
        <v>2</v>
      </c>
      <c r="O134" t="s">
        <v>40</v>
      </c>
      <c r="P134">
        <v>3</v>
      </c>
      <c r="Q134" t="s">
        <v>48</v>
      </c>
      <c r="R134" s="3">
        <v>4559</v>
      </c>
      <c r="S134">
        <v>24788</v>
      </c>
      <c r="T134">
        <v>3</v>
      </c>
      <c r="U134" t="s">
        <v>35</v>
      </c>
      <c r="V134" s="2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tr">
        <f t="shared" si="8"/>
        <v>26-35</v>
      </c>
      <c r="AH134" t="str">
        <f t="shared" si="9"/>
        <v>Mid</v>
      </c>
      <c r="AI134" s="1">
        <f>VLOOKUP(E134,Lookup_Tables!$A$3:$B$5,2,)</f>
        <v>6959.17264573991</v>
      </c>
      <c r="AJ134" t="str">
        <f t="shared" si="10"/>
        <v>Below salary</v>
      </c>
      <c r="AK134" t="str">
        <f t="shared" si="11"/>
        <v>Medium Risk</v>
      </c>
    </row>
    <row r="135" spans="1:37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46</v>
      </c>
      <c r="L135">
        <v>96</v>
      </c>
      <c r="M135">
        <v>3</v>
      </c>
      <c r="N135">
        <v>3</v>
      </c>
      <c r="O135" t="s">
        <v>40</v>
      </c>
      <c r="P135">
        <v>3</v>
      </c>
      <c r="Q135" t="s">
        <v>52</v>
      </c>
      <c r="R135" s="3">
        <v>8189</v>
      </c>
      <c r="S135">
        <v>21196</v>
      </c>
      <c r="T135">
        <v>3</v>
      </c>
      <c r="U135" t="s">
        <v>35</v>
      </c>
      <c r="V135" s="2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tr">
        <f t="shared" si="8"/>
        <v>36-45</v>
      </c>
      <c r="AH135" t="str">
        <f t="shared" si="9"/>
        <v>High</v>
      </c>
      <c r="AI135" s="1">
        <f>VLOOKUP(E135,Lookup_Tables!$A$3:$B$5,2,)</f>
        <v>6959.17264573991</v>
      </c>
      <c r="AJ135" t="str">
        <f t="shared" si="10"/>
        <v>Above salary</v>
      </c>
      <c r="AK135" t="str">
        <f t="shared" si="11"/>
        <v>Medium Risk</v>
      </c>
    </row>
    <row r="136" spans="1:37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61</v>
      </c>
      <c r="M136">
        <v>3</v>
      </c>
      <c r="N136">
        <v>1</v>
      </c>
      <c r="O136" t="s">
        <v>61</v>
      </c>
      <c r="P136">
        <v>3</v>
      </c>
      <c r="Q136" t="s">
        <v>48</v>
      </c>
      <c r="R136" s="3">
        <v>2942</v>
      </c>
      <c r="S136">
        <v>8916</v>
      </c>
      <c r="T136">
        <v>1</v>
      </c>
      <c r="U136" t="s">
        <v>43</v>
      </c>
      <c r="V136" s="2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tr">
        <f t="shared" si="8"/>
        <v>26-35</v>
      </c>
      <c r="AH136" t="str">
        <f t="shared" si="9"/>
        <v>Low</v>
      </c>
      <c r="AI136" s="1">
        <f>VLOOKUP(E136,Lookup_Tables!$A$3:$B$5,2,)</f>
        <v>6654.5079365079364</v>
      </c>
      <c r="AJ136" t="str">
        <f t="shared" si="10"/>
        <v>Below salary</v>
      </c>
      <c r="AK136" t="str">
        <f t="shared" si="11"/>
        <v>Low Risk</v>
      </c>
    </row>
    <row r="137" spans="1:37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178</v>
      </c>
      <c r="J137">
        <v>2</v>
      </c>
      <c r="K137" t="s">
        <v>46</v>
      </c>
      <c r="L137">
        <v>84</v>
      </c>
      <c r="M137">
        <v>3</v>
      </c>
      <c r="N137">
        <v>2</v>
      </c>
      <c r="O137" t="s">
        <v>53</v>
      </c>
      <c r="P137">
        <v>2</v>
      </c>
      <c r="Q137" t="s">
        <v>52</v>
      </c>
      <c r="R137" s="3">
        <v>4941</v>
      </c>
      <c r="S137">
        <v>2819</v>
      </c>
      <c r="T137">
        <v>6</v>
      </c>
      <c r="U137" t="s">
        <v>43</v>
      </c>
      <c r="V137" s="2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tr">
        <f t="shared" si="8"/>
        <v>36-45</v>
      </c>
      <c r="AH137" t="str">
        <f t="shared" si="9"/>
        <v>Mid</v>
      </c>
      <c r="AI137" s="1">
        <f>VLOOKUP(E137,Lookup_Tables!$A$3:$B$5,2,)</f>
        <v>6281.2528616024974</v>
      </c>
      <c r="AJ137" t="str">
        <f t="shared" si="10"/>
        <v>Below salary</v>
      </c>
      <c r="AK137" t="str">
        <f t="shared" si="11"/>
        <v>Medium Risk</v>
      </c>
    </row>
    <row r="138" spans="1:37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46</v>
      </c>
      <c r="L138">
        <v>53</v>
      </c>
      <c r="M138">
        <v>1</v>
      </c>
      <c r="N138">
        <v>3</v>
      </c>
      <c r="O138" t="s">
        <v>53</v>
      </c>
      <c r="P138">
        <v>4</v>
      </c>
      <c r="Q138" t="s">
        <v>41</v>
      </c>
      <c r="R138" s="3">
        <v>10650</v>
      </c>
      <c r="S138">
        <v>25150</v>
      </c>
      <c r="T138">
        <v>2</v>
      </c>
      <c r="U138" t="s">
        <v>43</v>
      </c>
      <c r="V138" s="2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tr">
        <f t="shared" si="8"/>
        <v>46+</v>
      </c>
      <c r="AH138" t="str">
        <f t="shared" si="9"/>
        <v>High</v>
      </c>
      <c r="AI138" s="1">
        <f>VLOOKUP(E138,Lookup_Tables!$A$3:$B$5,2,)</f>
        <v>6281.2528616024974</v>
      </c>
      <c r="AJ138" t="str">
        <f t="shared" si="10"/>
        <v>Above salary</v>
      </c>
      <c r="AK138" t="str">
        <f t="shared" si="11"/>
        <v>Low Risk</v>
      </c>
    </row>
    <row r="139" spans="1:37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47</v>
      </c>
      <c r="M139">
        <v>2</v>
      </c>
      <c r="N139">
        <v>2</v>
      </c>
      <c r="O139" t="s">
        <v>40</v>
      </c>
      <c r="P139">
        <v>3</v>
      </c>
      <c r="Q139" t="s">
        <v>48</v>
      </c>
      <c r="R139" s="3">
        <v>5902</v>
      </c>
      <c r="S139">
        <v>14590</v>
      </c>
      <c r="T139">
        <v>4</v>
      </c>
      <c r="U139" t="s">
        <v>43</v>
      </c>
      <c r="V139" s="2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tr">
        <f t="shared" si="8"/>
        <v>36-45</v>
      </c>
      <c r="AH139" t="str">
        <f t="shared" si="9"/>
        <v>Mid</v>
      </c>
      <c r="AI139" s="1">
        <f>VLOOKUP(E139,Lookup_Tables!$A$3:$B$5,2,)</f>
        <v>6959.17264573991</v>
      </c>
      <c r="AJ139" t="str">
        <f t="shared" si="10"/>
        <v>Below salary</v>
      </c>
      <c r="AK139" t="str">
        <f t="shared" si="11"/>
        <v>Low Risk</v>
      </c>
    </row>
    <row r="140" spans="1:37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46</v>
      </c>
      <c r="L140">
        <v>41</v>
      </c>
      <c r="M140">
        <v>2</v>
      </c>
      <c r="N140">
        <v>2</v>
      </c>
      <c r="O140" t="s">
        <v>40</v>
      </c>
      <c r="P140">
        <v>3</v>
      </c>
      <c r="Q140" t="s">
        <v>48</v>
      </c>
      <c r="R140" s="3">
        <v>8639</v>
      </c>
      <c r="S140">
        <v>24835</v>
      </c>
      <c r="T140">
        <v>2</v>
      </c>
      <c r="U140" t="s">
        <v>43</v>
      </c>
      <c r="V140" s="2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tr">
        <f t="shared" si="8"/>
        <v>18-25</v>
      </c>
      <c r="AH140" t="str">
        <f t="shared" si="9"/>
        <v>High</v>
      </c>
      <c r="AI140" s="1">
        <f>VLOOKUP(E140,Lookup_Tables!$A$3:$B$5,2,)</f>
        <v>6959.17264573991</v>
      </c>
      <c r="AJ140" t="str">
        <f t="shared" si="10"/>
        <v>Above salary</v>
      </c>
      <c r="AK140" t="str">
        <f t="shared" si="11"/>
        <v>Low Risk</v>
      </c>
    </row>
    <row r="141" spans="1:37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184</v>
      </c>
      <c r="J141">
        <v>3</v>
      </c>
      <c r="K141" t="s">
        <v>46</v>
      </c>
      <c r="L141">
        <v>48</v>
      </c>
      <c r="M141">
        <v>3</v>
      </c>
      <c r="N141">
        <v>2</v>
      </c>
      <c r="O141" t="s">
        <v>61</v>
      </c>
      <c r="P141">
        <v>4</v>
      </c>
      <c r="Q141" t="s">
        <v>48</v>
      </c>
      <c r="R141" s="3">
        <v>6347</v>
      </c>
      <c r="S141">
        <v>13982</v>
      </c>
      <c r="T141">
        <v>0</v>
      </c>
      <c r="U141" t="s">
        <v>35</v>
      </c>
      <c r="V141" s="2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tr">
        <f t="shared" si="8"/>
        <v>26-35</v>
      </c>
      <c r="AH141" t="str">
        <f t="shared" si="9"/>
        <v>Mid</v>
      </c>
      <c r="AI141" s="1">
        <f>VLOOKUP(E141,Lookup_Tables!$A$3:$B$5,2,)</f>
        <v>6654.5079365079364</v>
      </c>
      <c r="AJ141" t="str">
        <f t="shared" si="10"/>
        <v>Below salary</v>
      </c>
      <c r="AK141" t="str">
        <f t="shared" si="11"/>
        <v>Medium Risk</v>
      </c>
    </row>
    <row r="142" spans="1:37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190</v>
      </c>
      <c r="J142">
        <v>1</v>
      </c>
      <c r="K142" t="s">
        <v>39</v>
      </c>
      <c r="L142">
        <v>41</v>
      </c>
      <c r="M142">
        <v>3</v>
      </c>
      <c r="N142">
        <v>1</v>
      </c>
      <c r="O142" t="s">
        <v>50</v>
      </c>
      <c r="P142">
        <v>1</v>
      </c>
      <c r="Q142" t="s">
        <v>41</v>
      </c>
      <c r="R142" s="3">
        <v>4200</v>
      </c>
      <c r="S142">
        <v>10224</v>
      </c>
      <c r="T142">
        <v>7</v>
      </c>
      <c r="U142" t="s">
        <v>43</v>
      </c>
      <c r="V142" s="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tr">
        <f t="shared" si="8"/>
        <v>26-35</v>
      </c>
      <c r="AH142" t="str">
        <f t="shared" si="9"/>
        <v>Mid</v>
      </c>
      <c r="AI142" s="1">
        <f>VLOOKUP(E142,Lookup_Tables!$A$3:$B$5,2,)</f>
        <v>6281.2528616024974</v>
      </c>
      <c r="AJ142" t="str">
        <f t="shared" si="10"/>
        <v>Below salary</v>
      </c>
      <c r="AK142" t="str">
        <f t="shared" si="11"/>
        <v>Medium Risk</v>
      </c>
    </row>
    <row r="143" spans="1:37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192</v>
      </c>
      <c r="J143">
        <v>3</v>
      </c>
      <c r="K143" t="s">
        <v>46</v>
      </c>
      <c r="L143">
        <v>83</v>
      </c>
      <c r="M143">
        <v>3</v>
      </c>
      <c r="N143">
        <v>1</v>
      </c>
      <c r="O143" t="s">
        <v>47</v>
      </c>
      <c r="P143">
        <v>4</v>
      </c>
      <c r="Q143" t="s">
        <v>41</v>
      </c>
      <c r="R143" s="3">
        <v>3452</v>
      </c>
      <c r="S143">
        <v>9752</v>
      </c>
      <c r="T143">
        <v>5</v>
      </c>
      <c r="U143" t="s">
        <v>43</v>
      </c>
      <c r="V143" s="2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tr">
        <f t="shared" si="8"/>
        <v>36-45</v>
      </c>
      <c r="AH143" t="str">
        <f t="shared" si="9"/>
        <v>Mid</v>
      </c>
      <c r="AI143" s="1">
        <f>VLOOKUP(E143,Lookup_Tables!$A$3:$B$5,2,)</f>
        <v>6281.2528616024974</v>
      </c>
      <c r="AJ143" t="str">
        <f t="shared" si="10"/>
        <v>Below salary</v>
      </c>
      <c r="AK143" t="str">
        <f t="shared" si="11"/>
        <v>Low Risk</v>
      </c>
    </row>
    <row r="144" spans="1:37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193</v>
      </c>
      <c r="J144">
        <v>4</v>
      </c>
      <c r="K144" t="s">
        <v>39</v>
      </c>
      <c r="L144">
        <v>32</v>
      </c>
      <c r="M144">
        <v>3</v>
      </c>
      <c r="N144">
        <v>2</v>
      </c>
      <c r="O144" t="s">
        <v>47</v>
      </c>
      <c r="P144">
        <v>3</v>
      </c>
      <c r="Q144" t="s">
        <v>41</v>
      </c>
      <c r="R144" s="3">
        <v>4317</v>
      </c>
      <c r="S144">
        <v>2302</v>
      </c>
      <c r="T144">
        <v>3</v>
      </c>
      <c r="U144" t="s">
        <v>35</v>
      </c>
      <c r="V144" s="2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tr">
        <f t="shared" si="8"/>
        <v>36-45</v>
      </c>
      <c r="AH144" t="str">
        <f t="shared" si="9"/>
        <v>Mid</v>
      </c>
      <c r="AI144" s="1">
        <f>VLOOKUP(E144,Lookup_Tables!$A$3:$B$5,2,)</f>
        <v>6281.2528616024974</v>
      </c>
      <c r="AJ144" t="str">
        <f t="shared" si="10"/>
        <v>Below salary</v>
      </c>
      <c r="AK144" t="str">
        <f t="shared" si="11"/>
        <v>Medium Risk</v>
      </c>
    </row>
    <row r="145" spans="1:37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75</v>
      </c>
      <c r="M145">
        <v>3</v>
      </c>
      <c r="N145">
        <v>1</v>
      </c>
      <c r="O145" t="s">
        <v>47</v>
      </c>
      <c r="P145">
        <v>3</v>
      </c>
      <c r="Q145" t="s">
        <v>41</v>
      </c>
      <c r="R145" s="3">
        <v>2632</v>
      </c>
      <c r="S145">
        <v>23910</v>
      </c>
      <c r="T145">
        <v>1</v>
      </c>
      <c r="U145" t="s">
        <v>43</v>
      </c>
      <c r="V145" s="2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tr">
        <f t="shared" si="8"/>
        <v>26-35</v>
      </c>
      <c r="AH145" t="str">
        <f t="shared" si="9"/>
        <v>Low</v>
      </c>
      <c r="AI145" s="1">
        <f>VLOOKUP(E145,Lookup_Tables!$A$3:$B$5,2,)</f>
        <v>6281.2528616024974</v>
      </c>
      <c r="AJ145" t="str">
        <f t="shared" si="10"/>
        <v>Below salary</v>
      </c>
      <c r="AK145" t="str">
        <f t="shared" si="11"/>
        <v>Low Risk</v>
      </c>
    </row>
    <row r="146" spans="1:37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195</v>
      </c>
      <c r="J146">
        <v>4</v>
      </c>
      <c r="K146" t="s">
        <v>46</v>
      </c>
      <c r="L146">
        <v>35</v>
      </c>
      <c r="M146">
        <v>1</v>
      </c>
      <c r="N146">
        <v>2</v>
      </c>
      <c r="O146" t="s">
        <v>40</v>
      </c>
      <c r="P146">
        <v>4</v>
      </c>
      <c r="Q146" t="s">
        <v>52</v>
      </c>
      <c r="R146" s="3">
        <v>4668</v>
      </c>
      <c r="S146">
        <v>22812</v>
      </c>
      <c r="T146">
        <v>0</v>
      </c>
      <c r="U146" t="s">
        <v>43</v>
      </c>
      <c r="V146" s="2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tr">
        <f t="shared" si="8"/>
        <v>26-35</v>
      </c>
      <c r="AH146" t="str">
        <f t="shared" si="9"/>
        <v>Mid</v>
      </c>
      <c r="AI146" s="1">
        <f>VLOOKUP(E146,Lookup_Tables!$A$3:$B$5,2,)</f>
        <v>6959.17264573991</v>
      </c>
      <c r="AJ146" t="str">
        <f t="shared" si="10"/>
        <v>Below salary</v>
      </c>
      <c r="AK146" t="str">
        <f t="shared" si="11"/>
        <v>Low Risk</v>
      </c>
    </row>
    <row r="147" spans="1:37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197</v>
      </c>
      <c r="J147">
        <v>4</v>
      </c>
      <c r="K147" t="s">
        <v>39</v>
      </c>
      <c r="L147">
        <v>84</v>
      </c>
      <c r="M147">
        <v>3</v>
      </c>
      <c r="N147">
        <v>1</v>
      </c>
      <c r="O147" t="s">
        <v>47</v>
      </c>
      <c r="P147">
        <v>1</v>
      </c>
      <c r="Q147" t="s">
        <v>52</v>
      </c>
      <c r="R147" s="3">
        <v>3204</v>
      </c>
      <c r="S147">
        <v>10415</v>
      </c>
      <c r="T147">
        <v>5</v>
      </c>
      <c r="U147" t="s">
        <v>43</v>
      </c>
      <c r="V147" s="2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tr">
        <f t="shared" si="8"/>
        <v>26-35</v>
      </c>
      <c r="AH147" t="str">
        <f t="shared" si="9"/>
        <v>Mid</v>
      </c>
      <c r="AI147" s="1">
        <f>VLOOKUP(E147,Lookup_Tables!$A$3:$B$5,2,)</f>
        <v>6281.2528616024974</v>
      </c>
      <c r="AJ147" t="str">
        <f t="shared" si="10"/>
        <v>Below salary</v>
      </c>
      <c r="AK147" t="str">
        <f t="shared" si="11"/>
        <v>Medium Risk</v>
      </c>
    </row>
    <row r="148" spans="1:37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198</v>
      </c>
      <c r="J148">
        <v>2</v>
      </c>
      <c r="K148" t="s">
        <v>46</v>
      </c>
      <c r="L148">
        <v>35</v>
      </c>
      <c r="M148">
        <v>2</v>
      </c>
      <c r="N148">
        <v>1</v>
      </c>
      <c r="O148" t="s">
        <v>50</v>
      </c>
      <c r="P148">
        <v>4</v>
      </c>
      <c r="Q148" t="s">
        <v>41</v>
      </c>
      <c r="R148" s="3">
        <v>2720</v>
      </c>
      <c r="S148">
        <v>11162</v>
      </c>
      <c r="T148">
        <v>0</v>
      </c>
      <c r="U148" t="s">
        <v>43</v>
      </c>
      <c r="V148" s="2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tr">
        <f t="shared" si="8"/>
        <v>26-35</v>
      </c>
      <c r="AH148" t="str">
        <f t="shared" si="9"/>
        <v>Low</v>
      </c>
      <c r="AI148" s="1">
        <f>VLOOKUP(E148,Lookup_Tables!$A$3:$B$5,2,)</f>
        <v>6281.2528616024974</v>
      </c>
      <c r="AJ148" t="str">
        <f t="shared" si="10"/>
        <v>Below salary</v>
      </c>
      <c r="AK148" t="str">
        <f t="shared" si="11"/>
        <v>Low Risk</v>
      </c>
    </row>
    <row r="149" spans="1:37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46</v>
      </c>
      <c r="L149">
        <v>91</v>
      </c>
      <c r="M149">
        <v>2</v>
      </c>
      <c r="N149">
        <v>4</v>
      </c>
      <c r="O149" t="s">
        <v>56</v>
      </c>
      <c r="P149">
        <v>1</v>
      </c>
      <c r="Q149" t="s">
        <v>52</v>
      </c>
      <c r="R149" s="3">
        <v>17181</v>
      </c>
      <c r="S149">
        <v>12888</v>
      </c>
      <c r="T149">
        <v>4</v>
      </c>
      <c r="U149" t="s">
        <v>43</v>
      </c>
      <c r="V149" s="2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tr">
        <f t="shared" si="8"/>
        <v>36-45</v>
      </c>
      <c r="AH149" t="str">
        <f t="shared" si="9"/>
        <v>Very High</v>
      </c>
      <c r="AI149" s="1">
        <f>VLOOKUP(E149,Lookup_Tables!$A$3:$B$5,2,)</f>
        <v>6281.2528616024974</v>
      </c>
      <c r="AJ149" t="str">
        <f t="shared" si="10"/>
        <v>Above salary</v>
      </c>
      <c r="AK149" t="str">
        <f t="shared" si="11"/>
        <v>Medium Risk</v>
      </c>
    </row>
    <row r="150" spans="1:37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46</v>
      </c>
      <c r="L150">
        <v>94</v>
      </c>
      <c r="M150">
        <v>3</v>
      </c>
      <c r="N150">
        <v>1</v>
      </c>
      <c r="O150" t="s">
        <v>50</v>
      </c>
      <c r="P150">
        <v>1</v>
      </c>
      <c r="Q150" t="s">
        <v>48</v>
      </c>
      <c r="R150" s="3">
        <v>2238</v>
      </c>
      <c r="S150">
        <v>6961</v>
      </c>
      <c r="T150">
        <v>2</v>
      </c>
      <c r="U150" t="s">
        <v>43</v>
      </c>
      <c r="V150" s="2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tr">
        <f t="shared" si="8"/>
        <v>36-45</v>
      </c>
      <c r="AH150" t="str">
        <f t="shared" si="9"/>
        <v>Low</v>
      </c>
      <c r="AI150" s="1">
        <f>VLOOKUP(E150,Lookup_Tables!$A$3:$B$5,2,)</f>
        <v>6281.2528616024974</v>
      </c>
      <c r="AJ150" t="str">
        <f t="shared" si="10"/>
        <v>Below salary</v>
      </c>
      <c r="AK150" t="str">
        <f t="shared" si="11"/>
        <v>Medium Risk</v>
      </c>
    </row>
    <row r="151" spans="1:37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201</v>
      </c>
      <c r="J151">
        <v>2</v>
      </c>
      <c r="K151" t="s">
        <v>39</v>
      </c>
      <c r="L151">
        <v>79</v>
      </c>
      <c r="M151">
        <v>3</v>
      </c>
      <c r="N151">
        <v>1</v>
      </c>
      <c r="O151" t="s">
        <v>50</v>
      </c>
      <c r="P151">
        <v>2</v>
      </c>
      <c r="Q151" t="s">
        <v>41</v>
      </c>
      <c r="R151" s="3">
        <v>1483</v>
      </c>
      <c r="S151">
        <v>16102</v>
      </c>
      <c r="T151">
        <v>1</v>
      </c>
      <c r="U151" t="s">
        <v>43</v>
      </c>
      <c r="V151" s="2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tr">
        <f t="shared" si="8"/>
        <v>18-25</v>
      </c>
      <c r="AH151" t="str">
        <f t="shared" si="9"/>
        <v>Low</v>
      </c>
      <c r="AI151" s="1">
        <f>VLOOKUP(E151,Lookup_Tables!$A$3:$B$5,2,)</f>
        <v>6281.2528616024974</v>
      </c>
      <c r="AJ151" t="str">
        <f t="shared" si="10"/>
        <v>Below salary</v>
      </c>
      <c r="AK151" t="str">
        <f t="shared" si="11"/>
        <v>Medium Risk</v>
      </c>
    </row>
    <row r="152" spans="1:37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202</v>
      </c>
      <c r="J152">
        <v>2</v>
      </c>
      <c r="K152" t="s">
        <v>39</v>
      </c>
      <c r="L152">
        <v>54</v>
      </c>
      <c r="M152">
        <v>3</v>
      </c>
      <c r="N152">
        <v>2</v>
      </c>
      <c r="O152" t="s">
        <v>47</v>
      </c>
      <c r="P152">
        <v>2</v>
      </c>
      <c r="Q152" t="s">
        <v>52</v>
      </c>
      <c r="R152" s="3">
        <v>5605</v>
      </c>
      <c r="S152">
        <v>8504</v>
      </c>
      <c r="T152">
        <v>1</v>
      </c>
      <c r="U152" t="s">
        <v>43</v>
      </c>
      <c r="V152" s="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tr">
        <f t="shared" si="8"/>
        <v>36-45</v>
      </c>
      <c r="AH152" t="str">
        <f t="shared" si="9"/>
        <v>Mid</v>
      </c>
      <c r="AI152" s="1">
        <f>VLOOKUP(E152,Lookup_Tables!$A$3:$B$5,2,)</f>
        <v>6281.2528616024974</v>
      </c>
      <c r="AJ152" t="str">
        <f t="shared" si="10"/>
        <v>Below salary</v>
      </c>
      <c r="AK152" t="str">
        <f t="shared" si="11"/>
        <v>Medium Risk</v>
      </c>
    </row>
    <row r="153" spans="1:37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204</v>
      </c>
      <c r="J153">
        <v>3</v>
      </c>
      <c r="K153" t="s">
        <v>46</v>
      </c>
      <c r="L153">
        <v>94</v>
      </c>
      <c r="M153">
        <v>3</v>
      </c>
      <c r="N153">
        <v>3</v>
      </c>
      <c r="O153" t="s">
        <v>40</v>
      </c>
      <c r="P153">
        <v>2</v>
      </c>
      <c r="Q153" t="s">
        <v>48</v>
      </c>
      <c r="R153" s="3">
        <v>7295</v>
      </c>
      <c r="S153">
        <v>11439</v>
      </c>
      <c r="T153">
        <v>1</v>
      </c>
      <c r="U153" t="s">
        <v>43</v>
      </c>
      <c r="V153" s="2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tr">
        <f t="shared" si="8"/>
        <v>26-35</v>
      </c>
      <c r="AH153" t="str">
        <f t="shared" si="9"/>
        <v>High</v>
      </c>
      <c r="AI153" s="1">
        <f>VLOOKUP(E153,Lookup_Tables!$A$3:$B$5,2,)</f>
        <v>6959.17264573991</v>
      </c>
      <c r="AJ153" t="str">
        <f t="shared" si="10"/>
        <v>Above salary</v>
      </c>
      <c r="AK153" t="str">
        <f t="shared" si="11"/>
        <v>Medium Risk</v>
      </c>
    </row>
    <row r="154" spans="1:37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205</v>
      </c>
      <c r="J154">
        <v>2</v>
      </c>
      <c r="K154" t="s">
        <v>46</v>
      </c>
      <c r="L154">
        <v>34</v>
      </c>
      <c r="M154">
        <v>3</v>
      </c>
      <c r="N154">
        <v>2</v>
      </c>
      <c r="O154" t="s">
        <v>57</v>
      </c>
      <c r="P154">
        <v>3</v>
      </c>
      <c r="Q154" t="s">
        <v>48</v>
      </c>
      <c r="R154" s="3">
        <v>2306</v>
      </c>
      <c r="S154">
        <v>16047</v>
      </c>
      <c r="T154">
        <v>2</v>
      </c>
      <c r="U154" t="s">
        <v>35</v>
      </c>
      <c r="V154" s="2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tr">
        <f t="shared" si="8"/>
        <v>46+</v>
      </c>
      <c r="AH154" t="str">
        <f t="shared" si="9"/>
        <v>Low</v>
      </c>
      <c r="AI154" s="1">
        <f>VLOOKUP(E154,Lookup_Tables!$A$3:$B$5,2,)</f>
        <v>6959.17264573991</v>
      </c>
      <c r="AJ154" t="str">
        <f t="shared" si="10"/>
        <v>Below salary</v>
      </c>
      <c r="AK154" t="str">
        <f t="shared" si="11"/>
        <v>Medium Risk</v>
      </c>
    </row>
    <row r="155" spans="1:37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46</v>
      </c>
      <c r="L155">
        <v>60</v>
      </c>
      <c r="M155">
        <v>3</v>
      </c>
      <c r="N155">
        <v>2</v>
      </c>
      <c r="O155" t="s">
        <v>50</v>
      </c>
      <c r="P155">
        <v>2</v>
      </c>
      <c r="Q155" t="s">
        <v>52</v>
      </c>
      <c r="R155" s="3">
        <v>2348</v>
      </c>
      <c r="S155">
        <v>10901</v>
      </c>
      <c r="T155">
        <v>8</v>
      </c>
      <c r="U155" t="s">
        <v>43</v>
      </c>
      <c r="V155" s="2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tr">
        <f t="shared" si="8"/>
        <v>36-45</v>
      </c>
      <c r="AH155" t="str">
        <f t="shared" si="9"/>
        <v>Low</v>
      </c>
      <c r="AI155" s="1">
        <f>VLOOKUP(E155,Lookup_Tables!$A$3:$B$5,2,)</f>
        <v>6281.2528616024974</v>
      </c>
      <c r="AJ155" t="str">
        <f t="shared" si="10"/>
        <v>Below salary</v>
      </c>
      <c r="AK155" t="str">
        <f t="shared" si="11"/>
        <v>Medium Risk</v>
      </c>
    </row>
    <row r="156" spans="1:37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207</v>
      </c>
      <c r="J156">
        <v>2</v>
      </c>
      <c r="K156" t="s">
        <v>39</v>
      </c>
      <c r="L156">
        <v>43</v>
      </c>
      <c r="M156">
        <v>3</v>
      </c>
      <c r="N156">
        <v>3</v>
      </c>
      <c r="O156" t="s">
        <v>40</v>
      </c>
      <c r="P156">
        <v>4</v>
      </c>
      <c r="Q156" t="s">
        <v>41</v>
      </c>
      <c r="R156" s="3">
        <v>8998</v>
      </c>
      <c r="S156">
        <v>15589</v>
      </c>
      <c r="T156">
        <v>1</v>
      </c>
      <c r="U156" t="s">
        <v>43</v>
      </c>
      <c r="V156" s="2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tr">
        <f t="shared" si="8"/>
        <v>26-35</v>
      </c>
      <c r="AH156" t="str">
        <f t="shared" si="9"/>
        <v>High</v>
      </c>
      <c r="AI156" s="1">
        <f>VLOOKUP(E156,Lookup_Tables!$A$3:$B$5,2,)</f>
        <v>6959.17264573991</v>
      </c>
      <c r="AJ156" t="str">
        <f t="shared" si="10"/>
        <v>Above salary</v>
      </c>
      <c r="AK156" t="str">
        <f t="shared" si="11"/>
        <v>Low Risk</v>
      </c>
    </row>
    <row r="157" spans="1:37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208</v>
      </c>
      <c r="J157">
        <v>4</v>
      </c>
      <c r="K157" t="s">
        <v>46</v>
      </c>
      <c r="L157">
        <v>41</v>
      </c>
      <c r="M157">
        <v>3</v>
      </c>
      <c r="N157">
        <v>2</v>
      </c>
      <c r="O157" t="s">
        <v>53</v>
      </c>
      <c r="P157">
        <v>3</v>
      </c>
      <c r="Q157" t="s">
        <v>48</v>
      </c>
      <c r="R157" s="3">
        <v>4319</v>
      </c>
      <c r="S157">
        <v>26283</v>
      </c>
      <c r="T157">
        <v>1</v>
      </c>
      <c r="U157" t="s">
        <v>43</v>
      </c>
      <c r="V157" s="2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tr">
        <f t="shared" si="8"/>
        <v>26-35</v>
      </c>
      <c r="AH157" t="str">
        <f t="shared" si="9"/>
        <v>Mid</v>
      </c>
      <c r="AI157" s="1">
        <f>VLOOKUP(E157,Lookup_Tables!$A$3:$B$5,2,)</f>
        <v>6281.2528616024974</v>
      </c>
      <c r="AJ157" t="str">
        <f t="shared" si="10"/>
        <v>Below salary</v>
      </c>
      <c r="AK157" t="str">
        <f t="shared" si="11"/>
        <v>Low Risk</v>
      </c>
    </row>
    <row r="158" spans="1:37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211</v>
      </c>
      <c r="J158">
        <v>2</v>
      </c>
      <c r="K158" t="s">
        <v>46</v>
      </c>
      <c r="L158">
        <v>34</v>
      </c>
      <c r="M158">
        <v>2</v>
      </c>
      <c r="N158">
        <v>2</v>
      </c>
      <c r="O158" t="s">
        <v>53</v>
      </c>
      <c r="P158">
        <v>3</v>
      </c>
      <c r="Q158" t="s">
        <v>48</v>
      </c>
      <c r="R158" s="3">
        <v>6132</v>
      </c>
      <c r="S158">
        <v>13983</v>
      </c>
      <c r="T158">
        <v>2</v>
      </c>
      <c r="U158" t="s">
        <v>43</v>
      </c>
      <c r="V158" s="2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tr">
        <f t="shared" si="8"/>
        <v>46+</v>
      </c>
      <c r="AH158" t="str">
        <f t="shared" si="9"/>
        <v>Mid</v>
      </c>
      <c r="AI158" s="1">
        <f>VLOOKUP(E158,Lookup_Tables!$A$3:$B$5,2,)</f>
        <v>6281.2528616024974</v>
      </c>
      <c r="AJ158" t="str">
        <f t="shared" si="10"/>
        <v>Below salary</v>
      </c>
      <c r="AK158" t="str">
        <f t="shared" si="11"/>
        <v>Low Risk</v>
      </c>
    </row>
    <row r="159" spans="1:37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214</v>
      </c>
      <c r="J159">
        <v>2</v>
      </c>
      <c r="K159" t="s">
        <v>39</v>
      </c>
      <c r="L159">
        <v>75</v>
      </c>
      <c r="M159">
        <v>2</v>
      </c>
      <c r="N159">
        <v>1</v>
      </c>
      <c r="O159" t="s">
        <v>47</v>
      </c>
      <c r="P159">
        <v>2</v>
      </c>
      <c r="Q159" t="s">
        <v>48</v>
      </c>
      <c r="R159" s="3">
        <v>3346</v>
      </c>
      <c r="S159">
        <v>11873</v>
      </c>
      <c r="T159">
        <v>4</v>
      </c>
      <c r="U159" t="s">
        <v>35</v>
      </c>
      <c r="V159" s="2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tr">
        <f t="shared" si="8"/>
        <v>46+</v>
      </c>
      <c r="AH159" t="str">
        <f t="shared" si="9"/>
        <v>Mid</v>
      </c>
      <c r="AI159" s="1">
        <f>VLOOKUP(E159,Lookup_Tables!$A$3:$B$5,2,)</f>
        <v>6281.2528616024974</v>
      </c>
      <c r="AJ159" t="str">
        <f t="shared" si="10"/>
        <v>Below salary</v>
      </c>
      <c r="AK159" t="str">
        <f t="shared" si="11"/>
        <v>High Risk</v>
      </c>
    </row>
    <row r="160" spans="1:37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215</v>
      </c>
      <c r="J160">
        <v>3</v>
      </c>
      <c r="K160" t="s">
        <v>46</v>
      </c>
      <c r="L160">
        <v>67</v>
      </c>
      <c r="M160">
        <v>2</v>
      </c>
      <c r="N160">
        <v>3</v>
      </c>
      <c r="O160" t="s">
        <v>40</v>
      </c>
      <c r="P160">
        <v>4</v>
      </c>
      <c r="Q160" t="s">
        <v>48</v>
      </c>
      <c r="R160" s="3">
        <v>10855</v>
      </c>
      <c r="S160">
        <v>8552</v>
      </c>
      <c r="T160">
        <v>7</v>
      </c>
      <c r="U160" t="s">
        <v>43</v>
      </c>
      <c r="V160" s="2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tr">
        <f t="shared" si="8"/>
        <v>36-45</v>
      </c>
      <c r="AH160" t="str">
        <f t="shared" si="9"/>
        <v>High</v>
      </c>
      <c r="AI160" s="1">
        <f>VLOOKUP(E160,Lookup_Tables!$A$3:$B$5,2,)</f>
        <v>6959.17264573991</v>
      </c>
      <c r="AJ160" t="str">
        <f t="shared" si="10"/>
        <v>Above salary</v>
      </c>
      <c r="AK160" t="str">
        <f t="shared" si="11"/>
        <v>Low Risk</v>
      </c>
    </row>
    <row r="161" spans="1:37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216</v>
      </c>
      <c r="J161">
        <v>3</v>
      </c>
      <c r="K161" t="s">
        <v>39</v>
      </c>
      <c r="L161">
        <v>75</v>
      </c>
      <c r="M161">
        <v>3</v>
      </c>
      <c r="N161">
        <v>1</v>
      </c>
      <c r="O161" t="s">
        <v>57</v>
      </c>
      <c r="P161">
        <v>3</v>
      </c>
      <c r="Q161" t="s">
        <v>48</v>
      </c>
      <c r="R161" s="3">
        <v>2231</v>
      </c>
      <c r="S161">
        <v>11314</v>
      </c>
      <c r="T161">
        <v>6</v>
      </c>
      <c r="U161" t="s">
        <v>43</v>
      </c>
      <c r="V161" s="2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tr">
        <f t="shared" si="8"/>
        <v>26-35</v>
      </c>
      <c r="AH161" t="str">
        <f t="shared" si="9"/>
        <v>Low</v>
      </c>
      <c r="AI161" s="1">
        <f>VLOOKUP(E161,Lookup_Tables!$A$3:$B$5,2,)</f>
        <v>6959.17264573991</v>
      </c>
      <c r="AJ161" t="str">
        <f t="shared" si="10"/>
        <v>Below salary</v>
      </c>
      <c r="AK161" t="str">
        <f t="shared" si="11"/>
        <v>Low Risk</v>
      </c>
    </row>
    <row r="162" spans="1:37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217</v>
      </c>
      <c r="J162">
        <v>3</v>
      </c>
      <c r="K162" t="s">
        <v>46</v>
      </c>
      <c r="L162">
        <v>80</v>
      </c>
      <c r="M162">
        <v>3</v>
      </c>
      <c r="N162">
        <v>1</v>
      </c>
      <c r="O162" t="s">
        <v>47</v>
      </c>
      <c r="P162">
        <v>4</v>
      </c>
      <c r="Q162" t="s">
        <v>48</v>
      </c>
      <c r="R162" s="3">
        <v>2323</v>
      </c>
      <c r="S162">
        <v>11992</v>
      </c>
      <c r="T162">
        <v>1</v>
      </c>
      <c r="U162" t="s">
        <v>43</v>
      </c>
      <c r="V162" s="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tr">
        <f t="shared" si="8"/>
        <v>18-25</v>
      </c>
      <c r="AH162" t="str">
        <f t="shared" si="9"/>
        <v>Low</v>
      </c>
      <c r="AI162" s="1">
        <f>VLOOKUP(E162,Lookup_Tables!$A$3:$B$5,2,)</f>
        <v>6281.2528616024974</v>
      </c>
      <c r="AJ162" t="str">
        <f t="shared" si="10"/>
        <v>Below salary</v>
      </c>
      <c r="AK162" t="str">
        <f t="shared" si="11"/>
        <v>Low Risk</v>
      </c>
    </row>
    <row r="163" spans="1:37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218</v>
      </c>
      <c r="J163">
        <v>4</v>
      </c>
      <c r="K163" t="s">
        <v>46</v>
      </c>
      <c r="L163">
        <v>57</v>
      </c>
      <c r="M163">
        <v>3</v>
      </c>
      <c r="N163">
        <v>1</v>
      </c>
      <c r="O163" t="s">
        <v>47</v>
      </c>
      <c r="P163">
        <v>2</v>
      </c>
      <c r="Q163" t="s">
        <v>52</v>
      </c>
      <c r="R163" s="3">
        <v>2024</v>
      </c>
      <c r="S163">
        <v>5970</v>
      </c>
      <c r="T163">
        <v>6</v>
      </c>
      <c r="U163" t="s">
        <v>43</v>
      </c>
      <c r="V163" s="2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tr">
        <f t="shared" si="8"/>
        <v>26-35</v>
      </c>
      <c r="AH163" t="str">
        <f t="shared" si="9"/>
        <v>Low</v>
      </c>
      <c r="AI163" s="1">
        <f>VLOOKUP(E163,Lookup_Tables!$A$3:$B$5,2,)</f>
        <v>6281.2528616024974</v>
      </c>
      <c r="AJ163" t="str">
        <f t="shared" si="10"/>
        <v>Below salary</v>
      </c>
      <c r="AK163" t="str">
        <f t="shared" si="11"/>
        <v>Medium Risk</v>
      </c>
    </row>
    <row r="164" spans="1:37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221</v>
      </c>
      <c r="J164">
        <v>3</v>
      </c>
      <c r="K164" t="s">
        <v>46</v>
      </c>
      <c r="L164">
        <v>42</v>
      </c>
      <c r="M164">
        <v>3</v>
      </c>
      <c r="N164">
        <v>1</v>
      </c>
      <c r="O164" t="s">
        <v>47</v>
      </c>
      <c r="P164">
        <v>4</v>
      </c>
      <c r="Q164" t="s">
        <v>48</v>
      </c>
      <c r="R164" s="3">
        <v>2713</v>
      </c>
      <c r="S164">
        <v>6672</v>
      </c>
      <c r="T164">
        <v>1</v>
      </c>
      <c r="U164" t="s">
        <v>43</v>
      </c>
      <c r="V164" s="2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tr">
        <f t="shared" si="8"/>
        <v>26-35</v>
      </c>
      <c r="AH164" t="str">
        <f t="shared" si="9"/>
        <v>Low</v>
      </c>
      <c r="AI164" s="1">
        <f>VLOOKUP(E164,Lookup_Tables!$A$3:$B$5,2,)</f>
        <v>6281.2528616024974</v>
      </c>
      <c r="AJ164" t="str">
        <f t="shared" si="10"/>
        <v>Below salary</v>
      </c>
      <c r="AK164" t="str">
        <f t="shared" si="11"/>
        <v>Low Risk</v>
      </c>
    </row>
    <row r="165" spans="1:37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46</v>
      </c>
      <c r="L165">
        <v>83</v>
      </c>
      <c r="M165">
        <v>4</v>
      </c>
      <c r="N165">
        <v>3</v>
      </c>
      <c r="O165" t="s">
        <v>54</v>
      </c>
      <c r="P165">
        <v>4</v>
      </c>
      <c r="Q165" t="s">
        <v>52</v>
      </c>
      <c r="R165" s="3">
        <v>9439</v>
      </c>
      <c r="S165">
        <v>23402</v>
      </c>
      <c r="T165">
        <v>3</v>
      </c>
      <c r="U165" t="s">
        <v>35</v>
      </c>
      <c r="V165" s="2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tr">
        <f t="shared" si="8"/>
        <v>46+</v>
      </c>
      <c r="AH165" t="str">
        <f t="shared" si="9"/>
        <v>High</v>
      </c>
      <c r="AI165" s="1">
        <f>VLOOKUP(E165,Lookup_Tables!$A$3:$B$5,2,)</f>
        <v>6281.2528616024974</v>
      </c>
      <c r="AJ165" t="str">
        <f t="shared" si="10"/>
        <v>Above salary</v>
      </c>
      <c r="AK165" t="str">
        <f t="shared" si="11"/>
        <v>Medium Risk</v>
      </c>
    </row>
    <row r="166" spans="1:37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224</v>
      </c>
      <c r="J166">
        <v>3</v>
      </c>
      <c r="K166" t="s">
        <v>46</v>
      </c>
      <c r="L166">
        <v>79</v>
      </c>
      <c r="M166">
        <v>2</v>
      </c>
      <c r="N166">
        <v>1</v>
      </c>
      <c r="O166" t="s">
        <v>47</v>
      </c>
      <c r="P166">
        <v>3</v>
      </c>
      <c r="Q166" t="s">
        <v>52</v>
      </c>
      <c r="R166" s="3">
        <v>2566</v>
      </c>
      <c r="S166">
        <v>25326</v>
      </c>
      <c r="T166">
        <v>1</v>
      </c>
      <c r="U166" t="s">
        <v>35</v>
      </c>
      <c r="V166" s="2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tr">
        <f t="shared" si="8"/>
        <v>26-35</v>
      </c>
      <c r="AH166" t="str">
        <f t="shared" si="9"/>
        <v>Low</v>
      </c>
      <c r="AI166" s="1">
        <f>VLOOKUP(E166,Lookup_Tables!$A$3:$B$5,2,)</f>
        <v>6281.2528616024974</v>
      </c>
      <c r="AJ166" t="str">
        <f t="shared" si="10"/>
        <v>Below salary</v>
      </c>
      <c r="AK166" t="str">
        <f t="shared" si="11"/>
        <v>Medium Risk</v>
      </c>
    </row>
    <row r="167" spans="1:37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53</v>
      </c>
      <c r="M167">
        <v>3</v>
      </c>
      <c r="N167">
        <v>5</v>
      </c>
      <c r="O167" t="s">
        <v>56</v>
      </c>
      <c r="P167">
        <v>2</v>
      </c>
      <c r="Q167" t="s">
        <v>41</v>
      </c>
      <c r="R167" s="3">
        <v>19926</v>
      </c>
      <c r="S167">
        <v>17053</v>
      </c>
      <c r="T167">
        <v>3</v>
      </c>
      <c r="U167" t="s">
        <v>43</v>
      </c>
      <c r="V167" s="2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tr">
        <f t="shared" si="8"/>
        <v>46+</v>
      </c>
      <c r="AH167" t="str">
        <f t="shared" si="9"/>
        <v>Very High</v>
      </c>
      <c r="AI167" s="1">
        <f>VLOOKUP(E167,Lookup_Tables!$A$3:$B$5,2,)</f>
        <v>6281.2528616024974</v>
      </c>
      <c r="AJ167" t="str">
        <f t="shared" si="10"/>
        <v>Above salary</v>
      </c>
      <c r="AK167" t="str">
        <f t="shared" si="11"/>
        <v>Medium Risk</v>
      </c>
    </row>
    <row r="168" spans="1:37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46</v>
      </c>
      <c r="L168">
        <v>56</v>
      </c>
      <c r="M168">
        <v>3</v>
      </c>
      <c r="N168">
        <v>1</v>
      </c>
      <c r="O168" t="s">
        <v>47</v>
      </c>
      <c r="P168">
        <v>3</v>
      </c>
      <c r="Q168" t="s">
        <v>52</v>
      </c>
      <c r="R168" s="3">
        <v>2451</v>
      </c>
      <c r="S168">
        <v>4609</v>
      </c>
      <c r="T168">
        <v>4</v>
      </c>
      <c r="U168" t="s">
        <v>43</v>
      </c>
      <c r="V168" s="2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tr">
        <f t="shared" si="8"/>
        <v>36-45</v>
      </c>
      <c r="AH168" t="str">
        <f t="shared" si="9"/>
        <v>Low</v>
      </c>
      <c r="AI168" s="1">
        <f>VLOOKUP(E168,Lookup_Tables!$A$3:$B$5,2,)</f>
        <v>6281.2528616024974</v>
      </c>
      <c r="AJ168" t="str">
        <f t="shared" si="10"/>
        <v>Below salary</v>
      </c>
      <c r="AK168" t="str">
        <f t="shared" si="11"/>
        <v>Low Risk</v>
      </c>
    </row>
    <row r="169" spans="1:37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41</v>
      </c>
      <c r="M169">
        <v>3</v>
      </c>
      <c r="N169">
        <v>3</v>
      </c>
      <c r="O169" t="s">
        <v>40</v>
      </c>
      <c r="P169">
        <v>4</v>
      </c>
      <c r="Q169" t="s">
        <v>48</v>
      </c>
      <c r="R169" s="3">
        <v>9419</v>
      </c>
      <c r="S169">
        <v>8053</v>
      </c>
      <c r="T169">
        <v>2</v>
      </c>
      <c r="U169" t="s">
        <v>43</v>
      </c>
      <c r="V169" s="2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tr">
        <f t="shared" si="8"/>
        <v>26-35</v>
      </c>
      <c r="AH169" t="str">
        <f t="shared" si="9"/>
        <v>High</v>
      </c>
      <c r="AI169" s="1">
        <f>VLOOKUP(E169,Lookup_Tables!$A$3:$B$5,2,)</f>
        <v>6959.17264573991</v>
      </c>
      <c r="AJ169" t="str">
        <f t="shared" si="10"/>
        <v>Above salary</v>
      </c>
      <c r="AK169" t="str">
        <f t="shared" si="11"/>
        <v>Low Risk</v>
      </c>
    </row>
    <row r="170" spans="1:37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59</v>
      </c>
      <c r="M170">
        <v>2</v>
      </c>
      <c r="N170">
        <v>2</v>
      </c>
      <c r="O170" t="s">
        <v>40</v>
      </c>
      <c r="P170">
        <v>4</v>
      </c>
      <c r="Q170" t="s">
        <v>41</v>
      </c>
      <c r="R170" s="3">
        <v>8686</v>
      </c>
      <c r="S170">
        <v>12930</v>
      </c>
      <c r="T170">
        <v>4</v>
      </c>
      <c r="U170" t="s">
        <v>43</v>
      </c>
      <c r="V170" s="2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tr">
        <f t="shared" si="8"/>
        <v>36-45</v>
      </c>
      <c r="AH170" t="str">
        <f t="shared" si="9"/>
        <v>High</v>
      </c>
      <c r="AI170" s="1">
        <f>VLOOKUP(E170,Lookup_Tables!$A$3:$B$5,2,)</f>
        <v>6959.17264573991</v>
      </c>
      <c r="AJ170" t="str">
        <f t="shared" si="10"/>
        <v>Above salary</v>
      </c>
      <c r="AK170" t="str">
        <f t="shared" si="11"/>
        <v>Low Risk</v>
      </c>
    </row>
    <row r="171" spans="1:37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46</v>
      </c>
      <c r="L171">
        <v>43</v>
      </c>
      <c r="M171">
        <v>3</v>
      </c>
      <c r="N171">
        <v>1</v>
      </c>
      <c r="O171" t="s">
        <v>47</v>
      </c>
      <c r="P171">
        <v>3</v>
      </c>
      <c r="Q171" t="s">
        <v>41</v>
      </c>
      <c r="R171" s="3">
        <v>3038</v>
      </c>
      <c r="S171">
        <v>12430</v>
      </c>
      <c r="T171">
        <v>3</v>
      </c>
      <c r="U171" t="s">
        <v>43</v>
      </c>
      <c r="V171" s="2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tr">
        <f t="shared" si="8"/>
        <v>26-35</v>
      </c>
      <c r="AH171" t="str">
        <f t="shared" si="9"/>
        <v>Mid</v>
      </c>
      <c r="AI171" s="1">
        <f>VLOOKUP(E171,Lookup_Tables!$A$3:$B$5,2,)</f>
        <v>6281.2528616024974</v>
      </c>
      <c r="AJ171" t="str">
        <f t="shared" si="10"/>
        <v>Below salary</v>
      </c>
      <c r="AK171" t="str">
        <f t="shared" si="11"/>
        <v>Low Risk</v>
      </c>
    </row>
    <row r="172" spans="1:37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233</v>
      </c>
      <c r="J172">
        <v>3</v>
      </c>
      <c r="K172" t="s">
        <v>46</v>
      </c>
      <c r="L172">
        <v>51</v>
      </c>
      <c r="M172">
        <v>3</v>
      </c>
      <c r="N172">
        <v>1</v>
      </c>
      <c r="O172" t="s">
        <v>47</v>
      </c>
      <c r="P172">
        <v>2</v>
      </c>
      <c r="Q172" t="s">
        <v>48</v>
      </c>
      <c r="R172" s="3">
        <v>3058</v>
      </c>
      <c r="S172">
        <v>13364</v>
      </c>
      <c r="T172">
        <v>0</v>
      </c>
      <c r="U172" t="s">
        <v>35</v>
      </c>
      <c r="V172" s="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tr">
        <f t="shared" si="8"/>
        <v>26-35</v>
      </c>
      <c r="AH172" t="str">
        <f t="shared" si="9"/>
        <v>Mid</v>
      </c>
      <c r="AI172" s="1">
        <f>VLOOKUP(E172,Lookup_Tables!$A$3:$B$5,2,)</f>
        <v>6281.2528616024974</v>
      </c>
      <c r="AJ172" t="str">
        <f t="shared" si="10"/>
        <v>Below salary</v>
      </c>
      <c r="AK172" t="str">
        <f t="shared" si="11"/>
        <v>High Risk</v>
      </c>
    </row>
    <row r="173" spans="1:37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235</v>
      </c>
      <c r="J173">
        <v>3</v>
      </c>
      <c r="K173" t="s">
        <v>39</v>
      </c>
      <c r="L173">
        <v>100</v>
      </c>
      <c r="M173">
        <v>1</v>
      </c>
      <c r="N173">
        <v>1</v>
      </c>
      <c r="O173" t="s">
        <v>57</v>
      </c>
      <c r="P173">
        <v>1</v>
      </c>
      <c r="Q173" t="s">
        <v>41</v>
      </c>
      <c r="R173" s="3">
        <v>2325</v>
      </c>
      <c r="S173">
        <v>20989</v>
      </c>
      <c r="T173">
        <v>0</v>
      </c>
      <c r="U173" t="s">
        <v>43</v>
      </c>
      <c r="V173" s="2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tr">
        <f t="shared" si="8"/>
        <v>18-25</v>
      </c>
      <c r="AH173" t="str">
        <f t="shared" si="9"/>
        <v>Low</v>
      </c>
      <c r="AI173" s="1">
        <f>VLOOKUP(E173,Lookup_Tables!$A$3:$B$5,2,)</f>
        <v>6959.17264573991</v>
      </c>
      <c r="AJ173" t="str">
        <f t="shared" si="10"/>
        <v>Below salary</v>
      </c>
      <c r="AK173" t="str">
        <f t="shared" si="11"/>
        <v>Medium Risk</v>
      </c>
    </row>
    <row r="174" spans="1:37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238</v>
      </c>
      <c r="J174">
        <v>4</v>
      </c>
      <c r="K174" t="s">
        <v>46</v>
      </c>
      <c r="L174">
        <v>30</v>
      </c>
      <c r="M174">
        <v>3</v>
      </c>
      <c r="N174">
        <v>1</v>
      </c>
      <c r="O174" t="s">
        <v>50</v>
      </c>
      <c r="P174">
        <v>2</v>
      </c>
      <c r="Q174" t="s">
        <v>41</v>
      </c>
      <c r="R174" s="3">
        <v>2088</v>
      </c>
      <c r="S174">
        <v>15062</v>
      </c>
      <c r="T174">
        <v>4</v>
      </c>
      <c r="U174" t="s">
        <v>43</v>
      </c>
      <c r="V174" s="2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tr">
        <f t="shared" si="8"/>
        <v>36-45</v>
      </c>
      <c r="AH174" t="str">
        <f t="shared" si="9"/>
        <v>Low</v>
      </c>
      <c r="AI174" s="1">
        <f>VLOOKUP(E174,Lookup_Tables!$A$3:$B$5,2,)</f>
        <v>6281.2528616024974</v>
      </c>
      <c r="AJ174" t="str">
        <f t="shared" si="10"/>
        <v>Below salary</v>
      </c>
      <c r="AK174" t="str">
        <f t="shared" si="11"/>
        <v>Medium Risk</v>
      </c>
    </row>
    <row r="175" spans="1:37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239</v>
      </c>
      <c r="J175">
        <v>3</v>
      </c>
      <c r="K175" t="s">
        <v>46</v>
      </c>
      <c r="L175">
        <v>66</v>
      </c>
      <c r="M175">
        <v>3</v>
      </c>
      <c r="N175">
        <v>2</v>
      </c>
      <c r="O175" t="s">
        <v>50</v>
      </c>
      <c r="P175">
        <v>1</v>
      </c>
      <c r="Q175" t="s">
        <v>52</v>
      </c>
      <c r="R175" s="3">
        <v>3072</v>
      </c>
      <c r="S175">
        <v>11012</v>
      </c>
      <c r="T175">
        <v>1</v>
      </c>
      <c r="U175" t="s">
        <v>43</v>
      </c>
      <c r="V175" s="2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tr">
        <f t="shared" si="8"/>
        <v>26-35</v>
      </c>
      <c r="AH175" t="str">
        <f t="shared" si="9"/>
        <v>Mid</v>
      </c>
      <c r="AI175" s="1">
        <f>VLOOKUP(E175,Lookup_Tables!$A$3:$B$5,2,)</f>
        <v>6281.2528616024974</v>
      </c>
      <c r="AJ175" t="str">
        <f t="shared" si="10"/>
        <v>Below salary</v>
      </c>
      <c r="AK175" t="str">
        <f t="shared" si="11"/>
        <v>Medium Risk</v>
      </c>
    </row>
    <row r="176" spans="1:37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30</v>
      </c>
      <c r="M176">
        <v>3</v>
      </c>
      <c r="N176">
        <v>2</v>
      </c>
      <c r="O176" t="s">
        <v>40</v>
      </c>
      <c r="P176">
        <v>1</v>
      </c>
      <c r="Q176" t="s">
        <v>52</v>
      </c>
      <c r="R176" s="3">
        <v>5006</v>
      </c>
      <c r="S176">
        <v>6319</v>
      </c>
      <c r="T176">
        <v>4</v>
      </c>
      <c r="U176" t="s">
        <v>35</v>
      </c>
      <c r="V176" s="2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tr">
        <f t="shared" si="8"/>
        <v>36-45</v>
      </c>
      <c r="AH176" t="str">
        <f t="shared" si="9"/>
        <v>Mid</v>
      </c>
      <c r="AI176" s="1">
        <f>VLOOKUP(E176,Lookup_Tables!$A$3:$B$5,2,)</f>
        <v>6959.17264573991</v>
      </c>
      <c r="AJ176" t="str">
        <f t="shared" si="10"/>
        <v>Below salary</v>
      </c>
      <c r="AK176" t="str">
        <f t="shared" si="11"/>
        <v>High Risk</v>
      </c>
    </row>
    <row r="177" spans="1:37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67</v>
      </c>
      <c r="M177">
        <v>3</v>
      </c>
      <c r="N177">
        <v>1</v>
      </c>
      <c r="O177" t="s">
        <v>47</v>
      </c>
      <c r="P177">
        <v>1</v>
      </c>
      <c r="Q177" t="s">
        <v>52</v>
      </c>
      <c r="R177" s="3">
        <v>4257</v>
      </c>
      <c r="S177">
        <v>13939</v>
      </c>
      <c r="T177">
        <v>4</v>
      </c>
      <c r="U177" t="s">
        <v>35</v>
      </c>
      <c r="V177" s="2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tr">
        <f t="shared" si="8"/>
        <v>46+</v>
      </c>
      <c r="AH177" t="str">
        <f t="shared" si="9"/>
        <v>Mid</v>
      </c>
      <c r="AI177" s="1">
        <f>VLOOKUP(E177,Lookup_Tables!$A$3:$B$5,2,)</f>
        <v>6281.2528616024974</v>
      </c>
      <c r="AJ177" t="str">
        <f t="shared" si="10"/>
        <v>Below salary</v>
      </c>
      <c r="AK177" t="str">
        <f t="shared" si="11"/>
        <v>High Risk</v>
      </c>
    </row>
    <row r="178" spans="1:37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46</v>
      </c>
      <c r="L178">
        <v>90</v>
      </c>
      <c r="M178">
        <v>3</v>
      </c>
      <c r="N178">
        <v>1</v>
      </c>
      <c r="O178" t="s">
        <v>47</v>
      </c>
      <c r="P178">
        <v>4</v>
      </c>
      <c r="Q178" t="s">
        <v>41</v>
      </c>
      <c r="R178" s="3">
        <v>2500</v>
      </c>
      <c r="S178">
        <v>10515</v>
      </c>
      <c r="T178">
        <v>0</v>
      </c>
      <c r="U178" t="s">
        <v>43</v>
      </c>
      <c r="V178" s="2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tr">
        <f t="shared" si="8"/>
        <v>26-35</v>
      </c>
      <c r="AH178" t="str">
        <f t="shared" si="9"/>
        <v>Low</v>
      </c>
      <c r="AI178" s="1">
        <f>VLOOKUP(E178,Lookup_Tables!$A$3:$B$5,2,)</f>
        <v>6281.2528616024974</v>
      </c>
      <c r="AJ178" t="str">
        <f t="shared" si="10"/>
        <v>Below salary</v>
      </c>
      <c r="AK178" t="str">
        <f t="shared" si="11"/>
        <v>Low Risk</v>
      </c>
    </row>
    <row r="179" spans="1:37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46</v>
      </c>
      <c r="L179">
        <v>47</v>
      </c>
      <c r="M179">
        <v>2</v>
      </c>
      <c r="N179">
        <v>1</v>
      </c>
      <c r="O179" t="s">
        <v>50</v>
      </c>
      <c r="P179">
        <v>4</v>
      </c>
      <c r="Q179" t="s">
        <v>41</v>
      </c>
      <c r="R179" s="3">
        <v>1102</v>
      </c>
      <c r="S179">
        <v>9241</v>
      </c>
      <c r="T179">
        <v>1</v>
      </c>
      <c r="U179" t="s">
        <v>43</v>
      </c>
      <c r="V179" s="2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tr">
        <f t="shared" si="8"/>
        <v>18-25</v>
      </c>
      <c r="AH179" t="str">
        <f t="shared" si="9"/>
        <v>Low</v>
      </c>
      <c r="AI179" s="1">
        <f>VLOOKUP(E179,Lookup_Tables!$A$3:$B$5,2,)</f>
        <v>6281.2528616024974</v>
      </c>
      <c r="AJ179" t="str">
        <f t="shared" si="10"/>
        <v>Below salary</v>
      </c>
      <c r="AK179" t="str">
        <f t="shared" si="11"/>
        <v>Low Risk</v>
      </c>
    </row>
    <row r="180" spans="1:37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244</v>
      </c>
      <c r="J180">
        <v>2</v>
      </c>
      <c r="K180" t="s">
        <v>39</v>
      </c>
      <c r="L180">
        <v>92</v>
      </c>
      <c r="M180">
        <v>3</v>
      </c>
      <c r="N180">
        <v>3</v>
      </c>
      <c r="O180" t="s">
        <v>40</v>
      </c>
      <c r="P180">
        <v>1</v>
      </c>
      <c r="Q180" t="s">
        <v>52</v>
      </c>
      <c r="R180" s="3">
        <v>10453</v>
      </c>
      <c r="S180">
        <v>2137</v>
      </c>
      <c r="T180">
        <v>1</v>
      </c>
      <c r="U180" t="s">
        <v>43</v>
      </c>
      <c r="V180" s="2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tr">
        <f t="shared" si="8"/>
        <v>46+</v>
      </c>
      <c r="AH180" t="str">
        <f t="shared" si="9"/>
        <v>High</v>
      </c>
      <c r="AI180" s="1">
        <f>VLOOKUP(E180,Lookup_Tables!$A$3:$B$5,2,)</f>
        <v>6959.17264573991</v>
      </c>
      <c r="AJ180" t="str">
        <f t="shared" si="10"/>
        <v>Above salary</v>
      </c>
      <c r="AK180" t="str">
        <f t="shared" si="11"/>
        <v>Medium Risk</v>
      </c>
    </row>
    <row r="181" spans="1:37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75</v>
      </c>
      <c r="M181">
        <v>3</v>
      </c>
      <c r="N181">
        <v>1</v>
      </c>
      <c r="O181" t="s">
        <v>50</v>
      </c>
      <c r="P181">
        <v>4</v>
      </c>
      <c r="Q181" t="s">
        <v>41</v>
      </c>
      <c r="R181" s="3">
        <v>2288</v>
      </c>
      <c r="S181">
        <v>6319</v>
      </c>
      <c r="T181">
        <v>1</v>
      </c>
      <c r="U181" t="s">
        <v>43</v>
      </c>
      <c r="V181" s="2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tr">
        <f t="shared" si="8"/>
        <v>36-45</v>
      </c>
      <c r="AH181" t="str">
        <f t="shared" si="9"/>
        <v>Low</v>
      </c>
      <c r="AI181" s="1">
        <f>VLOOKUP(E181,Lookup_Tables!$A$3:$B$5,2,)</f>
        <v>6281.2528616024974</v>
      </c>
      <c r="AJ181" t="str">
        <f t="shared" si="10"/>
        <v>Below salary</v>
      </c>
      <c r="AK181" t="str">
        <f t="shared" si="11"/>
        <v>Low Risk</v>
      </c>
    </row>
    <row r="182" spans="1:37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246</v>
      </c>
      <c r="J182">
        <v>3</v>
      </c>
      <c r="K182" t="s">
        <v>39</v>
      </c>
      <c r="L182">
        <v>95</v>
      </c>
      <c r="M182">
        <v>3</v>
      </c>
      <c r="N182">
        <v>1</v>
      </c>
      <c r="O182" t="s">
        <v>47</v>
      </c>
      <c r="P182">
        <v>4</v>
      </c>
      <c r="Q182" t="s">
        <v>48</v>
      </c>
      <c r="R182" s="3">
        <v>3929</v>
      </c>
      <c r="S182">
        <v>6984</v>
      </c>
      <c r="T182">
        <v>8</v>
      </c>
      <c r="U182" t="s">
        <v>35</v>
      </c>
      <c r="V182" s="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tr">
        <f t="shared" si="8"/>
        <v>26-35</v>
      </c>
      <c r="AH182" t="str">
        <f t="shared" si="9"/>
        <v>Mid</v>
      </c>
      <c r="AI182" s="1">
        <f>VLOOKUP(E182,Lookup_Tables!$A$3:$B$5,2,)</f>
        <v>6281.2528616024974</v>
      </c>
      <c r="AJ182" t="str">
        <f t="shared" si="10"/>
        <v>Below salary</v>
      </c>
      <c r="AK182" t="str">
        <f t="shared" si="11"/>
        <v>Medium Risk</v>
      </c>
    </row>
    <row r="183" spans="1:37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247</v>
      </c>
      <c r="J183">
        <v>4</v>
      </c>
      <c r="K183" t="s">
        <v>39</v>
      </c>
      <c r="L183">
        <v>95</v>
      </c>
      <c r="M183">
        <v>3</v>
      </c>
      <c r="N183">
        <v>1</v>
      </c>
      <c r="O183" t="s">
        <v>47</v>
      </c>
      <c r="P183">
        <v>2</v>
      </c>
      <c r="Q183" t="s">
        <v>41</v>
      </c>
      <c r="R183" s="3">
        <v>2311</v>
      </c>
      <c r="S183">
        <v>5711</v>
      </c>
      <c r="T183">
        <v>2</v>
      </c>
      <c r="U183" t="s">
        <v>43</v>
      </c>
      <c r="V183" s="2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tr">
        <f t="shared" si="8"/>
        <v>26-35</v>
      </c>
      <c r="AH183" t="str">
        <f t="shared" si="9"/>
        <v>Low</v>
      </c>
      <c r="AI183" s="1">
        <f>VLOOKUP(E183,Lookup_Tables!$A$3:$B$5,2,)</f>
        <v>6281.2528616024974</v>
      </c>
      <c r="AJ183" t="str">
        <f t="shared" si="10"/>
        <v>Below salary</v>
      </c>
      <c r="AK183" t="str">
        <f t="shared" si="11"/>
        <v>Medium Risk</v>
      </c>
    </row>
    <row r="184" spans="1:37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248</v>
      </c>
      <c r="J184">
        <v>2</v>
      </c>
      <c r="K184" t="s">
        <v>39</v>
      </c>
      <c r="L184">
        <v>70</v>
      </c>
      <c r="M184">
        <v>3</v>
      </c>
      <c r="N184">
        <v>1</v>
      </c>
      <c r="O184" t="s">
        <v>57</v>
      </c>
      <c r="P184">
        <v>2</v>
      </c>
      <c r="Q184" t="s">
        <v>41</v>
      </c>
      <c r="R184" s="3">
        <v>3140</v>
      </c>
      <c r="S184">
        <v>21728</v>
      </c>
      <c r="T184">
        <v>1</v>
      </c>
      <c r="U184" t="s">
        <v>35</v>
      </c>
      <c r="V184" s="2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tr">
        <f t="shared" si="8"/>
        <v>36-45</v>
      </c>
      <c r="AH184" t="str">
        <f t="shared" si="9"/>
        <v>Mid</v>
      </c>
      <c r="AI184" s="1">
        <f>VLOOKUP(E184,Lookup_Tables!$A$3:$B$5,2,)</f>
        <v>6959.17264573991</v>
      </c>
      <c r="AJ184" t="str">
        <f t="shared" si="10"/>
        <v>Below salary</v>
      </c>
      <c r="AK184" t="str">
        <f t="shared" si="11"/>
        <v>High Risk</v>
      </c>
    </row>
    <row r="185" spans="1:37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249</v>
      </c>
      <c r="J185">
        <v>3</v>
      </c>
      <c r="K185" t="s">
        <v>46</v>
      </c>
      <c r="L185">
        <v>86</v>
      </c>
      <c r="M185">
        <v>2</v>
      </c>
      <c r="N185">
        <v>1</v>
      </c>
      <c r="O185" t="s">
        <v>50</v>
      </c>
      <c r="P185">
        <v>3</v>
      </c>
      <c r="Q185" t="s">
        <v>48</v>
      </c>
      <c r="R185" s="3">
        <v>3690</v>
      </c>
      <c r="S185">
        <v>3425</v>
      </c>
      <c r="T185">
        <v>2</v>
      </c>
      <c r="U185" t="s">
        <v>43</v>
      </c>
      <c r="V185" s="2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tr">
        <f t="shared" si="8"/>
        <v>46+</v>
      </c>
      <c r="AH185" t="str">
        <f t="shared" si="9"/>
        <v>Mid</v>
      </c>
      <c r="AI185" s="1">
        <f>VLOOKUP(E185,Lookup_Tables!$A$3:$B$5,2,)</f>
        <v>6281.2528616024974</v>
      </c>
      <c r="AJ185" t="str">
        <f t="shared" si="10"/>
        <v>Below salary</v>
      </c>
      <c r="AK185" t="str">
        <f t="shared" si="11"/>
        <v>Low Risk</v>
      </c>
    </row>
    <row r="186" spans="1:37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250</v>
      </c>
      <c r="J186">
        <v>4</v>
      </c>
      <c r="K186" t="s">
        <v>39</v>
      </c>
      <c r="L186">
        <v>57</v>
      </c>
      <c r="M186">
        <v>4</v>
      </c>
      <c r="N186">
        <v>2</v>
      </c>
      <c r="O186" t="s">
        <v>53</v>
      </c>
      <c r="P186">
        <v>1</v>
      </c>
      <c r="Q186" t="s">
        <v>52</v>
      </c>
      <c r="R186" s="3">
        <v>4450</v>
      </c>
      <c r="S186">
        <v>26250</v>
      </c>
      <c r="T186">
        <v>1</v>
      </c>
      <c r="U186" t="s">
        <v>43</v>
      </c>
      <c r="V186" s="2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tr">
        <f t="shared" si="8"/>
        <v>46+</v>
      </c>
      <c r="AH186" t="str">
        <f t="shared" si="9"/>
        <v>Mid</v>
      </c>
      <c r="AI186" s="1">
        <f>VLOOKUP(E186,Lookup_Tables!$A$3:$B$5,2,)</f>
        <v>6281.2528616024974</v>
      </c>
      <c r="AJ186" t="str">
        <f t="shared" si="10"/>
        <v>Below salary</v>
      </c>
      <c r="AK186" t="str">
        <f t="shared" si="11"/>
        <v>Medium Risk</v>
      </c>
    </row>
    <row r="187" spans="1:37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252</v>
      </c>
      <c r="J187">
        <v>4</v>
      </c>
      <c r="K187" t="s">
        <v>39</v>
      </c>
      <c r="L187">
        <v>72</v>
      </c>
      <c r="M187">
        <v>3</v>
      </c>
      <c r="N187">
        <v>1</v>
      </c>
      <c r="O187" t="s">
        <v>47</v>
      </c>
      <c r="P187">
        <v>2</v>
      </c>
      <c r="Q187" t="s">
        <v>48</v>
      </c>
      <c r="R187" s="3">
        <v>2756</v>
      </c>
      <c r="S187">
        <v>4673</v>
      </c>
      <c r="T187">
        <v>1</v>
      </c>
      <c r="U187" t="s">
        <v>43</v>
      </c>
      <c r="V187" s="2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tr">
        <f t="shared" si="8"/>
        <v>26-35</v>
      </c>
      <c r="AH187" t="str">
        <f t="shared" si="9"/>
        <v>Low</v>
      </c>
      <c r="AI187" s="1">
        <f>VLOOKUP(E187,Lookup_Tables!$A$3:$B$5,2,)</f>
        <v>6281.2528616024974</v>
      </c>
      <c r="AJ187" t="str">
        <f t="shared" si="10"/>
        <v>Below salary</v>
      </c>
      <c r="AK187" t="str">
        <f t="shared" si="11"/>
        <v>Medium Risk</v>
      </c>
    </row>
    <row r="188" spans="1:37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253</v>
      </c>
      <c r="J188">
        <v>4</v>
      </c>
      <c r="K188" t="s">
        <v>39</v>
      </c>
      <c r="L188">
        <v>46</v>
      </c>
      <c r="M188">
        <v>3</v>
      </c>
      <c r="N188">
        <v>5</v>
      </c>
      <c r="O188" t="s">
        <v>56</v>
      </c>
      <c r="P188">
        <v>3</v>
      </c>
      <c r="Q188" t="s">
        <v>48</v>
      </c>
      <c r="R188" s="3">
        <v>19033</v>
      </c>
      <c r="S188">
        <v>6499</v>
      </c>
      <c r="T188">
        <v>1</v>
      </c>
      <c r="U188" t="s">
        <v>43</v>
      </c>
      <c r="V188" s="2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tr">
        <f t="shared" si="8"/>
        <v>36-45</v>
      </c>
      <c r="AH188" t="str">
        <f t="shared" si="9"/>
        <v>Very High</v>
      </c>
      <c r="AI188" s="1">
        <f>VLOOKUP(E188,Lookup_Tables!$A$3:$B$5,2,)</f>
        <v>6281.2528616024974</v>
      </c>
      <c r="AJ188" t="str">
        <f t="shared" si="10"/>
        <v>Above salary</v>
      </c>
      <c r="AK188" t="str">
        <f t="shared" si="11"/>
        <v>Low Risk</v>
      </c>
    </row>
    <row r="189" spans="1:37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254</v>
      </c>
      <c r="J189">
        <v>3</v>
      </c>
      <c r="K189" t="s">
        <v>46</v>
      </c>
      <c r="L189">
        <v>61</v>
      </c>
      <c r="M189">
        <v>4</v>
      </c>
      <c r="N189">
        <v>5</v>
      </c>
      <c r="O189" t="s">
        <v>58</v>
      </c>
      <c r="P189">
        <v>2</v>
      </c>
      <c r="Q189" t="s">
        <v>41</v>
      </c>
      <c r="R189" s="3">
        <v>18722</v>
      </c>
      <c r="S189">
        <v>13339</v>
      </c>
      <c r="T189">
        <v>8</v>
      </c>
      <c r="U189" t="s">
        <v>43</v>
      </c>
      <c r="V189" s="2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tr">
        <f t="shared" si="8"/>
        <v>46+</v>
      </c>
      <c r="AH189" t="str">
        <f t="shared" si="9"/>
        <v>Very High</v>
      </c>
      <c r="AI189" s="1">
        <f>VLOOKUP(E189,Lookup_Tables!$A$3:$B$5,2,)</f>
        <v>6281.2528616024974</v>
      </c>
      <c r="AJ189" t="str">
        <f t="shared" si="10"/>
        <v>Above salary</v>
      </c>
      <c r="AK189" t="str">
        <f t="shared" si="11"/>
        <v>Medium Risk</v>
      </c>
    </row>
    <row r="190" spans="1:37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46</v>
      </c>
      <c r="L190">
        <v>45</v>
      </c>
      <c r="M190">
        <v>2</v>
      </c>
      <c r="N190">
        <v>2</v>
      </c>
      <c r="O190" t="s">
        <v>53</v>
      </c>
      <c r="P190">
        <v>3</v>
      </c>
      <c r="Q190" t="s">
        <v>48</v>
      </c>
      <c r="R190" s="3">
        <v>9547</v>
      </c>
      <c r="S190">
        <v>14074</v>
      </c>
      <c r="T190">
        <v>1</v>
      </c>
      <c r="U190" t="s">
        <v>43</v>
      </c>
      <c r="V190" s="2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tr">
        <f t="shared" si="8"/>
        <v>26-35</v>
      </c>
      <c r="AH190" t="str">
        <f t="shared" si="9"/>
        <v>High</v>
      </c>
      <c r="AI190" s="1">
        <f>VLOOKUP(E190,Lookup_Tables!$A$3:$B$5,2,)</f>
        <v>6281.2528616024974</v>
      </c>
      <c r="AJ190" t="str">
        <f t="shared" si="10"/>
        <v>Above salary</v>
      </c>
      <c r="AK190" t="str">
        <f t="shared" si="11"/>
        <v>Low Risk</v>
      </c>
    </row>
    <row r="191" spans="1:37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258</v>
      </c>
      <c r="J191">
        <v>4</v>
      </c>
      <c r="K191" t="s">
        <v>39</v>
      </c>
      <c r="L191">
        <v>98</v>
      </c>
      <c r="M191">
        <v>3</v>
      </c>
      <c r="N191">
        <v>4</v>
      </c>
      <c r="O191" t="s">
        <v>54</v>
      </c>
      <c r="P191">
        <v>2</v>
      </c>
      <c r="Q191" t="s">
        <v>41</v>
      </c>
      <c r="R191" s="3">
        <v>13734</v>
      </c>
      <c r="S191">
        <v>7192</v>
      </c>
      <c r="T191">
        <v>3</v>
      </c>
      <c r="U191" t="s">
        <v>43</v>
      </c>
      <c r="V191" s="2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tr">
        <f t="shared" si="8"/>
        <v>46+</v>
      </c>
      <c r="AH191" t="str">
        <f t="shared" si="9"/>
        <v>Very High</v>
      </c>
      <c r="AI191" s="1">
        <f>VLOOKUP(E191,Lookup_Tables!$A$3:$B$5,2,)</f>
        <v>6281.2528616024974</v>
      </c>
      <c r="AJ191" t="str">
        <f t="shared" si="10"/>
        <v>Above salary</v>
      </c>
      <c r="AK191" t="str">
        <f t="shared" si="11"/>
        <v>Medium Risk</v>
      </c>
    </row>
    <row r="192" spans="1:37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46</v>
      </c>
      <c r="L192">
        <v>65</v>
      </c>
      <c r="M192">
        <v>2</v>
      </c>
      <c r="N192">
        <v>5</v>
      </c>
      <c r="O192" t="s">
        <v>56</v>
      </c>
      <c r="P192">
        <v>3</v>
      </c>
      <c r="Q192" t="s">
        <v>48</v>
      </c>
      <c r="R192" s="3">
        <v>19999</v>
      </c>
      <c r="S192">
        <v>5678</v>
      </c>
      <c r="T192">
        <v>0</v>
      </c>
      <c r="U192" t="s">
        <v>43</v>
      </c>
      <c r="V192" s="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tr">
        <f t="shared" si="8"/>
        <v>46+</v>
      </c>
      <c r="AH192" t="str">
        <f t="shared" si="9"/>
        <v>Very High</v>
      </c>
      <c r="AI192" s="1">
        <f>VLOOKUP(E192,Lookup_Tables!$A$3:$B$5,2,)</f>
        <v>6281.2528616024974</v>
      </c>
      <c r="AJ192" t="str">
        <f t="shared" si="10"/>
        <v>Above salary</v>
      </c>
      <c r="AK192" t="str">
        <f t="shared" si="11"/>
        <v>Low Risk</v>
      </c>
    </row>
    <row r="193" spans="1:37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260</v>
      </c>
      <c r="J193">
        <v>4</v>
      </c>
      <c r="K193" t="s">
        <v>39</v>
      </c>
      <c r="L193">
        <v>99</v>
      </c>
      <c r="M193">
        <v>3</v>
      </c>
      <c r="N193">
        <v>1</v>
      </c>
      <c r="O193" t="s">
        <v>47</v>
      </c>
      <c r="P193">
        <v>2</v>
      </c>
      <c r="Q193" t="s">
        <v>41</v>
      </c>
      <c r="R193" s="3">
        <v>2279</v>
      </c>
      <c r="S193">
        <v>11781</v>
      </c>
      <c r="T193">
        <v>1</v>
      </c>
      <c r="U193" t="s">
        <v>43</v>
      </c>
      <c r="V193" s="2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tr">
        <f t="shared" si="8"/>
        <v>26-35</v>
      </c>
      <c r="AH193" t="str">
        <f t="shared" si="9"/>
        <v>Low</v>
      </c>
      <c r="AI193" s="1">
        <f>VLOOKUP(E193,Lookup_Tables!$A$3:$B$5,2,)</f>
        <v>6281.2528616024974</v>
      </c>
      <c r="AJ193" t="str">
        <f t="shared" si="10"/>
        <v>Below salary</v>
      </c>
      <c r="AK193" t="str">
        <f t="shared" si="11"/>
        <v>Medium Risk</v>
      </c>
    </row>
    <row r="194" spans="1:37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46</v>
      </c>
      <c r="L194">
        <v>50</v>
      </c>
      <c r="M194">
        <v>2</v>
      </c>
      <c r="N194">
        <v>2</v>
      </c>
      <c r="O194" t="s">
        <v>53</v>
      </c>
      <c r="P194">
        <v>3</v>
      </c>
      <c r="Q194" t="s">
        <v>48</v>
      </c>
      <c r="R194" s="3">
        <v>5916</v>
      </c>
      <c r="S194">
        <v>15497</v>
      </c>
      <c r="T194">
        <v>3</v>
      </c>
      <c r="U194" t="s">
        <v>35</v>
      </c>
      <c r="V194" s="2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tr">
        <f t="shared" ref="AG194:AG257" si="12">IF(A194&lt;=25,"18-25",IF(A194&lt;= 35, "26-35",IF(A194&lt;=45, "36-45","46+")))</f>
        <v>26-35</v>
      </c>
      <c r="AH194" t="str">
        <f t="shared" ref="AH194:AH257" si="13">IF(R194&lt;3000,"Low",IF(R194&lt;7000,"Mid", IF(R194&lt;12000, "High", "Very High")))</f>
        <v>Mid</v>
      </c>
      <c r="AI194" s="1">
        <f>VLOOKUP(E194,Lookup_Tables!$A$3:$B$5,2,)</f>
        <v>6281.2528616024974</v>
      </c>
      <c r="AJ194" t="str">
        <f t="shared" ref="AJ194:AJ257" si="14">IF(R194&gt;AI194, "Above salary","Below salary")</f>
        <v>Below salary</v>
      </c>
      <c r="AK194" t="str">
        <f t="shared" si="11"/>
        <v>Medium Risk</v>
      </c>
    </row>
    <row r="195" spans="1:37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262</v>
      </c>
      <c r="J195">
        <v>4</v>
      </c>
      <c r="K195" t="s">
        <v>46</v>
      </c>
      <c r="L195">
        <v>37</v>
      </c>
      <c r="M195">
        <v>4</v>
      </c>
      <c r="N195">
        <v>1</v>
      </c>
      <c r="O195" t="s">
        <v>47</v>
      </c>
      <c r="P195">
        <v>4</v>
      </c>
      <c r="Q195" t="s">
        <v>52</v>
      </c>
      <c r="R195" s="3">
        <v>2089</v>
      </c>
      <c r="S195">
        <v>5228</v>
      </c>
      <c r="T195">
        <v>4</v>
      </c>
      <c r="U195" t="s">
        <v>43</v>
      </c>
      <c r="V195" s="2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tr">
        <f t="shared" si="12"/>
        <v>36-45</v>
      </c>
      <c r="AH195" t="str">
        <f t="shared" si="13"/>
        <v>Low</v>
      </c>
      <c r="AI195" s="1">
        <f>VLOOKUP(E195,Lookup_Tables!$A$3:$B$5,2,)</f>
        <v>6281.2528616024974</v>
      </c>
      <c r="AJ195" t="str">
        <f t="shared" si="14"/>
        <v>Below salary</v>
      </c>
      <c r="AK195" t="str">
        <f t="shared" ref="AK195:AK258" si="15">IF(AND(P195&lt;=2,U195="Yes"),"High Risk",IF(OR(P195&lt;=2,U195="Yes"),"Medium Risk","Low Risk"))</f>
        <v>Low Risk</v>
      </c>
    </row>
    <row r="196" spans="1:37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264</v>
      </c>
      <c r="J196">
        <v>1</v>
      </c>
      <c r="K196" t="s">
        <v>46</v>
      </c>
      <c r="L196">
        <v>65</v>
      </c>
      <c r="M196">
        <v>2</v>
      </c>
      <c r="N196">
        <v>4</v>
      </c>
      <c r="O196" t="s">
        <v>56</v>
      </c>
      <c r="P196">
        <v>4</v>
      </c>
      <c r="Q196" t="s">
        <v>48</v>
      </c>
      <c r="R196" s="3">
        <v>16792</v>
      </c>
      <c r="S196">
        <v>20462</v>
      </c>
      <c r="T196">
        <v>9</v>
      </c>
      <c r="U196" t="s">
        <v>43</v>
      </c>
      <c r="V196" s="2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tr">
        <f t="shared" si="12"/>
        <v>36-45</v>
      </c>
      <c r="AH196" t="str">
        <f t="shared" si="13"/>
        <v>Very High</v>
      </c>
      <c r="AI196" s="1">
        <f>VLOOKUP(E196,Lookup_Tables!$A$3:$B$5,2,)</f>
        <v>6281.2528616024974</v>
      </c>
      <c r="AJ196" t="str">
        <f t="shared" si="14"/>
        <v>Above salary</v>
      </c>
      <c r="AK196" t="str">
        <f t="shared" si="15"/>
        <v>Low Risk</v>
      </c>
    </row>
    <row r="197" spans="1:37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46</v>
      </c>
      <c r="L197">
        <v>65</v>
      </c>
      <c r="M197">
        <v>4</v>
      </c>
      <c r="N197">
        <v>1</v>
      </c>
      <c r="O197" t="s">
        <v>47</v>
      </c>
      <c r="P197">
        <v>1</v>
      </c>
      <c r="Q197" t="s">
        <v>48</v>
      </c>
      <c r="R197" s="3">
        <v>3564</v>
      </c>
      <c r="S197">
        <v>22977</v>
      </c>
      <c r="T197">
        <v>1</v>
      </c>
      <c r="U197" t="s">
        <v>35</v>
      </c>
      <c r="V197" s="2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tr">
        <f t="shared" si="12"/>
        <v>36-45</v>
      </c>
      <c r="AH197" t="str">
        <f t="shared" si="13"/>
        <v>Mid</v>
      </c>
      <c r="AI197" s="1">
        <f>VLOOKUP(E197,Lookup_Tables!$A$3:$B$5,2,)</f>
        <v>6281.2528616024974</v>
      </c>
      <c r="AJ197" t="str">
        <f t="shared" si="14"/>
        <v>Below salary</v>
      </c>
      <c r="AK197" t="str">
        <f t="shared" si="15"/>
        <v>High Risk</v>
      </c>
    </row>
    <row r="198" spans="1:37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269</v>
      </c>
      <c r="J198">
        <v>2</v>
      </c>
      <c r="K198" t="s">
        <v>39</v>
      </c>
      <c r="L198">
        <v>37</v>
      </c>
      <c r="M198">
        <v>3</v>
      </c>
      <c r="N198">
        <v>2</v>
      </c>
      <c r="O198" t="s">
        <v>50</v>
      </c>
      <c r="P198">
        <v>2</v>
      </c>
      <c r="Q198" t="s">
        <v>41</v>
      </c>
      <c r="R198" s="3">
        <v>4425</v>
      </c>
      <c r="S198">
        <v>15986</v>
      </c>
      <c r="T198">
        <v>5</v>
      </c>
      <c r="U198" t="s">
        <v>43</v>
      </c>
      <c r="V198" s="2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tr">
        <f t="shared" si="12"/>
        <v>26-35</v>
      </c>
      <c r="AH198" t="str">
        <f t="shared" si="13"/>
        <v>Mid</v>
      </c>
      <c r="AI198" s="1">
        <f>VLOOKUP(E198,Lookup_Tables!$A$3:$B$5,2,)</f>
        <v>6281.2528616024974</v>
      </c>
      <c r="AJ198" t="str">
        <f t="shared" si="14"/>
        <v>Below salary</v>
      </c>
      <c r="AK198" t="str">
        <f t="shared" si="15"/>
        <v>Medium Risk</v>
      </c>
    </row>
    <row r="199" spans="1:37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270</v>
      </c>
      <c r="J199">
        <v>3</v>
      </c>
      <c r="K199" t="s">
        <v>39</v>
      </c>
      <c r="L199">
        <v>36</v>
      </c>
      <c r="M199">
        <v>3</v>
      </c>
      <c r="N199">
        <v>2</v>
      </c>
      <c r="O199" t="s">
        <v>53</v>
      </c>
      <c r="P199">
        <v>3</v>
      </c>
      <c r="Q199" t="s">
        <v>52</v>
      </c>
      <c r="R199" s="3">
        <v>5265</v>
      </c>
      <c r="S199">
        <v>16439</v>
      </c>
      <c r="T199">
        <v>2</v>
      </c>
      <c r="U199" t="s">
        <v>43</v>
      </c>
      <c r="V199" s="2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tr">
        <f t="shared" si="12"/>
        <v>36-45</v>
      </c>
      <c r="AH199" t="str">
        <f t="shared" si="13"/>
        <v>Mid</v>
      </c>
      <c r="AI199" s="1">
        <f>VLOOKUP(E199,Lookup_Tables!$A$3:$B$5,2,)</f>
        <v>6281.2528616024974</v>
      </c>
      <c r="AJ199" t="str">
        <f t="shared" si="14"/>
        <v>Below salary</v>
      </c>
      <c r="AK199" t="str">
        <f t="shared" si="15"/>
        <v>Low Risk</v>
      </c>
    </row>
    <row r="200" spans="1:37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46</v>
      </c>
      <c r="L200">
        <v>88</v>
      </c>
      <c r="M200">
        <v>3</v>
      </c>
      <c r="N200">
        <v>2</v>
      </c>
      <c r="O200" t="s">
        <v>53</v>
      </c>
      <c r="P200">
        <v>3</v>
      </c>
      <c r="Q200" t="s">
        <v>48</v>
      </c>
      <c r="R200" s="3">
        <v>6553</v>
      </c>
      <c r="S200">
        <v>7259</v>
      </c>
      <c r="T200">
        <v>9</v>
      </c>
      <c r="U200" t="s">
        <v>43</v>
      </c>
      <c r="V200" s="2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tr">
        <f t="shared" si="12"/>
        <v>36-45</v>
      </c>
      <c r="AH200" t="str">
        <f t="shared" si="13"/>
        <v>Mid</v>
      </c>
      <c r="AI200" s="1">
        <f>VLOOKUP(E200,Lookup_Tables!$A$3:$B$5,2,)</f>
        <v>6281.2528616024974</v>
      </c>
      <c r="AJ200" t="str">
        <f t="shared" si="14"/>
        <v>Above salary</v>
      </c>
      <c r="AK200" t="str">
        <f t="shared" si="15"/>
        <v>Low Risk</v>
      </c>
    </row>
    <row r="201" spans="1:37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273</v>
      </c>
      <c r="J201">
        <v>4</v>
      </c>
      <c r="K201" t="s">
        <v>46</v>
      </c>
      <c r="L201">
        <v>54</v>
      </c>
      <c r="M201">
        <v>3</v>
      </c>
      <c r="N201">
        <v>2</v>
      </c>
      <c r="O201" t="s">
        <v>53</v>
      </c>
      <c r="P201">
        <v>4</v>
      </c>
      <c r="Q201" t="s">
        <v>48</v>
      </c>
      <c r="R201" s="3">
        <v>6261</v>
      </c>
      <c r="S201">
        <v>4185</v>
      </c>
      <c r="T201">
        <v>3</v>
      </c>
      <c r="U201" t="s">
        <v>43</v>
      </c>
      <c r="V201" s="2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tr">
        <f t="shared" si="12"/>
        <v>36-45</v>
      </c>
      <c r="AH201" t="str">
        <f t="shared" si="13"/>
        <v>Mid</v>
      </c>
      <c r="AI201" s="1">
        <f>VLOOKUP(E201,Lookup_Tables!$A$3:$B$5,2,)</f>
        <v>6281.2528616024974</v>
      </c>
      <c r="AJ201" t="str">
        <f t="shared" si="14"/>
        <v>Below salary</v>
      </c>
      <c r="AK201" t="str">
        <f t="shared" si="15"/>
        <v>Low Risk</v>
      </c>
    </row>
    <row r="202" spans="1:37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274</v>
      </c>
      <c r="J202">
        <v>3</v>
      </c>
      <c r="K202" t="s">
        <v>46</v>
      </c>
      <c r="L202">
        <v>60</v>
      </c>
      <c r="M202">
        <v>2</v>
      </c>
      <c r="N202">
        <v>2</v>
      </c>
      <c r="O202" t="s">
        <v>53</v>
      </c>
      <c r="P202">
        <v>1</v>
      </c>
      <c r="Q202" t="s">
        <v>48</v>
      </c>
      <c r="R202" s="3">
        <v>4298</v>
      </c>
      <c r="S202">
        <v>9679</v>
      </c>
      <c r="T202">
        <v>5</v>
      </c>
      <c r="U202" t="s">
        <v>43</v>
      </c>
      <c r="V202" s="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tr">
        <f t="shared" si="12"/>
        <v>26-35</v>
      </c>
      <c r="AH202" t="str">
        <f t="shared" si="13"/>
        <v>Mid</v>
      </c>
      <c r="AI202" s="1">
        <f>VLOOKUP(E202,Lookup_Tables!$A$3:$B$5,2,)</f>
        <v>6281.2528616024974</v>
      </c>
      <c r="AJ202" t="str">
        <f t="shared" si="14"/>
        <v>Below salary</v>
      </c>
      <c r="AK202" t="str">
        <f t="shared" si="15"/>
        <v>Medium Risk</v>
      </c>
    </row>
    <row r="203" spans="1:37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46</v>
      </c>
      <c r="L203">
        <v>92</v>
      </c>
      <c r="M203">
        <v>3</v>
      </c>
      <c r="N203">
        <v>2</v>
      </c>
      <c r="O203" t="s">
        <v>53</v>
      </c>
      <c r="P203">
        <v>4</v>
      </c>
      <c r="Q203" t="s">
        <v>52</v>
      </c>
      <c r="R203" s="3">
        <v>6804</v>
      </c>
      <c r="S203">
        <v>23793</v>
      </c>
      <c r="T203">
        <v>1</v>
      </c>
      <c r="U203" t="s">
        <v>35</v>
      </c>
      <c r="V203" s="2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tr">
        <f t="shared" si="12"/>
        <v>46+</v>
      </c>
      <c r="AH203" t="str">
        <f t="shared" si="13"/>
        <v>Mid</v>
      </c>
      <c r="AI203" s="1">
        <f>VLOOKUP(E203,Lookup_Tables!$A$3:$B$5,2,)</f>
        <v>6281.2528616024974</v>
      </c>
      <c r="AJ203" t="str">
        <f t="shared" si="14"/>
        <v>Above salary</v>
      </c>
      <c r="AK203" t="str">
        <f t="shared" si="15"/>
        <v>Medium Risk</v>
      </c>
    </row>
    <row r="204" spans="1:37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277</v>
      </c>
      <c r="J204">
        <v>4</v>
      </c>
      <c r="K204" t="s">
        <v>46</v>
      </c>
      <c r="L204">
        <v>43</v>
      </c>
      <c r="M204">
        <v>3</v>
      </c>
      <c r="N204">
        <v>1</v>
      </c>
      <c r="O204" t="s">
        <v>47</v>
      </c>
      <c r="P204">
        <v>3</v>
      </c>
      <c r="Q204" t="s">
        <v>52</v>
      </c>
      <c r="R204" s="3">
        <v>3815</v>
      </c>
      <c r="S204">
        <v>5972</v>
      </c>
      <c r="T204">
        <v>1</v>
      </c>
      <c r="U204" t="s">
        <v>35</v>
      </c>
      <c r="V204" s="2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tr">
        <f t="shared" si="12"/>
        <v>26-35</v>
      </c>
      <c r="AH204" t="str">
        <f t="shared" si="13"/>
        <v>Mid</v>
      </c>
      <c r="AI204" s="1">
        <f>VLOOKUP(E204,Lookup_Tables!$A$3:$B$5,2,)</f>
        <v>6281.2528616024974</v>
      </c>
      <c r="AJ204" t="str">
        <f t="shared" si="14"/>
        <v>Below salary</v>
      </c>
      <c r="AK204" t="str">
        <f t="shared" si="15"/>
        <v>Medium Risk</v>
      </c>
    </row>
    <row r="205" spans="1:37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281</v>
      </c>
      <c r="J205">
        <v>3</v>
      </c>
      <c r="K205" t="s">
        <v>46</v>
      </c>
      <c r="L205">
        <v>99</v>
      </c>
      <c r="M205">
        <v>3</v>
      </c>
      <c r="N205">
        <v>2</v>
      </c>
      <c r="O205" t="s">
        <v>50</v>
      </c>
      <c r="P205">
        <v>4</v>
      </c>
      <c r="Q205" t="s">
        <v>48</v>
      </c>
      <c r="R205" s="3">
        <v>2741</v>
      </c>
      <c r="S205">
        <v>16523</v>
      </c>
      <c r="T205">
        <v>8</v>
      </c>
      <c r="U205" t="s">
        <v>35</v>
      </c>
      <c r="V205" s="2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tr">
        <f t="shared" si="12"/>
        <v>36-45</v>
      </c>
      <c r="AH205" t="str">
        <f t="shared" si="13"/>
        <v>Low</v>
      </c>
      <c r="AI205" s="1">
        <f>VLOOKUP(E205,Lookup_Tables!$A$3:$B$5,2,)</f>
        <v>6281.2528616024974</v>
      </c>
      <c r="AJ205" t="str">
        <f t="shared" si="14"/>
        <v>Below salary</v>
      </c>
      <c r="AK205" t="str">
        <f t="shared" si="15"/>
        <v>Medium Risk</v>
      </c>
    </row>
    <row r="206" spans="1:37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282</v>
      </c>
      <c r="J206">
        <v>2</v>
      </c>
      <c r="K206" t="s">
        <v>46</v>
      </c>
      <c r="L206">
        <v>70</v>
      </c>
      <c r="M206">
        <v>3</v>
      </c>
      <c r="N206">
        <v>2</v>
      </c>
      <c r="O206" t="s">
        <v>54</v>
      </c>
      <c r="P206">
        <v>1</v>
      </c>
      <c r="Q206" t="s">
        <v>48</v>
      </c>
      <c r="R206" s="3">
        <v>6673</v>
      </c>
      <c r="S206">
        <v>11354</v>
      </c>
      <c r="T206">
        <v>7</v>
      </c>
      <c r="U206" t="s">
        <v>35</v>
      </c>
      <c r="V206" s="2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tr">
        <f t="shared" si="12"/>
        <v>36-45</v>
      </c>
      <c r="AH206" t="str">
        <f t="shared" si="13"/>
        <v>Mid</v>
      </c>
      <c r="AI206" s="1">
        <f>VLOOKUP(E206,Lookup_Tables!$A$3:$B$5,2,)</f>
        <v>6281.2528616024974</v>
      </c>
      <c r="AJ206" t="str">
        <f t="shared" si="14"/>
        <v>Above salary</v>
      </c>
      <c r="AK206" t="str">
        <f t="shared" si="15"/>
        <v>High Risk</v>
      </c>
    </row>
    <row r="207" spans="1:37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283</v>
      </c>
      <c r="J207">
        <v>2</v>
      </c>
      <c r="K207" t="s">
        <v>39</v>
      </c>
      <c r="L207">
        <v>35</v>
      </c>
      <c r="M207">
        <v>3</v>
      </c>
      <c r="N207">
        <v>3</v>
      </c>
      <c r="O207" t="s">
        <v>40</v>
      </c>
      <c r="P207">
        <v>4</v>
      </c>
      <c r="Q207" t="s">
        <v>48</v>
      </c>
      <c r="R207" s="3">
        <v>7639</v>
      </c>
      <c r="S207">
        <v>24525</v>
      </c>
      <c r="T207">
        <v>1</v>
      </c>
      <c r="U207" t="s">
        <v>43</v>
      </c>
      <c r="V207" s="2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tr">
        <f t="shared" si="12"/>
        <v>26-35</v>
      </c>
      <c r="AH207" t="str">
        <f t="shared" si="13"/>
        <v>High</v>
      </c>
      <c r="AI207" s="1">
        <f>VLOOKUP(E207,Lookup_Tables!$A$3:$B$5,2,)</f>
        <v>6959.17264573991</v>
      </c>
      <c r="AJ207" t="str">
        <f t="shared" si="14"/>
        <v>Above salary</v>
      </c>
      <c r="AK207" t="str">
        <f t="shared" si="15"/>
        <v>Low Risk</v>
      </c>
    </row>
    <row r="208" spans="1:37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46</v>
      </c>
      <c r="L208">
        <v>60</v>
      </c>
      <c r="M208">
        <v>4</v>
      </c>
      <c r="N208">
        <v>1</v>
      </c>
      <c r="O208" t="s">
        <v>47</v>
      </c>
      <c r="P208">
        <v>2</v>
      </c>
      <c r="Q208" t="s">
        <v>52</v>
      </c>
      <c r="R208" s="3">
        <v>2328</v>
      </c>
      <c r="S208">
        <v>12392</v>
      </c>
      <c r="T208">
        <v>1</v>
      </c>
      <c r="U208" t="s">
        <v>35</v>
      </c>
      <c r="V208" s="2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tr">
        <f t="shared" si="12"/>
        <v>18-25</v>
      </c>
      <c r="AH208" t="str">
        <f t="shared" si="13"/>
        <v>Low</v>
      </c>
      <c r="AI208" s="1">
        <f>VLOOKUP(E208,Lookup_Tables!$A$3:$B$5,2,)</f>
        <v>6281.2528616024974</v>
      </c>
      <c r="AJ208" t="str">
        <f t="shared" si="14"/>
        <v>Below salary</v>
      </c>
      <c r="AK208" t="str">
        <f t="shared" si="15"/>
        <v>High Risk</v>
      </c>
    </row>
    <row r="209" spans="1:37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286</v>
      </c>
      <c r="J209">
        <v>2</v>
      </c>
      <c r="K209" t="s">
        <v>39</v>
      </c>
      <c r="L209">
        <v>73</v>
      </c>
      <c r="M209">
        <v>3</v>
      </c>
      <c r="N209">
        <v>1</v>
      </c>
      <c r="O209" t="s">
        <v>50</v>
      </c>
      <c r="P209">
        <v>4</v>
      </c>
      <c r="Q209" t="s">
        <v>41</v>
      </c>
      <c r="R209" s="3">
        <v>2153</v>
      </c>
      <c r="S209">
        <v>7703</v>
      </c>
      <c r="T209">
        <v>1</v>
      </c>
      <c r="U209" t="s">
        <v>43</v>
      </c>
      <c r="V209" s="2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tr">
        <f t="shared" si="12"/>
        <v>36-45</v>
      </c>
      <c r="AH209" t="str">
        <f t="shared" si="13"/>
        <v>Low</v>
      </c>
      <c r="AI209" s="1">
        <f>VLOOKUP(E209,Lookup_Tables!$A$3:$B$5,2,)</f>
        <v>6281.2528616024974</v>
      </c>
      <c r="AJ209" t="str">
        <f t="shared" si="14"/>
        <v>Below salary</v>
      </c>
      <c r="AK209" t="str">
        <f t="shared" si="15"/>
        <v>Low Risk</v>
      </c>
    </row>
    <row r="210" spans="1:37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46</v>
      </c>
      <c r="L210">
        <v>63</v>
      </c>
      <c r="M210">
        <v>2</v>
      </c>
      <c r="N210">
        <v>2</v>
      </c>
      <c r="O210" t="s">
        <v>54</v>
      </c>
      <c r="P210">
        <v>4</v>
      </c>
      <c r="Q210" t="s">
        <v>48</v>
      </c>
      <c r="R210" s="3">
        <v>4876</v>
      </c>
      <c r="S210">
        <v>14242</v>
      </c>
      <c r="T210">
        <v>9</v>
      </c>
      <c r="U210" t="s">
        <v>43</v>
      </c>
      <c r="V210" s="2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tr">
        <f t="shared" si="12"/>
        <v>36-45</v>
      </c>
      <c r="AH210" t="str">
        <f t="shared" si="13"/>
        <v>Mid</v>
      </c>
      <c r="AI210" s="1">
        <f>VLOOKUP(E210,Lookup_Tables!$A$3:$B$5,2,)</f>
        <v>6281.2528616024974</v>
      </c>
      <c r="AJ210" t="str">
        <f t="shared" si="14"/>
        <v>Below salary</v>
      </c>
      <c r="AK210" t="str">
        <f t="shared" si="15"/>
        <v>Low Risk</v>
      </c>
    </row>
    <row r="211" spans="1:37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288</v>
      </c>
      <c r="J211">
        <v>4</v>
      </c>
      <c r="K211" t="s">
        <v>46</v>
      </c>
      <c r="L211">
        <v>97</v>
      </c>
      <c r="M211">
        <v>3</v>
      </c>
      <c r="N211">
        <v>3</v>
      </c>
      <c r="O211" t="s">
        <v>54</v>
      </c>
      <c r="P211">
        <v>1</v>
      </c>
      <c r="Q211" t="s">
        <v>52</v>
      </c>
      <c r="R211" s="3">
        <v>9396</v>
      </c>
      <c r="S211">
        <v>12368</v>
      </c>
      <c r="T211">
        <v>7</v>
      </c>
      <c r="U211" t="s">
        <v>43</v>
      </c>
      <c r="V211" s="2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tr">
        <f t="shared" si="12"/>
        <v>46+</v>
      </c>
      <c r="AH211" t="str">
        <f t="shared" si="13"/>
        <v>High</v>
      </c>
      <c r="AI211" s="1">
        <f>VLOOKUP(E211,Lookup_Tables!$A$3:$B$5,2,)</f>
        <v>6281.2528616024974</v>
      </c>
      <c r="AJ211" t="str">
        <f t="shared" si="14"/>
        <v>Above salary</v>
      </c>
      <c r="AK211" t="str">
        <f t="shared" si="15"/>
        <v>Medium Risk</v>
      </c>
    </row>
    <row r="212" spans="1:37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291</v>
      </c>
      <c r="J212">
        <v>4</v>
      </c>
      <c r="K212" t="s">
        <v>46</v>
      </c>
      <c r="L212">
        <v>32</v>
      </c>
      <c r="M212">
        <v>1</v>
      </c>
      <c r="N212">
        <v>3</v>
      </c>
      <c r="O212" t="s">
        <v>40</v>
      </c>
      <c r="P212">
        <v>4</v>
      </c>
      <c r="Q212" t="s">
        <v>48</v>
      </c>
      <c r="R212" s="3">
        <v>10400</v>
      </c>
      <c r="S212">
        <v>25812</v>
      </c>
      <c r="T212">
        <v>1</v>
      </c>
      <c r="U212" t="s">
        <v>43</v>
      </c>
      <c r="V212" s="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tr">
        <f t="shared" si="12"/>
        <v>26-35</v>
      </c>
      <c r="AH212" t="str">
        <f t="shared" si="13"/>
        <v>High</v>
      </c>
      <c r="AI212" s="1">
        <f>VLOOKUP(E212,Lookup_Tables!$A$3:$B$5,2,)</f>
        <v>6959.17264573991</v>
      </c>
      <c r="AJ212" t="str">
        <f t="shared" si="14"/>
        <v>Above salary</v>
      </c>
      <c r="AK212" t="str">
        <f t="shared" si="15"/>
        <v>Low Risk</v>
      </c>
    </row>
    <row r="213" spans="1:37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46</v>
      </c>
      <c r="L213">
        <v>88</v>
      </c>
      <c r="M213">
        <v>2</v>
      </c>
      <c r="N213">
        <v>3</v>
      </c>
      <c r="O213" t="s">
        <v>53</v>
      </c>
      <c r="P213">
        <v>3</v>
      </c>
      <c r="Q213" t="s">
        <v>41</v>
      </c>
      <c r="R213" s="3">
        <v>8474</v>
      </c>
      <c r="S213">
        <v>20925</v>
      </c>
      <c r="T213">
        <v>1</v>
      </c>
      <c r="U213" t="s">
        <v>43</v>
      </c>
      <c r="V213" s="2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tr">
        <f t="shared" si="12"/>
        <v>26-35</v>
      </c>
      <c r="AH213" t="str">
        <f t="shared" si="13"/>
        <v>High</v>
      </c>
      <c r="AI213" s="1">
        <f>VLOOKUP(E213,Lookup_Tables!$A$3:$B$5,2,)</f>
        <v>6281.2528616024974</v>
      </c>
      <c r="AJ213" t="str">
        <f t="shared" si="14"/>
        <v>Above salary</v>
      </c>
      <c r="AK213" t="str">
        <f t="shared" si="15"/>
        <v>Low Risk</v>
      </c>
    </row>
    <row r="214" spans="1:37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90</v>
      </c>
      <c r="M214">
        <v>3</v>
      </c>
      <c r="N214">
        <v>2</v>
      </c>
      <c r="O214" t="s">
        <v>40</v>
      </c>
      <c r="P214">
        <v>3</v>
      </c>
      <c r="Q214" t="s">
        <v>41</v>
      </c>
      <c r="R214" s="3">
        <v>9981</v>
      </c>
      <c r="S214">
        <v>12916</v>
      </c>
      <c r="T214">
        <v>1</v>
      </c>
      <c r="U214" t="s">
        <v>43</v>
      </c>
      <c r="V214" s="2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tr">
        <f t="shared" si="12"/>
        <v>26-35</v>
      </c>
      <c r="AH214" t="str">
        <f t="shared" si="13"/>
        <v>High</v>
      </c>
      <c r="AI214" s="1">
        <f>VLOOKUP(E214,Lookup_Tables!$A$3:$B$5,2,)</f>
        <v>6959.17264573991</v>
      </c>
      <c r="AJ214" t="str">
        <f t="shared" si="14"/>
        <v>Above salary</v>
      </c>
      <c r="AK214" t="str">
        <f t="shared" si="15"/>
        <v>Low Risk</v>
      </c>
    </row>
    <row r="215" spans="1:37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46</v>
      </c>
      <c r="L215">
        <v>81</v>
      </c>
      <c r="M215">
        <v>2</v>
      </c>
      <c r="N215">
        <v>3</v>
      </c>
      <c r="O215" t="s">
        <v>58</v>
      </c>
      <c r="P215">
        <v>2</v>
      </c>
      <c r="Q215" t="s">
        <v>48</v>
      </c>
      <c r="R215" s="3">
        <v>12490</v>
      </c>
      <c r="S215">
        <v>15736</v>
      </c>
      <c r="T215">
        <v>5</v>
      </c>
      <c r="U215" t="s">
        <v>43</v>
      </c>
      <c r="V215" s="2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tr">
        <f t="shared" si="12"/>
        <v>46+</v>
      </c>
      <c r="AH215" t="str">
        <f t="shared" si="13"/>
        <v>Very High</v>
      </c>
      <c r="AI215" s="1">
        <f>VLOOKUP(E215,Lookup_Tables!$A$3:$B$5,2,)</f>
        <v>6281.2528616024974</v>
      </c>
      <c r="AJ215" t="str">
        <f t="shared" si="14"/>
        <v>Above salary</v>
      </c>
      <c r="AK215" t="str">
        <f t="shared" si="15"/>
        <v>Medium Risk</v>
      </c>
    </row>
    <row r="216" spans="1:37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297</v>
      </c>
      <c r="J216">
        <v>4</v>
      </c>
      <c r="K216" t="s">
        <v>39</v>
      </c>
      <c r="L216">
        <v>88</v>
      </c>
      <c r="M216">
        <v>3</v>
      </c>
      <c r="N216">
        <v>1</v>
      </c>
      <c r="O216" t="s">
        <v>47</v>
      </c>
      <c r="P216">
        <v>1</v>
      </c>
      <c r="Q216" t="s">
        <v>41</v>
      </c>
      <c r="R216" s="3">
        <v>2657</v>
      </c>
      <c r="S216">
        <v>8556</v>
      </c>
      <c r="T216">
        <v>5</v>
      </c>
      <c r="U216" t="s">
        <v>35</v>
      </c>
      <c r="V216" s="2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tr">
        <f t="shared" si="12"/>
        <v>26-35</v>
      </c>
      <c r="AH216" t="str">
        <f t="shared" si="13"/>
        <v>Low</v>
      </c>
      <c r="AI216" s="1">
        <f>VLOOKUP(E216,Lookup_Tables!$A$3:$B$5,2,)</f>
        <v>6281.2528616024974</v>
      </c>
      <c r="AJ216" t="str">
        <f t="shared" si="14"/>
        <v>Below salary</v>
      </c>
      <c r="AK216" t="str">
        <f t="shared" si="15"/>
        <v>High Risk</v>
      </c>
    </row>
    <row r="217" spans="1:37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75</v>
      </c>
      <c r="M217">
        <v>3</v>
      </c>
      <c r="N217">
        <v>3</v>
      </c>
      <c r="O217" t="s">
        <v>56</v>
      </c>
      <c r="P217">
        <v>4</v>
      </c>
      <c r="Q217" t="s">
        <v>41</v>
      </c>
      <c r="R217" s="3">
        <v>13591</v>
      </c>
      <c r="S217">
        <v>14674</v>
      </c>
      <c r="T217">
        <v>3</v>
      </c>
      <c r="U217" t="s">
        <v>35</v>
      </c>
      <c r="V217" s="2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tr">
        <f t="shared" si="12"/>
        <v>36-45</v>
      </c>
      <c r="AH217" t="str">
        <f t="shared" si="13"/>
        <v>Very High</v>
      </c>
      <c r="AI217" s="1">
        <f>VLOOKUP(E217,Lookup_Tables!$A$3:$B$5,2,)</f>
        <v>6959.17264573991</v>
      </c>
      <c r="AJ217" t="str">
        <f t="shared" si="14"/>
        <v>Above salary</v>
      </c>
      <c r="AK217" t="str">
        <f t="shared" si="15"/>
        <v>Medium Risk</v>
      </c>
    </row>
    <row r="218" spans="1:37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299</v>
      </c>
      <c r="J218">
        <v>3</v>
      </c>
      <c r="K218" t="s">
        <v>39</v>
      </c>
      <c r="L218">
        <v>52</v>
      </c>
      <c r="M218">
        <v>2</v>
      </c>
      <c r="N218">
        <v>2</v>
      </c>
      <c r="O218" t="s">
        <v>40</v>
      </c>
      <c r="P218">
        <v>1</v>
      </c>
      <c r="Q218" t="s">
        <v>41</v>
      </c>
      <c r="R218" s="3">
        <v>6696</v>
      </c>
      <c r="S218">
        <v>22967</v>
      </c>
      <c r="T218">
        <v>5</v>
      </c>
      <c r="U218" t="s">
        <v>43</v>
      </c>
      <c r="V218" s="2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tr">
        <f t="shared" si="12"/>
        <v>26-35</v>
      </c>
      <c r="AH218" t="str">
        <f t="shared" si="13"/>
        <v>Mid</v>
      </c>
      <c r="AI218" s="1">
        <f>VLOOKUP(E218,Lookup_Tables!$A$3:$B$5,2,)</f>
        <v>6959.17264573991</v>
      </c>
      <c r="AJ218" t="str">
        <f t="shared" si="14"/>
        <v>Below salary</v>
      </c>
      <c r="AK218" t="str">
        <f t="shared" si="15"/>
        <v>Medium Risk</v>
      </c>
    </row>
    <row r="219" spans="1:37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300</v>
      </c>
      <c r="J219">
        <v>3</v>
      </c>
      <c r="K219" t="s">
        <v>46</v>
      </c>
      <c r="L219">
        <v>85</v>
      </c>
      <c r="M219">
        <v>3</v>
      </c>
      <c r="N219">
        <v>1</v>
      </c>
      <c r="O219" t="s">
        <v>47</v>
      </c>
      <c r="P219">
        <v>3</v>
      </c>
      <c r="Q219" t="s">
        <v>41</v>
      </c>
      <c r="R219" s="3">
        <v>2058</v>
      </c>
      <c r="S219">
        <v>19757</v>
      </c>
      <c r="T219">
        <v>0</v>
      </c>
      <c r="U219" t="s">
        <v>43</v>
      </c>
      <c r="V219" s="2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tr">
        <f t="shared" si="12"/>
        <v>26-35</v>
      </c>
      <c r="AH219" t="str">
        <f t="shared" si="13"/>
        <v>Low</v>
      </c>
      <c r="AI219" s="1">
        <f>VLOOKUP(E219,Lookup_Tables!$A$3:$B$5,2,)</f>
        <v>6281.2528616024974</v>
      </c>
      <c r="AJ219" t="str">
        <f t="shared" si="14"/>
        <v>Below salary</v>
      </c>
      <c r="AK219" t="str">
        <f t="shared" si="15"/>
        <v>Low Risk</v>
      </c>
    </row>
    <row r="220" spans="1:37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302</v>
      </c>
      <c r="J220">
        <v>4</v>
      </c>
      <c r="K220" t="s">
        <v>39</v>
      </c>
      <c r="L220">
        <v>57</v>
      </c>
      <c r="M220">
        <v>2</v>
      </c>
      <c r="N220">
        <v>3</v>
      </c>
      <c r="O220" t="s">
        <v>40</v>
      </c>
      <c r="P220">
        <v>4</v>
      </c>
      <c r="Q220" t="s">
        <v>41</v>
      </c>
      <c r="R220" s="3">
        <v>8865</v>
      </c>
      <c r="S220">
        <v>16840</v>
      </c>
      <c r="T220">
        <v>6</v>
      </c>
      <c r="U220" t="s">
        <v>43</v>
      </c>
      <c r="V220" s="2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tr">
        <f t="shared" si="12"/>
        <v>36-45</v>
      </c>
      <c r="AH220" t="str">
        <f t="shared" si="13"/>
        <v>High</v>
      </c>
      <c r="AI220" s="1">
        <f>VLOOKUP(E220,Lookup_Tables!$A$3:$B$5,2,)</f>
        <v>6959.17264573991</v>
      </c>
      <c r="AJ220" t="str">
        <f t="shared" si="14"/>
        <v>Above salary</v>
      </c>
      <c r="AK220" t="str">
        <f t="shared" si="15"/>
        <v>Low Risk</v>
      </c>
    </row>
    <row r="221" spans="1:37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303</v>
      </c>
      <c r="J221">
        <v>4</v>
      </c>
      <c r="K221" t="s">
        <v>39</v>
      </c>
      <c r="L221">
        <v>52</v>
      </c>
      <c r="M221">
        <v>3</v>
      </c>
      <c r="N221">
        <v>2</v>
      </c>
      <c r="O221" t="s">
        <v>40</v>
      </c>
      <c r="P221">
        <v>1</v>
      </c>
      <c r="Q221" t="s">
        <v>48</v>
      </c>
      <c r="R221" s="3">
        <v>5940</v>
      </c>
      <c r="S221">
        <v>17011</v>
      </c>
      <c r="T221">
        <v>2</v>
      </c>
      <c r="U221" t="s">
        <v>43</v>
      </c>
      <c r="V221" s="2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tr">
        <f t="shared" si="12"/>
        <v>46+</v>
      </c>
      <c r="AH221" t="str">
        <f t="shared" si="13"/>
        <v>Mid</v>
      </c>
      <c r="AI221" s="1">
        <f>VLOOKUP(E221,Lookup_Tables!$A$3:$B$5,2,)</f>
        <v>6959.17264573991</v>
      </c>
      <c r="AJ221" t="str">
        <f t="shared" si="14"/>
        <v>Below salary</v>
      </c>
      <c r="AK221" t="str">
        <f t="shared" si="15"/>
        <v>Medium Risk</v>
      </c>
    </row>
    <row r="222" spans="1:37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46</v>
      </c>
      <c r="L222">
        <v>62</v>
      </c>
      <c r="M222">
        <v>3</v>
      </c>
      <c r="N222">
        <v>2</v>
      </c>
      <c r="O222" t="s">
        <v>50</v>
      </c>
      <c r="P222">
        <v>2</v>
      </c>
      <c r="Q222" t="s">
        <v>41</v>
      </c>
      <c r="R222" s="3">
        <v>5914</v>
      </c>
      <c r="S222">
        <v>9945</v>
      </c>
      <c r="T222">
        <v>8</v>
      </c>
      <c r="U222" t="s">
        <v>43</v>
      </c>
      <c r="V222" s="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tr">
        <f t="shared" si="12"/>
        <v>36-45</v>
      </c>
      <c r="AH222" t="str">
        <f t="shared" si="13"/>
        <v>Mid</v>
      </c>
      <c r="AI222" s="1">
        <f>VLOOKUP(E222,Lookup_Tables!$A$3:$B$5,2,)</f>
        <v>6281.2528616024974</v>
      </c>
      <c r="AJ222" t="str">
        <f t="shared" si="14"/>
        <v>Below salary</v>
      </c>
      <c r="AK222" t="str">
        <f t="shared" si="15"/>
        <v>Medium Risk</v>
      </c>
    </row>
    <row r="223" spans="1:37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305</v>
      </c>
      <c r="J223">
        <v>3</v>
      </c>
      <c r="K223" t="s">
        <v>39</v>
      </c>
      <c r="L223">
        <v>47</v>
      </c>
      <c r="M223">
        <v>2</v>
      </c>
      <c r="N223">
        <v>1</v>
      </c>
      <c r="O223" t="s">
        <v>47</v>
      </c>
      <c r="P223">
        <v>2</v>
      </c>
      <c r="Q223" t="s">
        <v>48</v>
      </c>
      <c r="R223" s="3">
        <v>2622</v>
      </c>
      <c r="S223">
        <v>13248</v>
      </c>
      <c r="T223">
        <v>6</v>
      </c>
      <c r="U223" t="s">
        <v>43</v>
      </c>
      <c r="V223" s="2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tr">
        <f t="shared" si="12"/>
        <v>26-35</v>
      </c>
      <c r="AH223" t="str">
        <f t="shared" si="13"/>
        <v>Low</v>
      </c>
      <c r="AI223" s="1">
        <f>VLOOKUP(E223,Lookup_Tables!$A$3:$B$5,2,)</f>
        <v>6281.2528616024974</v>
      </c>
      <c r="AJ223" t="str">
        <f t="shared" si="14"/>
        <v>Below salary</v>
      </c>
      <c r="AK223" t="str">
        <f t="shared" si="15"/>
        <v>Medium Risk</v>
      </c>
    </row>
    <row r="224" spans="1:37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t="s">
        <v>46</v>
      </c>
      <c r="L224">
        <v>47</v>
      </c>
      <c r="M224">
        <v>3</v>
      </c>
      <c r="N224">
        <v>3</v>
      </c>
      <c r="O224" t="s">
        <v>58</v>
      </c>
      <c r="P224">
        <v>4</v>
      </c>
      <c r="Q224" t="s">
        <v>52</v>
      </c>
      <c r="R224" s="3">
        <v>12185</v>
      </c>
      <c r="S224">
        <v>10056</v>
      </c>
      <c r="T224">
        <v>1</v>
      </c>
      <c r="U224" t="s">
        <v>35</v>
      </c>
      <c r="V224" s="2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tr">
        <f t="shared" si="12"/>
        <v>36-45</v>
      </c>
      <c r="AH224" t="str">
        <f t="shared" si="13"/>
        <v>Very High</v>
      </c>
      <c r="AI224" s="1">
        <f>VLOOKUP(E224,Lookup_Tables!$A$3:$B$5,2,)</f>
        <v>6281.2528616024974</v>
      </c>
      <c r="AJ224" t="str">
        <f t="shared" si="14"/>
        <v>Above salary</v>
      </c>
      <c r="AK224" t="str">
        <f t="shared" si="15"/>
        <v>Medium Risk</v>
      </c>
    </row>
    <row r="225" spans="1:37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46</v>
      </c>
      <c r="L225">
        <v>76</v>
      </c>
      <c r="M225">
        <v>3</v>
      </c>
      <c r="N225">
        <v>3</v>
      </c>
      <c r="O225" t="s">
        <v>40</v>
      </c>
      <c r="P225">
        <v>3</v>
      </c>
      <c r="Q225" t="s">
        <v>52</v>
      </c>
      <c r="R225" s="3">
        <v>10609</v>
      </c>
      <c r="S225">
        <v>9647</v>
      </c>
      <c r="T225">
        <v>0</v>
      </c>
      <c r="U225" t="s">
        <v>43</v>
      </c>
      <c r="V225" s="2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tr">
        <f t="shared" si="12"/>
        <v>36-45</v>
      </c>
      <c r="AH225" t="str">
        <f t="shared" si="13"/>
        <v>High</v>
      </c>
      <c r="AI225" s="1">
        <f>VLOOKUP(E225,Lookup_Tables!$A$3:$B$5,2,)</f>
        <v>6959.17264573991</v>
      </c>
      <c r="AJ225" t="str">
        <f t="shared" si="14"/>
        <v>Above salary</v>
      </c>
      <c r="AK225" t="str">
        <f t="shared" si="15"/>
        <v>Low Risk</v>
      </c>
    </row>
    <row r="226" spans="1:37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308</v>
      </c>
      <c r="J226">
        <v>3</v>
      </c>
      <c r="K226" t="s">
        <v>46</v>
      </c>
      <c r="L226">
        <v>90</v>
      </c>
      <c r="M226">
        <v>1</v>
      </c>
      <c r="N226">
        <v>2</v>
      </c>
      <c r="O226" t="s">
        <v>53</v>
      </c>
      <c r="P226">
        <v>3</v>
      </c>
      <c r="Q226" t="s">
        <v>48</v>
      </c>
      <c r="R226" s="3">
        <v>4345</v>
      </c>
      <c r="S226">
        <v>4381</v>
      </c>
      <c r="T226">
        <v>0</v>
      </c>
      <c r="U226" t="s">
        <v>43</v>
      </c>
      <c r="V226" s="2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tr">
        <f t="shared" si="12"/>
        <v>26-35</v>
      </c>
      <c r="AH226" t="str">
        <f t="shared" si="13"/>
        <v>Mid</v>
      </c>
      <c r="AI226" s="1">
        <f>VLOOKUP(E226,Lookup_Tables!$A$3:$B$5,2,)</f>
        <v>6281.2528616024974</v>
      </c>
      <c r="AJ226" t="str">
        <f t="shared" si="14"/>
        <v>Below salary</v>
      </c>
      <c r="AK226" t="str">
        <f t="shared" si="15"/>
        <v>Low Risk</v>
      </c>
    </row>
    <row r="227" spans="1:37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46</v>
      </c>
      <c r="L227">
        <v>70</v>
      </c>
      <c r="M227">
        <v>2</v>
      </c>
      <c r="N227">
        <v>1</v>
      </c>
      <c r="O227" t="s">
        <v>47</v>
      </c>
      <c r="P227">
        <v>4</v>
      </c>
      <c r="Q227" t="s">
        <v>48</v>
      </c>
      <c r="R227" s="3">
        <v>2177</v>
      </c>
      <c r="S227">
        <v>8456</v>
      </c>
      <c r="T227">
        <v>3</v>
      </c>
      <c r="U227" t="s">
        <v>43</v>
      </c>
      <c r="V227" s="2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tr">
        <f t="shared" si="12"/>
        <v>46+</v>
      </c>
      <c r="AH227" t="str">
        <f t="shared" si="13"/>
        <v>Low</v>
      </c>
      <c r="AI227" s="1">
        <f>VLOOKUP(E227,Lookup_Tables!$A$3:$B$5,2,)</f>
        <v>6281.2528616024974</v>
      </c>
      <c r="AJ227" t="str">
        <f t="shared" si="14"/>
        <v>Below salary</v>
      </c>
      <c r="AK227" t="str">
        <f t="shared" si="15"/>
        <v>Low Risk</v>
      </c>
    </row>
    <row r="228" spans="1:37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311</v>
      </c>
      <c r="J228">
        <v>1</v>
      </c>
      <c r="K228" t="s">
        <v>46</v>
      </c>
      <c r="L228">
        <v>41</v>
      </c>
      <c r="M228">
        <v>3</v>
      </c>
      <c r="N228">
        <v>1</v>
      </c>
      <c r="O228" t="s">
        <v>57</v>
      </c>
      <c r="P228">
        <v>4</v>
      </c>
      <c r="Q228" t="s">
        <v>52</v>
      </c>
      <c r="R228" s="3">
        <v>2793</v>
      </c>
      <c r="S228">
        <v>2539</v>
      </c>
      <c r="T228">
        <v>4</v>
      </c>
      <c r="U228" t="s">
        <v>43</v>
      </c>
      <c r="V228" s="2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tr">
        <f t="shared" si="12"/>
        <v>36-45</v>
      </c>
      <c r="AH228" t="str">
        <f t="shared" si="13"/>
        <v>Low</v>
      </c>
      <c r="AI228" s="1">
        <f>VLOOKUP(E228,Lookup_Tables!$A$3:$B$5,2,)</f>
        <v>6959.17264573991</v>
      </c>
      <c r="AJ228" t="str">
        <f t="shared" si="14"/>
        <v>Below salary</v>
      </c>
      <c r="AK228" t="str">
        <f t="shared" si="15"/>
        <v>Low Risk</v>
      </c>
    </row>
    <row r="229" spans="1:37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312</v>
      </c>
      <c r="J229">
        <v>2</v>
      </c>
      <c r="K229" t="s">
        <v>39</v>
      </c>
      <c r="L229">
        <v>42</v>
      </c>
      <c r="M229">
        <v>3</v>
      </c>
      <c r="N229">
        <v>3</v>
      </c>
      <c r="O229" t="s">
        <v>40</v>
      </c>
      <c r="P229">
        <v>4</v>
      </c>
      <c r="Q229" t="s">
        <v>48</v>
      </c>
      <c r="R229" s="3">
        <v>7918</v>
      </c>
      <c r="S229">
        <v>6599</v>
      </c>
      <c r="T229">
        <v>1</v>
      </c>
      <c r="U229" t="s">
        <v>43</v>
      </c>
      <c r="V229" s="2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tr">
        <f t="shared" si="12"/>
        <v>26-35</v>
      </c>
      <c r="AH229" t="str">
        <f t="shared" si="13"/>
        <v>High</v>
      </c>
      <c r="AI229" s="1">
        <f>VLOOKUP(E229,Lookup_Tables!$A$3:$B$5,2,)</f>
        <v>6959.17264573991</v>
      </c>
      <c r="AJ229" t="str">
        <f t="shared" si="14"/>
        <v>Above salary</v>
      </c>
      <c r="AK229" t="str">
        <f t="shared" si="15"/>
        <v>Low Risk</v>
      </c>
    </row>
    <row r="230" spans="1:37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314</v>
      </c>
      <c r="J230">
        <v>3</v>
      </c>
      <c r="K230" t="s">
        <v>39</v>
      </c>
      <c r="L230">
        <v>92</v>
      </c>
      <c r="M230">
        <v>3</v>
      </c>
      <c r="N230">
        <v>3</v>
      </c>
      <c r="O230" t="s">
        <v>40</v>
      </c>
      <c r="P230">
        <v>3</v>
      </c>
      <c r="Q230" t="s">
        <v>41</v>
      </c>
      <c r="R230" s="3">
        <v>8789</v>
      </c>
      <c r="S230">
        <v>9096</v>
      </c>
      <c r="T230">
        <v>1</v>
      </c>
      <c r="U230" t="s">
        <v>43</v>
      </c>
      <c r="V230" s="2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tr">
        <f t="shared" si="12"/>
        <v>26-35</v>
      </c>
      <c r="AH230" t="str">
        <f t="shared" si="13"/>
        <v>High</v>
      </c>
      <c r="AI230" s="1">
        <f>VLOOKUP(E230,Lookup_Tables!$A$3:$B$5,2,)</f>
        <v>6959.17264573991</v>
      </c>
      <c r="AJ230" t="str">
        <f t="shared" si="14"/>
        <v>Above salary</v>
      </c>
      <c r="AK230" t="str">
        <f t="shared" si="15"/>
        <v>Low Risk</v>
      </c>
    </row>
    <row r="231" spans="1:37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315</v>
      </c>
      <c r="J231">
        <v>3</v>
      </c>
      <c r="K231" t="s">
        <v>46</v>
      </c>
      <c r="L231">
        <v>86</v>
      </c>
      <c r="M231">
        <v>2</v>
      </c>
      <c r="N231">
        <v>1</v>
      </c>
      <c r="O231" t="s">
        <v>47</v>
      </c>
      <c r="P231">
        <v>4</v>
      </c>
      <c r="Q231" t="s">
        <v>41</v>
      </c>
      <c r="R231" s="3">
        <v>2389</v>
      </c>
      <c r="S231">
        <v>14961</v>
      </c>
      <c r="T231">
        <v>1</v>
      </c>
      <c r="U231" t="s">
        <v>35</v>
      </c>
      <c r="V231" s="2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tr">
        <f t="shared" si="12"/>
        <v>26-35</v>
      </c>
      <c r="AH231" t="str">
        <f t="shared" si="13"/>
        <v>Low</v>
      </c>
      <c r="AI231" s="1">
        <f>VLOOKUP(E231,Lookup_Tables!$A$3:$B$5,2,)</f>
        <v>6281.2528616024974</v>
      </c>
      <c r="AJ231" t="str">
        <f t="shared" si="14"/>
        <v>Below salary</v>
      </c>
      <c r="AK231" t="str">
        <f t="shared" si="15"/>
        <v>Medium Risk</v>
      </c>
    </row>
    <row r="232" spans="1:37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89</v>
      </c>
      <c r="M232">
        <v>2</v>
      </c>
      <c r="N232">
        <v>1</v>
      </c>
      <c r="O232" t="s">
        <v>50</v>
      </c>
      <c r="P232">
        <v>4</v>
      </c>
      <c r="Q232" t="s">
        <v>41</v>
      </c>
      <c r="R232" s="3">
        <v>3212</v>
      </c>
      <c r="S232">
        <v>3300</v>
      </c>
      <c r="T232">
        <v>7</v>
      </c>
      <c r="U232" t="s">
        <v>43</v>
      </c>
      <c r="V232" s="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tr">
        <f t="shared" si="12"/>
        <v>46+</v>
      </c>
      <c r="AH232" t="str">
        <f t="shared" si="13"/>
        <v>Mid</v>
      </c>
      <c r="AI232" s="1">
        <f>VLOOKUP(E232,Lookup_Tables!$A$3:$B$5,2,)</f>
        <v>6281.2528616024974</v>
      </c>
      <c r="AJ232" t="str">
        <f t="shared" si="14"/>
        <v>Below salary</v>
      </c>
      <c r="AK232" t="str">
        <f t="shared" si="15"/>
        <v>Low Risk</v>
      </c>
    </row>
    <row r="233" spans="1:37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319</v>
      </c>
      <c r="J233">
        <v>3</v>
      </c>
      <c r="K233" t="s">
        <v>46</v>
      </c>
      <c r="L233">
        <v>58</v>
      </c>
      <c r="M233">
        <v>3</v>
      </c>
      <c r="N233">
        <v>5</v>
      </c>
      <c r="O233" t="s">
        <v>56</v>
      </c>
      <c r="P233">
        <v>4</v>
      </c>
      <c r="Q233" t="s">
        <v>48</v>
      </c>
      <c r="R233" s="3">
        <v>19232</v>
      </c>
      <c r="S233">
        <v>4933</v>
      </c>
      <c r="T233">
        <v>1</v>
      </c>
      <c r="U233" t="s">
        <v>43</v>
      </c>
      <c r="V233" s="2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tr">
        <f t="shared" si="12"/>
        <v>36-45</v>
      </c>
      <c r="AH233" t="str">
        <f t="shared" si="13"/>
        <v>Very High</v>
      </c>
      <c r="AI233" s="1">
        <f>VLOOKUP(E233,Lookup_Tables!$A$3:$B$5,2,)</f>
        <v>6281.2528616024974</v>
      </c>
      <c r="AJ233" t="str">
        <f t="shared" si="14"/>
        <v>Above salary</v>
      </c>
      <c r="AK233" t="str">
        <f t="shared" si="15"/>
        <v>Low Risk</v>
      </c>
    </row>
    <row r="234" spans="1:37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321</v>
      </c>
      <c r="J234">
        <v>2</v>
      </c>
      <c r="K234" t="s">
        <v>46</v>
      </c>
      <c r="L234">
        <v>52</v>
      </c>
      <c r="M234">
        <v>3</v>
      </c>
      <c r="N234">
        <v>1</v>
      </c>
      <c r="O234" t="s">
        <v>61</v>
      </c>
      <c r="P234">
        <v>3</v>
      </c>
      <c r="Q234" t="s">
        <v>48</v>
      </c>
      <c r="R234" s="3">
        <v>2267</v>
      </c>
      <c r="S234">
        <v>25657</v>
      </c>
      <c r="T234">
        <v>8</v>
      </c>
      <c r="U234" t="s">
        <v>43</v>
      </c>
      <c r="V234" s="2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tr">
        <f t="shared" si="12"/>
        <v>46+</v>
      </c>
      <c r="AH234" t="str">
        <f t="shared" si="13"/>
        <v>Low</v>
      </c>
      <c r="AI234" s="1">
        <f>VLOOKUP(E234,Lookup_Tables!$A$3:$B$5,2,)</f>
        <v>6654.5079365079364</v>
      </c>
      <c r="AJ234" t="str">
        <f t="shared" si="14"/>
        <v>Below salary</v>
      </c>
      <c r="AK234" t="str">
        <f t="shared" si="15"/>
        <v>Low Risk</v>
      </c>
    </row>
    <row r="235" spans="1:37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323</v>
      </c>
      <c r="J235">
        <v>4</v>
      </c>
      <c r="K235" t="s">
        <v>39</v>
      </c>
      <c r="L235">
        <v>68</v>
      </c>
      <c r="M235">
        <v>3</v>
      </c>
      <c r="N235">
        <v>5</v>
      </c>
      <c r="O235" t="s">
        <v>56</v>
      </c>
      <c r="P235">
        <v>4</v>
      </c>
      <c r="Q235" t="s">
        <v>52</v>
      </c>
      <c r="R235" s="3">
        <v>19517</v>
      </c>
      <c r="S235">
        <v>24118</v>
      </c>
      <c r="T235">
        <v>3</v>
      </c>
      <c r="U235" t="s">
        <v>43</v>
      </c>
      <c r="V235" s="2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tr">
        <f t="shared" si="12"/>
        <v>46+</v>
      </c>
      <c r="AH235" t="str">
        <f t="shared" si="13"/>
        <v>Very High</v>
      </c>
      <c r="AI235" s="1">
        <f>VLOOKUP(E235,Lookup_Tables!$A$3:$B$5,2,)</f>
        <v>6959.17264573991</v>
      </c>
      <c r="AJ235" t="str">
        <f t="shared" si="14"/>
        <v>Above salary</v>
      </c>
      <c r="AK235" t="str">
        <f t="shared" si="15"/>
        <v>Low Risk</v>
      </c>
    </row>
    <row r="236" spans="1:37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325</v>
      </c>
      <c r="J236">
        <v>3</v>
      </c>
      <c r="K236" t="s">
        <v>46</v>
      </c>
      <c r="L236">
        <v>58</v>
      </c>
      <c r="M236">
        <v>3</v>
      </c>
      <c r="N236">
        <v>1</v>
      </c>
      <c r="O236" t="s">
        <v>50</v>
      </c>
      <c r="P236">
        <v>4</v>
      </c>
      <c r="Q236" t="s">
        <v>48</v>
      </c>
      <c r="R236" s="3">
        <v>2436</v>
      </c>
      <c r="S236">
        <v>22149</v>
      </c>
      <c r="T236">
        <v>5</v>
      </c>
      <c r="U236" t="s">
        <v>35</v>
      </c>
      <c r="V236" s="2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tr">
        <f t="shared" si="12"/>
        <v>26-35</v>
      </c>
      <c r="AH236" t="str">
        <f t="shared" si="13"/>
        <v>Low</v>
      </c>
      <c r="AI236" s="1">
        <f>VLOOKUP(E236,Lookup_Tables!$A$3:$B$5,2,)</f>
        <v>6281.2528616024974</v>
      </c>
      <c r="AJ236" t="str">
        <f t="shared" si="14"/>
        <v>Below salary</v>
      </c>
      <c r="AK236" t="str">
        <f t="shared" si="15"/>
        <v>Medium Risk</v>
      </c>
    </row>
    <row r="237" spans="1:37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327</v>
      </c>
      <c r="J237">
        <v>4</v>
      </c>
      <c r="K237" t="s">
        <v>39</v>
      </c>
      <c r="L237">
        <v>80</v>
      </c>
      <c r="M237">
        <v>3</v>
      </c>
      <c r="N237">
        <v>4</v>
      </c>
      <c r="O237" t="s">
        <v>56</v>
      </c>
      <c r="P237">
        <v>4</v>
      </c>
      <c r="Q237" t="s">
        <v>48</v>
      </c>
      <c r="R237" s="3">
        <v>16064</v>
      </c>
      <c r="S237">
        <v>7744</v>
      </c>
      <c r="T237">
        <v>5</v>
      </c>
      <c r="U237" t="s">
        <v>35</v>
      </c>
      <c r="V237" s="2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tr">
        <f t="shared" si="12"/>
        <v>36-45</v>
      </c>
      <c r="AH237" t="str">
        <f t="shared" si="13"/>
        <v>Very High</v>
      </c>
      <c r="AI237" s="1">
        <f>VLOOKUP(E237,Lookup_Tables!$A$3:$B$5,2,)</f>
        <v>6959.17264573991</v>
      </c>
      <c r="AJ237" t="str">
        <f t="shared" si="14"/>
        <v>Above salary</v>
      </c>
      <c r="AK237" t="str">
        <f t="shared" si="15"/>
        <v>Medium Risk</v>
      </c>
    </row>
    <row r="238" spans="1:37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39</v>
      </c>
      <c r="M238">
        <v>3</v>
      </c>
      <c r="N238">
        <v>1</v>
      </c>
      <c r="O238" t="s">
        <v>50</v>
      </c>
      <c r="P238">
        <v>1</v>
      </c>
      <c r="Q238" t="s">
        <v>48</v>
      </c>
      <c r="R238" s="3">
        <v>2707</v>
      </c>
      <c r="S238">
        <v>21509</v>
      </c>
      <c r="T238">
        <v>7</v>
      </c>
      <c r="U238" t="s">
        <v>43</v>
      </c>
      <c r="V238" s="2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tr">
        <f t="shared" si="12"/>
        <v>26-35</v>
      </c>
      <c r="AH238" t="str">
        <f t="shared" si="13"/>
        <v>Low</v>
      </c>
      <c r="AI238" s="1">
        <f>VLOOKUP(E238,Lookup_Tables!$A$3:$B$5,2,)</f>
        <v>6281.2528616024974</v>
      </c>
      <c r="AJ238" t="str">
        <f t="shared" si="14"/>
        <v>Below salary</v>
      </c>
      <c r="AK238" t="str">
        <f t="shared" si="15"/>
        <v>Medium Risk</v>
      </c>
    </row>
    <row r="239" spans="1:37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46</v>
      </c>
      <c r="L239">
        <v>79</v>
      </c>
      <c r="M239">
        <v>2</v>
      </c>
      <c r="N239">
        <v>5</v>
      </c>
      <c r="O239" t="s">
        <v>56</v>
      </c>
      <c r="P239">
        <v>3</v>
      </c>
      <c r="Q239" t="s">
        <v>41</v>
      </c>
      <c r="R239" s="3">
        <v>19068</v>
      </c>
      <c r="S239">
        <v>21030</v>
      </c>
      <c r="T239">
        <v>1</v>
      </c>
      <c r="U239" t="s">
        <v>35</v>
      </c>
      <c r="V239" s="2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tr">
        <f t="shared" si="12"/>
        <v>46+</v>
      </c>
      <c r="AH239" t="str">
        <f t="shared" si="13"/>
        <v>Very High</v>
      </c>
      <c r="AI239" s="1">
        <f>VLOOKUP(E239,Lookup_Tables!$A$3:$B$5,2,)</f>
        <v>6959.17264573991</v>
      </c>
      <c r="AJ239" t="str">
        <f t="shared" si="14"/>
        <v>Above salary</v>
      </c>
      <c r="AK239" t="str">
        <f t="shared" si="15"/>
        <v>Medium Risk</v>
      </c>
    </row>
    <row r="240" spans="1:37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56</v>
      </c>
      <c r="M240">
        <v>3</v>
      </c>
      <c r="N240">
        <v>1</v>
      </c>
      <c r="O240" t="s">
        <v>57</v>
      </c>
      <c r="P240">
        <v>2</v>
      </c>
      <c r="Q240" t="s">
        <v>48</v>
      </c>
      <c r="R240" s="3">
        <v>3931</v>
      </c>
      <c r="S240">
        <v>20990</v>
      </c>
      <c r="T240">
        <v>2</v>
      </c>
      <c r="U240" t="s">
        <v>43</v>
      </c>
      <c r="V240" s="2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tr">
        <f t="shared" si="12"/>
        <v>26-35</v>
      </c>
      <c r="AH240" t="str">
        <f t="shared" si="13"/>
        <v>Mid</v>
      </c>
      <c r="AI240" s="1">
        <f>VLOOKUP(E240,Lookup_Tables!$A$3:$B$5,2,)</f>
        <v>6959.17264573991</v>
      </c>
      <c r="AJ240" t="str">
        <f t="shared" si="14"/>
        <v>Below salary</v>
      </c>
      <c r="AK240" t="str">
        <f t="shared" si="15"/>
        <v>Medium Risk</v>
      </c>
    </row>
    <row r="241" spans="1:37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46</v>
      </c>
      <c r="L241">
        <v>62</v>
      </c>
      <c r="M241">
        <v>2</v>
      </c>
      <c r="N241">
        <v>1</v>
      </c>
      <c r="O241" t="s">
        <v>50</v>
      </c>
      <c r="P241">
        <v>3</v>
      </c>
      <c r="Q241" t="s">
        <v>41</v>
      </c>
      <c r="R241" s="3">
        <v>3730</v>
      </c>
      <c r="S241">
        <v>9571</v>
      </c>
      <c r="T241">
        <v>0</v>
      </c>
      <c r="U241" t="s">
        <v>35</v>
      </c>
      <c r="V241" s="2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tr">
        <f t="shared" si="12"/>
        <v>26-35</v>
      </c>
      <c r="AH241" t="str">
        <f t="shared" si="13"/>
        <v>Mid</v>
      </c>
      <c r="AI241" s="1">
        <f>VLOOKUP(E241,Lookup_Tables!$A$3:$B$5,2,)</f>
        <v>6281.2528616024974</v>
      </c>
      <c r="AJ241" t="str">
        <f t="shared" si="14"/>
        <v>Below salary</v>
      </c>
      <c r="AK241" t="str">
        <f t="shared" si="15"/>
        <v>Medium Risk</v>
      </c>
    </row>
    <row r="242" spans="1:37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332</v>
      </c>
      <c r="J242">
        <v>3</v>
      </c>
      <c r="K242" t="s">
        <v>39</v>
      </c>
      <c r="L242">
        <v>96</v>
      </c>
      <c r="M242">
        <v>3</v>
      </c>
      <c r="N242">
        <v>1</v>
      </c>
      <c r="O242" t="s">
        <v>50</v>
      </c>
      <c r="P242">
        <v>3</v>
      </c>
      <c r="Q242" t="s">
        <v>52</v>
      </c>
      <c r="R242" s="3">
        <v>2232</v>
      </c>
      <c r="S242">
        <v>15417</v>
      </c>
      <c r="T242">
        <v>7</v>
      </c>
      <c r="U242" t="s">
        <v>43</v>
      </c>
      <c r="V242" s="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tr">
        <f t="shared" si="12"/>
        <v>36-45</v>
      </c>
      <c r="AH242" t="str">
        <f t="shared" si="13"/>
        <v>Low</v>
      </c>
      <c r="AI242" s="1">
        <f>VLOOKUP(E242,Lookup_Tables!$A$3:$B$5,2,)</f>
        <v>6281.2528616024974</v>
      </c>
      <c r="AJ242" t="str">
        <f t="shared" si="14"/>
        <v>Below salary</v>
      </c>
      <c r="AK242" t="str">
        <f t="shared" si="15"/>
        <v>Low Risk</v>
      </c>
    </row>
    <row r="243" spans="1:37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333</v>
      </c>
      <c r="J243">
        <v>3</v>
      </c>
      <c r="K243" t="s">
        <v>46</v>
      </c>
      <c r="L243">
        <v>100</v>
      </c>
      <c r="M243">
        <v>3</v>
      </c>
      <c r="N243">
        <v>2</v>
      </c>
      <c r="O243" t="s">
        <v>40</v>
      </c>
      <c r="P243">
        <v>4</v>
      </c>
      <c r="Q243" t="s">
        <v>48</v>
      </c>
      <c r="R243" s="3">
        <v>4465</v>
      </c>
      <c r="S243">
        <v>12069</v>
      </c>
      <c r="T243">
        <v>0</v>
      </c>
      <c r="U243" t="s">
        <v>43</v>
      </c>
      <c r="V243" s="2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tr">
        <f t="shared" si="12"/>
        <v>26-35</v>
      </c>
      <c r="AH243" t="str">
        <f t="shared" si="13"/>
        <v>Mid</v>
      </c>
      <c r="AI243" s="1">
        <f>VLOOKUP(E243,Lookup_Tables!$A$3:$B$5,2,)</f>
        <v>6959.17264573991</v>
      </c>
      <c r="AJ243" t="str">
        <f t="shared" si="14"/>
        <v>Below salary</v>
      </c>
      <c r="AK243" t="str">
        <f t="shared" si="15"/>
        <v>Low Risk</v>
      </c>
    </row>
    <row r="244" spans="1:37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46</v>
      </c>
      <c r="L244">
        <v>36</v>
      </c>
      <c r="M244">
        <v>3</v>
      </c>
      <c r="N244">
        <v>2</v>
      </c>
      <c r="O244" t="s">
        <v>47</v>
      </c>
      <c r="P244">
        <v>1</v>
      </c>
      <c r="Q244" t="s">
        <v>52</v>
      </c>
      <c r="R244" s="3">
        <v>3072</v>
      </c>
      <c r="S244">
        <v>19877</v>
      </c>
      <c r="T244">
        <v>2</v>
      </c>
      <c r="U244" t="s">
        <v>43</v>
      </c>
      <c r="V244" s="2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tr">
        <f t="shared" si="12"/>
        <v>36-45</v>
      </c>
      <c r="AH244" t="str">
        <f t="shared" si="13"/>
        <v>Mid</v>
      </c>
      <c r="AI244" s="1">
        <f>VLOOKUP(E244,Lookup_Tables!$A$3:$B$5,2,)</f>
        <v>6281.2528616024974</v>
      </c>
      <c r="AJ244" t="str">
        <f t="shared" si="14"/>
        <v>Below salary</v>
      </c>
      <c r="AK244" t="str">
        <f t="shared" si="15"/>
        <v>Medium Risk</v>
      </c>
    </row>
    <row r="245" spans="1:37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335</v>
      </c>
      <c r="J245">
        <v>1</v>
      </c>
      <c r="K245" t="s">
        <v>46</v>
      </c>
      <c r="L245">
        <v>62</v>
      </c>
      <c r="M245">
        <v>3</v>
      </c>
      <c r="N245">
        <v>2</v>
      </c>
      <c r="O245" t="s">
        <v>47</v>
      </c>
      <c r="P245">
        <v>4</v>
      </c>
      <c r="Q245" t="s">
        <v>52</v>
      </c>
      <c r="R245" s="3">
        <v>3319</v>
      </c>
      <c r="S245">
        <v>24447</v>
      </c>
      <c r="T245">
        <v>1</v>
      </c>
      <c r="U245" t="s">
        <v>43</v>
      </c>
      <c r="V245" s="2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tr">
        <f t="shared" si="12"/>
        <v>36-45</v>
      </c>
      <c r="AH245" t="str">
        <f t="shared" si="13"/>
        <v>Mid</v>
      </c>
      <c r="AI245" s="1">
        <f>VLOOKUP(E245,Lookup_Tables!$A$3:$B$5,2,)</f>
        <v>6281.2528616024974</v>
      </c>
      <c r="AJ245" t="str">
        <f t="shared" si="14"/>
        <v>Below salary</v>
      </c>
      <c r="AK245" t="str">
        <f t="shared" si="15"/>
        <v>Low Risk</v>
      </c>
    </row>
    <row r="246" spans="1:37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t="s">
        <v>46</v>
      </c>
      <c r="L246">
        <v>70</v>
      </c>
      <c r="M246">
        <v>4</v>
      </c>
      <c r="N246">
        <v>5</v>
      </c>
      <c r="O246" t="s">
        <v>56</v>
      </c>
      <c r="P246">
        <v>4</v>
      </c>
      <c r="Q246" t="s">
        <v>48</v>
      </c>
      <c r="R246" s="3">
        <v>19202</v>
      </c>
      <c r="S246">
        <v>15970</v>
      </c>
      <c r="T246">
        <v>0</v>
      </c>
      <c r="U246" t="s">
        <v>43</v>
      </c>
      <c r="V246" s="2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tr">
        <f t="shared" si="12"/>
        <v>36-45</v>
      </c>
      <c r="AH246" t="str">
        <f t="shared" si="13"/>
        <v>Very High</v>
      </c>
      <c r="AI246" s="1">
        <f>VLOOKUP(E246,Lookup_Tables!$A$3:$B$5,2,)</f>
        <v>6281.2528616024974</v>
      </c>
      <c r="AJ246" t="str">
        <f t="shared" si="14"/>
        <v>Above salary</v>
      </c>
      <c r="AK246" t="str">
        <f t="shared" si="15"/>
        <v>Low Risk</v>
      </c>
    </row>
    <row r="247" spans="1:37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337</v>
      </c>
      <c r="J247">
        <v>2</v>
      </c>
      <c r="K247" t="s">
        <v>46</v>
      </c>
      <c r="L247">
        <v>73</v>
      </c>
      <c r="M247">
        <v>3</v>
      </c>
      <c r="N247">
        <v>3</v>
      </c>
      <c r="O247" t="s">
        <v>58</v>
      </c>
      <c r="P247">
        <v>3</v>
      </c>
      <c r="Q247" t="s">
        <v>52</v>
      </c>
      <c r="R247" s="3">
        <v>13675</v>
      </c>
      <c r="S247">
        <v>13523</v>
      </c>
      <c r="T247">
        <v>9</v>
      </c>
      <c r="U247" t="s">
        <v>43</v>
      </c>
      <c r="V247" s="2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tr">
        <f t="shared" si="12"/>
        <v>26-35</v>
      </c>
      <c r="AH247" t="str">
        <f t="shared" si="13"/>
        <v>Very High</v>
      </c>
      <c r="AI247" s="1">
        <f>VLOOKUP(E247,Lookup_Tables!$A$3:$B$5,2,)</f>
        <v>6281.2528616024974</v>
      </c>
      <c r="AJ247" t="str">
        <f t="shared" si="14"/>
        <v>Above salary</v>
      </c>
      <c r="AK247" t="str">
        <f t="shared" si="15"/>
        <v>Low Risk</v>
      </c>
    </row>
    <row r="248" spans="1:37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63</v>
      </c>
      <c r="M248">
        <v>2</v>
      </c>
      <c r="N248">
        <v>1</v>
      </c>
      <c r="O248" t="s">
        <v>47</v>
      </c>
      <c r="P248">
        <v>4</v>
      </c>
      <c r="Q248" t="s">
        <v>48</v>
      </c>
      <c r="R248" s="3">
        <v>2911</v>
      </c>
      <c r="S248">
        <v>14776</v>
      </c>
      <c r="T248">
        <v>1</v>
      </c>
      <c r="U248" t="s">
        <v>43</v>
      </c>
      <c r="V248" s="2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tr">
        <f t="shared" si="12"/>
        <v>26-35</v>
      </c>
      <c r="AH248" t="str">
        <f t="shared" si="13"/>
        <v>Low</v>
      </c>
      <c r="AI248" s="1">
        <f>VLOOKUP(E248,Lookup_Tables!$A$3:$B$5,2,)</f>
        <v>6281.2528616024974</v>
      </c>
      <c r="AJ248" t="str">
        <f t="shared" si="14"/>
        <v>Below salary</v>
      </c>
      <c r="AK248" t="str">
        <f t="shared" si="15"/>
        <v>Low Risk</v>
      </c>
    </row>
    <row r="249" spans="1:37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46</v>
      </c>
      <c r="L249">
        <v>84</v>
      </c>
      <c r="M249">
        <v>2</v>
      </c>
      <c r="N249">
        <v>2</v>
      </c>
      <c r="O249" t="s">
        <v>53</v>
      </c>
      <c r="P249">
        <v>1</v>
      </c>
      <c r="Q249" t="s">
        <v>48</v>
      </c>
      <c r="R249" s="3">
        <v>5957</v>
      </c>
      <c r="S249">
        <v>23687</v>
      </c>
      <c r="T249">
        <v>6</v>
      </c>
      <c r="U249" t="s">
        <v>43</v>
      </c>
      <c r="V249" s="2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tr">
        <f t="shared" si="12"/>
        <v>26-35</v>
      </c>
      <c r="AH249" t="str">
        <f t="shared" si="13"/>
        <v>Mid</v>
      </c>
      <c r="AI249" s="1">
        <f>VLOOKUP(E249,Lookup_Tables!$A$3:$B$5,2,)</f>
        <v>6281.2528616024974</v>
      </c>
      <c r="AJ249" t="str">
        <f t="shared" si="14"/>
        <v>Below salary</v>
      </c>
      <c r="AK249" t="str">
        <f t="shared" si="15"/>
        <v>Medium Risk</v>
      </c>
    </row>
    <row r="250" spans="1:37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340</v>
      </c>
      <c r="J250">
        <v>3</v>
      </c>
      <c r="K250" t="s">
        <v>39</v>
      </c>
      <c r="L250">
        <v>83</v>
      </c>
      <c r="M250">
        <v>2</v>
      </c>
      <c r="N250">
        <v>1</v>
      </c>
      <c r="O250" t="s">
        <v>47</v>
      </c>
      <c r="P250">
        <v>1</v>
      </c>
      <c r="Q250" t="s">
        <v>48</v>
      </c>
      <c r="R250" s="3">
        <v>3920</v>
      </c>
      <c r="S250">
        <v>18697</v>
      </c>
      <c r="T250">
        <v>2</v>
      </c>
      <c r="U250" t="s">
        <v>43</v>
      </c>
      <c r="V250" s="2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tr">
        <f t="shared" si="12"/>
        <v>36-45</v>
      </c>
      <c r="AH250" t="str">
        <f t="shared" si="13"/>
        <v>Mid</v>
      </c>
      <c r="AI250" s="1">
        <f>VLOOKUP(E250,Lookup_Tables!$A$3:$B$5,2,)</f>
        <v>6281.2528616024974</v>
      </c>
      <c r="AJ250" t="str">
        <f t="shared" si="14"/>
        <v>Below salary</v>
      </c>
      <c r="AK250" t="str">
        <f t="shared" si="15"/>
        <v>Medium Risk</v>
      </c>
    </row>
    <row r="251" spans="1:37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46</v>
      </c>
      <c r="L251">
        <v>77</v>
      </c>
      <c r="M251">
        <v>4</v>
      </c>
      <c r="N251">
        <v>2</v>
      </c>
      <c r="O251" t="s">
        <v>53</v>
      </c>
      <c r="P251">
        <v>3</v>
      </c>
      <c r="Q251" t="s">
        <v>48</v>
      </c>
      <c r="R251" s="3">
        <v>6434</v>
      </c>
      <c r="S251">
        <v>5118</v>
      </c>
      <c r="T251">
        <v>4</v>
      </c>
      <c r="U251" t="s">
        <v>43</v>
      </c>
      <c r="V251" s="2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tr">
        <f t="shared" si="12"/>
        <v>36-45</v>
      </c>
      <c r="AH251" t="str">
        <f t="shared" si="13"/>
        <v>Mid</v>
      </c>
      <c r="AI251" s="1">
        <f>VLOOKUP(E251,Lookup_Tables!$A$3:$B$5,2,)</f>
        <v>6281.2528616024974</v>
      </c>
      <c r="AJ251" t="str">
        <f t="shared" si="14"/>
        <v>Above salary</v>
      </c>
      <c r="AK251" t="str">
        <f t="shared" si="15"/>
        <v>Low Risk</v>
      </c>
    </row>
    <row r="252" spans="1:37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342</v>
      </c>
      <c r="J252">
        <v>1</v>
      </c>
      <c r="K252" t="s">
        <v>46</v>
      </c>
      <c r="L252">
        <v>61</v>
      </c>
      <c r="M252">
        <v>3</v>
      </c>
      <c r="N252">
        <v>3</v>
      </c>
      <c r="O252" t="s">
        <v>53</v>
      </c>
      <c r="P252">
        <v>3</v>
      </c>
      <c r="Q252" t="s">
        <v>52</v>
      </c>
      <c r="R252" s="3">
        <v>10048</v>
      </c>
      <c r="S252">
        <v>22573</v>
      </c>
      <c r="T252">
        <v>6</v>
      </c>
      <c r="U252" t="s">
        <v>43</v>
      </c>
      <c r="V252" s="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tr">
        <f t="shared" si="12"/>
        <v>36-45</v>
      </c>
      <c r="AH252" t="str">
        <f t="shared" si="13"/>
        <v>High</v>
      </c>
      <c r="AI252" s="1">
        <f>VLOOKUP(E252,Lookup_Tables!$A$3:$B$5,2,)</f>
        <v>6281.2528616024974</v>
      </c>
      <c r="AJ252" t="str">
        <f t="shared" si="14"/>
        <v>Above salary</v>
      </c>
      <c r="AK252" t="str">
        <f t="shared" si="15"/>
        <v>Low Risk</v>
      </c>
    </row>
    <row r="253" spans="1:37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343</v>
      </c>
      <c r="J253">
        <v>3</v>
      </c>
      <c r="K253" t="s">
        <v>39</v>
      </c>
      <c r="L253">
        <v>64</v>
      </c>
      <c r="M253">
        <v>3</v>
      </c>
      <c r="N253">
        <v>3</v>
      </c>
      <c r="O253" t="s">
        <v>54</v>
      </c>
      <c r="P253">
        <v>3</v>
      </c>
      <c r="Q253" t="s">
        <v>41</v>
      </c>
      <c r="R253" s="3">
        <v>10938</v>
      </c>
      <c r="S253">
        <v>6420</v>
      </c>
      <c r="T253">
        <v>0</v>
      </c>
      <c r="U253" t="s">
        <v>43</v>
      </c>
      <c r="V253" s="2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tr">
        <f t="shared" si="12"/>
        <v>36-45</v>
      </c>
      <c r="AH253" t="str">
        <f t="shared" si="13"/>
        <v>High</v>
      </c>
      <c r="AI253" s="1">
        <f>VLOOKUP(E253,Lookup_Tables!$A$3:$B$5,2,)</f>
        <v>6281.2528616024974</v>
      </c>
      <c r="AJ253" t="str">
        <f t="shared" si="14"/>
        <v>Above salary</v>
      </c>
      <c r="AK253" t="str">
        <f t="shared" si="15"/>
        <v>Low Risk</v>
      </c>
    </row>
    <row r="254" spans="1:37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46</v>
      </c>
      <c r="L254">
        <v>60</v>
      </c>
      <c r="M254">
        <v>3</v>
      </c>
      <c r="N254">
        <v>1</v>
      </c>
      <c r="O254" t="s">
        <v>47</v>
      </c>
      <c r="P254">
        <v>4</v>
      </c>
      <c r="Q254" t="s">
        <v>41</v>
      </c>
      <c r="R254" s="3">
        <v>2340</v>
      </c>
      <c r="S254">
        <v>22673</v>
      </c>
      <c r="T254">
        <v>1</v>
      </c>
      <c r="U254" t="s">
        <v>43</v>
      </c>
      <c r="V254" s="2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tr">
        <f t="shared" si="12"/>
        <v>26-35</v>
      </c>
      <c r="AH254" t="str">
        <f t="shared" si="13"/>
        <v>Low</v>
      </c>
      <c r="AI254" s="1">
        <f>VLOOKUP(E254,Lookup_Tables!$A$3:$B$5,2,)</f>
        <v>6281.2528616024974</v>
      </c>
      <c r="AJ254" t="str">
        <f t="shared" si="14"/>
        <v>Below salary</v>
      </c>
      <c r="AK254" t="str">
        <f t="shared" si="15"/>
        <v>Low Risk</v>
      </c>
    </row>
    <row r="255" spans="1:37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82</v>
      </c>
      <c r="M255">
        <v>4</v>
      </c>
      <c r="N255">
        <v>2</v>
      </c>
      <c r="O255" t="s">
        <v>47</v>
      </c>
      <c r="P255">
        <v>1</v>
      </c>
      <c r="Q255" t="s">
        <v>41</v>
      </c>
      <c r="R255" s="3">
        <v>6545</v>
      </c>
      <c r="S255">
        <v>23016</v>
      </c>
      <c r="T255">
        <v>3</v>
      </c>
      <c r="U255" t="s">
        <v>35</v>
      </c>
      <c r="V255" s="2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tr">
        <f t="shared" si="12"/>
        <v>36-45</v>
      </c>
      <c r="AH255" t="str">
        <f t="shared" si="13"/>
        <v>Mid</v>
      </c>
      <c r="AI255" s="1">
        <f>VLOOKUP(E255,Lookup_Tables!$A$3:$B$5,2,)</f>
        <v>6281.2528616024974</v>
      </c>
      <c r="AJ255" t="str">
        <f t="shared" si="14"/>
        <v>Above salary</v>
      </c>
      <c r="AK255" t="str">
        <f t="shared" si="15"/>
        <v>High Risk</v>
      </c>
    </row>
    <row r="256" spans="1:37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349</v>
      </c>
      <c r="J256">
        <v>4</v>
      </c>
      <c r="K256" t="s">
        <v>46</v>
      </c>
      <c r="L256">
        <v>45</v>
      </c>
      <c r="M256">
        <v>3</v>
      </c>
      <c r="N256">
        <v>2</v>
      </c>
      <c r="O256" t="s">
        <v>40</v>
      </c>
      <c r="P256">
        <v>4</v>
      </c>
      <c r="Q256" t="s">
        <v>52</v>
      </c>
      <c r="R256" s="3">
        <v>6931</v>
      </c>
      <c r="S256">
        <v>10732</v>
      </c>
      <c r="T256">
        <v>2</v>
      </c>
      <c r="U256" t="s">
        <v>43</v>
      </c>
      <c r="V256" s="2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tr">
        <f t="shared" si="12"/>
        <v>26-35</v>
      </c>
      <c r="AH256" t="str">
        <f t="shared" si="13"/>
        <v>Mid</v>
      </c>
      <c r="AI256" s="1">
        <f>VLOOKUP(E256,Lookup_Tables!$A$3:$B$5,2,)</f>
        <v>6959.17264573991</v>
      </c>
      <c r="AJ256" t="str">
        <f t="shared" si="14"/>
        <v>Below salary</v>
      </c>
      <c r="AK256" t="str">
        <f t="shared" si="15"/>
        <v>Low Risk</v>
      </c>
    </row>
    <row r="257" spans="1:37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62</v>
      </c>
      <c r="M257">
        <v>3</v>
      </c>
      <c r="N257">
        <v>2</v>
      </c>
      <c r="O257" t="s">
        <v>53</v>
      </c>
      <c r="P257">
        <v>3</v>
      </c>
      <c r="Q257" t="s">
        <v>48</v>
      </c>
      <c r="R257" s="3">
        <v>4898</v>
      </c>
      <c r="S257">
        <v>7505</v>
      </c>
      <c r="T257">
        <v>0</v>
      </c>
      <c r="U257" t="s">
        <v>43</v>
      </c>
      <c r="V257" s="2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tr">
        <f t="shared" si="12"/>
        <v>18-25</v>
      </c>
      <c r="AH257" t="str">
        <f t="shared" si="13"/>
        <v>Mid</v>
      </c>
      <c r="AI257" s="1">
        <f>VLOOKUP(E257,Lookup_Tables!$A$3:$B$5,2,)</f>
        <v>6281.2528616024974</v>
      </c>
      <c r="AJ257" t="str">
        <f t="shared" si="14"/>
        <v>Below salary</v>
      </c>
      <c r="AK257" t="str">
        <f t="shared" si="15"/>
        <v>Low Risk</v>
      </c>
    </row>
    <row r="258" spans="1:37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351</v>
      </c>
      <c r="J258">
        <v>4</v>
      </c>
      <c r="K258" t="s">
        <v>39</v>
      </c>
      <c r="L258">
        <v>56</v>
      </c>
      <c r="M258">
        <v>2</v>
      </c>
      <c r="N258">
        <v>1</v>
      </c>
      <c r="O258" t="s">
        <v>50</v>
      </c>
      <c r="P258">
        <v>1</v>
      </c>
      <c r="Q258" t="s">
        <v>52</v>
      </c>
      <c r="R258" s="3">
        <v>2593</v>
      </c>
      <c r="S258">
        <v>8007</v>
      </c>
      <c r="T258">
        <v>0</v>
      </c>
      <c r="U258" t="s">
        <v>35</v>
      </c>
      <c r="V258" s="2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tr">
        <f t="shared" ref="AG258:AG321" si="16">IF(A258&lt;=25,"18-25",IF(A258&lt;= 35, "26-35",IF(A258&lt;=45, "36-45","46+")))</f>
        <v>36-45</v>
      </c>
      <c r="AH258" t="str">
        <f t="shared" ref="AH258:AH321" si="17">IF(R258&lt;3000,"Low",IF(R258&lt;7000,"Mid", IF(R258&lt;12000, "High", "Very High")))</f>
        <v>Low</v>
      </c>
      <c r="AI258" s="1">
        <f>VLOOKUP(E258,Lookup_Tables!$A$3:$B$5,2,)</f>
        <v>6281.2528616024974</v>
      </c>
      <c r="AJ258" t="str">
        <f t="shared" ref="AJ258:AJ321" si="18">IF(R258&gt;AI258, "Above salary","Below salary")</f>
        <v>Below salary</v>
      </c>
      <c r="AK258" t="str">
        <f t="shared" si="15"/>
        <v>High Risk</v>
      </c>
    </row>
    <row r="259" spans="1:37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352</v>
      </c>
      <c r="J259">
        <v>1</v>
      </c>
      <c r="K259" t="s">
        <v>46</v>
      </c>
      <c r="L259">
        <v>49</v>
      </c>
      <c r="M259">
        <v>3</v>
      </c>
      <c r="N259">
        <v>5</v>
      </c>
      <c r="O259" t="s">
        <v>58</v>
      </c>
      <c r="P259">
        <v>3</v>
      </c>
      <c r="Q259" t="s">
        <v>52</v>
      </c>
      <c r="R259" s="3">
        <v>19436</v>
      </c>
      <c r="S259">
        <v>5949</v>
      </c>
      <c r="T259">
        <v>0</v>
      </c>
      <c r="U259" t="s">
        <v>43</v>
      </c>
      <c r="V259" s="2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tr">
        <f t="shared" si="16"/>
        <v>36-45</v>
      </c>
      <c r="AH259" t="str">
        <f t="shared" si="17"/>
        <v>Very High</v>
      </c>
      <c r="AI259" s="1">
        <f>VLOOKUP(E259,Lookup_Tables!$A$3:$B$5,2,)</f>
        <v>6281.2528616024974</v>
      </c>
      <c r="AJ259" t="str">
        <f t="shared" si="18"/>
        <v>Above salary</v>
      </c>
      <c r="AK259" t="str">
        <f t="shared" ref="AK259:AK322" si="19">IF(AND(P259&lt;=2,U259="Yes"),"High Risk",IF(OR(P259&lt;=2,U259="Yes"),"Medium Risk","Low Risk"))</f>
        <v>Low Risk</v>
      </c>
    </row>
    <row r="260" spans="1:37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46</v>
      </c>
      <c r="L260">
        <v>96</v>
      </c>
      <c r="M260">
        <v>3</v>
      </c>
      <c r="N260">
        <v>1</v>
      </c>
      <c r="O260" t="s">
        <v>47</v>
      </c>
      <c r="P260">
        <v>4</v>
      </c>
      <c r="Q260" t="s">
        <v>48</v>
      </c>
      <c r="R260" s="3">
        <v>2723</v>
      </c>
      <c r="S260">
        <v>23231</v>
      </c>
      <c r="T260">
        <v>1</v>
      </c>
      <c r="U260" t="s">
        <v>43</v>
      </c>
      <c r="V260" s="2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tr">
        <f t="shared" si="16"/>
        <v>46+</v>
      </c>
      <c r="AH260" t="str">
        <f t="shared" si="17"/>
        <v>Low</v>
      </c>
      <c r="AI260" s="1">
        <f>VLOOKUP(E260,Lookup_Tables!$A$3:$B$5,2,)</f>
        <v>6281.2528616024974</v>
      </c>
      <c r="AJ260" t="str">
        <f t="shared" si="18"/>
        <v>Below salary</v>
      </c>
      <c r="AK260" t="str">
        <f t="shared" si="19"/>
        <v>Low Risk</v>
      </c>
    </row>
    <row r="261" spans="1:37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355</v>
      </c>
      <c r="J261">
        <v>3</v>
      </c>
      <c r="K261" t="s">
        <v>46</v>
      </c>
      <c r="L261">
        <v>71</v>
      </c>
      <c r="M261">
        <v>2</v>
      </c>
      <c r="N261">
        <v>1</v>
      </c>
      <c r="O261" t="s">
        <v>50</v>
      </c>
      <c r="P261">
        <v>2</v>
      </c>
      <c r="Q261" t="s">
        <v>41</v>
      </c>
      <c r="R261" s="3">
        <v>3479</v>
      </c>
      <c r="S261">
        <v>11652</v>
      </c>
      <c r="T261">
        <v>0</v>
      </c>
      <c r="U261" t="s">
        <v>43</v>
      </c>
      <c r="V261" s="2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tr">
        <f t="shared" si="16"/>
        <v>26-35</v>
      </c>
      <c r="AH261" t="str">
        <f t="shared" si="17"/>
        <v>Mid</v>
      </c>
      <c r="AI261" s="1">
        <f>VLOOKUP(E261,Lookup_Tables!$A$3:$B$5,2,)</f>
        <v>6281.2528616024974</v>
      </c>
      <c r="AJ261" t="str">
        <f t="shared" si="18"/>
        <v>Below salary</v>
      </c>
      <c r="AK261" t="str">
        <f t="shared" si="19"/>
        <v>Medium Risk</v>
      </c>
    </row>
    <row r="262" spans="1:37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46</v>
      </c>
      <c r="L262">
        <v>100</v>
      </c>
      <c r="M262">
        <v>4</v>
      </c>
      <c r="N262">
        <v>1</v>
      </c>
      <c r="O262" t="s">
        <v>50</v>
      </c>
      <c r="P262">
        <v>2</v>
      </c>
      <c r="Q262" t="s">
        <v>48</v>
      </c>
      <c r="R262" s="3">
        <v>2794</v>
      </c>
      <c r="S262">
        <v>26062</v>
      </c>
      <c r="T262">
        <v>1</v>
      </c>
      <c r="U262" t="s">
        <v>43</v>
      </c>
      <c r="V262" s="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tr">
        <f t="shared" si="16"/>
        <v>26-35</v>
      </c>
      <c r="AH262" t="str">
        <f t="shared" si="17"/>
        <v>Low</v>
      </c>
      <c r="AI262" s="1">
        <f>VLOOKUP(E262,Lookup_Tables!$A$3:$B$5,2,)</f>
        <v>6281.2528616024974</v>
      </c>
      <c r="AJ262" t="str">
        <f t="shared" si="18"/>
        <v>Below salary</v>
      </c>
      <c r="AK262" t="str">
        <f t="shared" si="19"/>
        <v>Medium Risk</v>
      </c>
    </row>
    <row r="263" spans="1:37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46</v>
      </c>
      <c r="L263">
        <v>39</v>
      </c>
      <c r="M263">
        <v>2</v>
      </c>
      <c r="N263">
        <v>2</v>
      </c>
      <c r="O263" t="s">
        <v>40</v>
      </c>
      <c r="P263">
        <v>4</v>
      </c>
      <c r="Q263" t="s">
        <v>48</v>
      </c>
      <c r="R263" s="3">
        <v>5249</v>
      </c>
      <c r="S263">
        <v>19682</v>
      </c>
      <c r="T263">
        <v>3</v>
      </c>
      <c r="U263" t="s">
        <v>43</v>
      </c>
      <c r="V263" s="2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tr">
        <f t="shared" si="16"/>
        <v>36-45</v>
      </c>
      <c r="AH263" t="str">
        <f t="shared" si="17"/>
        <v>Mid</v>
      </c>
      <c r="AI263" s="1">
        <f>VLOOKUP(E263,Lookup_Tables!$A$3:$B$5,2,)</f>
        <v>6959.17264573991</v>
      </c>
      <c r="AJ263" t="str">
        <f t="shared" si="18"/>
        <v>Below salary</v>
      </c>
      <c r="AK263" t="str">
        <f t="shared" si="19"/>
        <v>Low Risk</v>
      </c>
    </row>
    <row r="264" spans="1:37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362</v>
      </c>
      <c r="J264">
        <v>4</v>
      </c>
      <c r="K264" t="s">
        <v>46</v>
      </c>
      <c r="L264">
        <v>84</v>
      </c>
      <c r="M264">
        <v>2</v>
      </c>
      <c r="N264">
        <v>2</v>
      </c>
      <c r="O264" t="s">
        <v>50</v>
      </c>
      <c r="P264">
        <v>1</v>
      </c>
      <c r="Q264" t="s">
        <v>41</v>
      </c>
      <c r="R264" s="3">
        <v>2176</v>
      </c>
      <c r="S264">
        <v>19737</v>
      </c>
      <c r="T264">
        <v>4</v>
      </c>
      <c r="U264" t="s">
        <v>43</v>
      </c>
      <c r="V264" s="2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tr">
        <f t="shared" si="16"/>
        <v>26-35</v>
      </c>
      <c r="AH264" t="str">
        <f t="shared" si="17"/>
        <v>Low</v>
      </c>
      <c r="AI264" s="1">
        <f>VLOOKUP(E264,Lookup_Tables!$A$3:$B$5,2,)</f>
        <v>6281.2528616024974</v>
      </c>
      <c r="AJ264" t="str">
        <f t="shared" si="18"/>
        <v>Below salary</v>
      </c>
      <c r="AK264" t="str">
        <f t="shared" si="19"/>
        <v>Medium Risk</v>
      </c>
    </row>
    <row r="265" spans="1:37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363</v>
      </c>
      <c r="J265">
        <v>3</v>
      </c>
      <c r="K265" t="s">
        <v>39</v>
      </c>
      <c r="L265">
        <v>75</v>
      </c>
      <c r="M265">
        <v>1</v>
      </c>
      <c r="N265">
        <v>4</v>
      </c>
      <c r="O265" t="s">
        <v>56</v>
      </c>
      <c r="P265">
        <v>2</v>
      </c>
      <c r="Q265" t="s">
        <v>48</v>
      </c>
      <c r="R265" s="3">
        <v>16872</v>
      </c>
      <c r="S265">
        <v>14977</v>
      </c>
      <c r="T265">
        <v>3</v>
      </c>
      <c r="U265" t="s">
        <v>35</v>
      </c>
      <c r="V265" s="2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tr">
        <f t="shared" si="16"/>
        <v>46+</v>
      </c>
      <c r="AH265" t="str">
        <f t="shared" si="17"/>
        <v>Very High</v>
      </c>
      <c r="AI265" s="1">
        <f>VLOOKUP(E265,Lookup_Tables!$A$3:$B$5,2,)</f>
        <v>6959.17264573991</v>
      </c>
      <c r="AJ265" t="str">
        <f t="shared" si="18"/>
        <v>Above salary</v>
      </c>
      <c r="AK265" t="str">
        <f t="shared" si="19"/>
        <v>High Risk</v>
      </c>
    </row>
    <row r="266" spans="1:37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46</v>
      </c>
      <c r="L266">
        <v>79</v>
      </c>
      <c r="M266">
        <v>3</v>
      </c>
      <c r="N266">
        <v>1</v>
      </c>
      <c r="O266" t="s">
        <v>50</v>
      </c>
      <c r="P266">
        <v>3</v>
      </c>
      <c r="Q266" t="s">
        <v>41</v>
      </c>
      <c r="R266" s="3">
        <v>3485</v>
      </c>
      <c r="S266">
        <v>14935</v>
      </c>
      <c r="T266">
        <v>2</v>
      </c>
      <c r="U266" t="s">
        <v>43</v>
      </c>
      <c r="V266" s="2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tr">
        <f t="shared" si="16"/>
        <v>26-35</v>
      </c>
      <c r="AH266" t="str">
        <f t="shared" si="17"/>
        <v>Mid</v>
      </c>
      <c r="AI266" s="1">
        <f>VLOOKUP(E266,Lookup_Tables!$A$3:$B$5,2,)</f>
        <v>6281.2528616024974</v>
      </c>
      <c r="AJ266" t="str">
        <f t="shared" si="18"/>
        <v>Below salary</v>
      </c>
      <c r="AK266" t="str">
        <f t="shared" si="19"/>
        <v>Low Risk</v>
      </c>
    </row>
    <row r="267" spans="1:37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366</v>
      </c>
      <c r="J267">
        <v>1</v>
      </c>
      <c r="K267" t="s">
        <v>46</v>
      </c>
      <c r="L267">
        <v>78</v>
      </c>
      <c r="M267">
        <v>2</v>
      </c>
      <c r="N267">
        <v>2</v>
      </c>
      <c r="O267" t="s">
        <v>40</v>
      </c>
      <c r="P267">
        <v>2</v>
      </c>
      <c r="Q267" t="s">
        <v>48</v>
      </c>
      <c r="R267" s="3">
        <v>6644</v>
      </c>
      <c r="S267">
        <v>3687</v>
      </c>
      <c r="T267">
        <v>2</v>
      </c>
      <c r="U267" t="s">
        <v>43</v>
      </c>
      <c r="V267" s="2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tr">
        <f t="shared" si="16"/>
        <v>26-35</v>
      </c>
      <c r="AH267" t="str">
        <f t="shared" si="17"/>
        <v>Mid</v>
      </c>
      <c r="AI267" s="1">
        <f>VLOOKUP(E267,Lookup_Tables!$A$3:$B$5,2,)</f>
        <v>6959.17264573991</v>
      </c>
      <c r="AJ267" t="str">
        <f t="shared" si="18"/>
        <v>Below salary</v>
      </c>
      <c r="AK267" t="str">
        <f t="shared" si="19"/>
        <v>Medium Risk</v>
      </c>
    </row>
    <row r="268" spans="1:37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367</v>
      </c>
      <c r="J268">
        <v>2</v>
      </c>
      <c r="K268" t="s">
        <v>46</v>
      </c>
      <c r="L268">
        <v>64</v>
      </c>
      <c r="M268">
        <v>2</v>
      </c>
      <c r="N268">
        <v>2</v>
      </c>
      <c r="O268" t="s">
        <v>54</v>
      </c>
      <c r="P268">
        <v>4</v>
      </c>
      <c r="Q268" t="s">
        <v>48</v>
      </c>
      <c r="R268" s="3">
        <v>5582</v>
      </c>
      <c r="S268">
        <v>14408</v>
      </c>
      <c r="T268">
        <v>0</v>
      </c>
      <c r="U268" t="s">
        <v>43</v>
      </c>
      <c r="V268" s="2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tr">
        <f t="shared" si="16"/>
        <v>26-35</v>
      </c>
      <c r="AH268" t="str">
        <f t="shared" si="17"/>
        <v>Mid</v>
      </c>
      <c r="AI268" s="1">
        <f>VLOOKUP(E268,Lookup_Tables!$A$3:$B$5,2,)</f>
        <v>6281.2528616024974</v>
      </c>
      <c r="AJ268" t="str">
        <f t="shared" si="18"/>
        <v>Below salary</v>
      </c>
      <c r="AK268" t="str">
        <f t="shared" si="19"/>
        <v>Low Risk</v>
      </c>
    </row>
    <row r="269" spans="1:37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46</v>
      </c>
      <c r="L269">
        <v>85</v>
      </c>
      <c r="M269">
        <v>4</v>
      </c>
      <c r="N269">
        <v>2</v>
      </c>
      <c r="O269" t="s">
        <v>54</v>
      </c>
      <c r="P269">
        <v>1</v>
      </c>
      <c r="Q269" t="s">
        <v>52</v>
      </c>
      <c r="R269" s="3">
        <v>4000</v>
      </c>
      <c r="S269">
        <v>18384</v>
      </c>
      <c r="T269">
        <v>1</v>
      </c>
      <c r="U269" t="s">
        <v>43</v>
      </c>
      <c r="V269" s="2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tr">
        <f t="shared" si="16"/>
        <v>18-25</v>
      </c>
      <c r="AH269" t="str">
        <f t="shared" si="17"/>
        <v>Mid</v>
      </c>
      <c r="AI269" s="1">
        <f>VLOOKUP(E269,Lookup_Tables!$A$3:$B$5,2,)</f>
        <v>6281.2528616024974</v>
      </c>
      <c r="AJ269" t="str">
        <f t="shared" si="18"/>
        <v>Below salary</v>
      </c>
      <c r="AK269" t="str">
        <f t="shared" si="19"/>
        <v>Medium Risk</v>
      </c>
    </row>
    <row r="270" spans="1:37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372</v>
      </c>
      <c r="J270">
        <v>3</v>
      </c>
      <c r="K270" t="s">
        <v>46</v>
      </c>
      <c r="L270">
        <v>79</v>
      </c>
      <c r="M270">
        <v>3</v>
      </c>
      <c r="N270">
        <v>4</v>
      </c>
      <c r="O270" t="s">
        <v>54</v>
      </c>
      <c r="P270">
        <v>4</v>
      </c>
      <c r="Q270" t="s">
        <v>48</v>
      </c>
      <c r="R270" s="3">
        <v>13496</v>
      </c>
      <c r="S270">
        <v>7501</v>
      </c>
      <c r="T270">
        <v>0</v>
      </c>
      <c r="U270" t="s">
        <v>35</v>
      </c>
      <c r="V270" s="2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tr">
        <f t="shared" si="16"/>
        <v>36-45</v>
      </c>
      <c r="AH270" t="str">
        <f t="shared" si="17"/>
        <v>Very High</v>
      </c>
      <c r="AI270" s="1">
        <f>VLOOKUP(E270,Lookup_Tables!$A$3:$B$5,2,)</f>
        <v>6281.2528616024974</v>
      </c>
      <c r="AJ270" t="str">
        <f t="shared" si="18"/>
        <v>Above salary</v>
      </c>
      <c r="AK270" t="str">
        <f t="shared" si="19"/>
        <v>Medium Risk</v>
      </c>
    </row>
    <row r="271" spans="1:37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46</v>
      </c>
      <c r="L271">
        <v>47</v>
      </c>
      <c r="M271">
        <v>3</v>
      </c>
      <c r="N271">
        <v>1</v>
      </c>
      <c r="O271" t="s">
        <v>50</v>
      </c>
      <c r="P271">
        <v>4</v>
      </c>
      <c r="Q271" t="s">
        <v>48</v>
      </c>
      <c r="R271" s="3">
        <v>3210</v>
      </c>
      <c r="S271">
        <v>20251</v>
      </c>
      <c r="T271">
        <v>0</v>
      </c>
      <c r="U271" t="s">
        <v>43</v>
      </c>
      <c r="V271" s="2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tr">
        <f t="shared" si="16"/>
        <v>36-45</v>
      </c>
      <c r="AH271" t="str">
        <f t="shared" si="17"/>
        <v>Mid</v>
      </c>
      <c r="AI271" s="1">
        <f>VLOOKUP(E271,Lookup_Tables!$A$3:$B$5,2,)</f>
        <v>6281.2528616024974</v>
      </c>
      <c r="AJ271" t="str">
        <f t="shared" si="18"/>
        <v>Below salary</v>
      </c>
      <c r="AK271" t="str">
        <f t="shared" si="19"/>
        <v>Low Risk</v>
      </c>
    </row>
    <row r="272" spans="1:37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374</v>
      </c>
      <c r="J272">
        <v>4</v>
      </c>
      <c r="K272" t="s">
        <v>46</v>
      </c>
      <c r="L272">
        <v>81</v>
      </c>
      <c r="M272">
        <v>3</v>
      </c>
      <c r="N272">
        <v>5</v>
      </c>
      <c r="O272" t="s">
        <v>56</v>
      </c>
      <c r="P272">
        <v>1</v>
      </c>
      <c r="Q272" t="s">
        <v>41</v>
      </c>
      <c r="R272" s="3">
        <v>19045</v>
      </c>
      <c r="S272">
        <v>18938</v>
      </c>
      <c r="T272">
        <v>0</v>
      </c>
      <c r="U272" t="s">
        <v>35</v>
      </c>
      <c r="V272" s="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tr">
        <f t="shared" si="16"/>
        <v>46+</v>
      </c>
      <c r="AH272" t="str">
        <f t="shared" si="17"/>
        <v>Very High</v>
      </c>
      <c r="AI272" s="1">
        <f>VLOOKUP(E272,Lookup_Tables!$A$3:$B$5,2,)</f>
        <v>6281.2528616024974</v>
      </c>
      <c r="AJ272" t="str">
        <f t="shared" si="18"/>
        <v>Above salary</v>
      </c>
      <c r="AK272" t="str">
        <f t="shared" si="19"/>
        <v>High Risk</v>
      </c>
    </row>
    <row r="273" spans="1:37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46</v>
      </c>
      <c r="L273">
        <v>88</v>
      </c>
      <c r="M273">
        <v>3</v>
      </c>
      <c r="N273">
        <v>3</v>
      </c>
      <c r="O273" t="s">
        <v>56</v>
      </c>
      <c r="P273">
        <v>2</v>
      </c>
      <c r="Q273" t="s">
        <v>48</v>
      </c>
      <c r="R273" s="3">
        <v>11849</v>
      </c>
      <c r="S273">
        <v>10268</v>
      </c>
      <c r="T273">
        <v>1</v>
      </c>
      <c r="U273" t="s">
        <v>35</v>
      </c>
      <c r="V273" s="2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tr">
        <f t="shared" si="16"/>
        <v>46+</v>
      </c>
      <c r="AH273" t="str">
        <f t="shared" si="17"/>
        <v>High</v>
      </c>
      <c r="AI273" s="1">
        <f>VLOOKUP(E273,Lookup_Tables!$A$3:$B$5,2,)</f>
        <v>6281.2528616024974</v>
      </c>
      <c r="AJ273" t="str">
        <f t="shared" si="18"/>
        <v>Above salary</v>
      </c>
      <c r="AK273" t="str">
        <f t="shared" si="19"/>
        <v>High Risk</v>
      </c>
    </row>
    <row r="274" spans="1:37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377</v>
      </c>
      <c r="J274">
        <v>4</v>
      </c>
      <c r="K274" t="s">
        <v>46</v>
      </c>
      <c r="L274">
        <v>94</v>
      </c>
      <c r="M274">
        <v>3</v>
      </c>
      <c r="N274">
        <v>1</v>
      </c>
      <c r="O274" t="s">
        <v>47</v>
      </c>
      <c r="P274">
        <v>4</v>
      </c>
      <c r="Q274" t="s">
        <v>48</v>
      </c>
      <c r="R274" s="3">
        <v>2070</v>
      </c>
      <c r="S274">
        <v>2613</v>
      </c>
      <c r="T274">
        <v>1</v>
      </c>
      <c r="U274" t="s">
        <v>43</v>
      </c>
      <c r="V274" s="2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tr">
        <f t="shared" si="16"/>
        <v>26-35</v>
      </c>
      <c r="AH274" t="str">
        <f t="shared" si="17"/>
        <v>Low</v>
      </c>
      <c r="AI274" s="1">
        <f>VLOOKUP(E274,Lookup_Tables!$A$3:$B$5,2,)</f>
        <v>6281.2528616024974</v>
      </c>
      <c r="AJ274" t="str">
        <f t="shared" si="18"/>
        <v>Below salary</v>
      </c>
      <c r="AK274" t="str">
        <f t="shared" si="19"/>
        <v>Low Risk</v>
      </c>
    </row>
    <row r="275" spans="1:37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378</v>
      </c>
      <c r="J275">
        <v>3</v>
      </c>
      <c r="K275" t="s">
        <v>46</v>
      </c>
      <c r="L275">
        <v>98</v>
      </c>
      <c r="M275">
        <v>3</v>
      </c>
      <c r="N275">
        <v>2</v>
      </c>
      <c r="O275" t="s">
        <v>40</v>
      </c>
      <c r="P275">
        <v>4</v>
      </c>
      <c r="Q275" t="s">
        <v>48</v>
      </c>
      <c r="R275" s="3">
        <v>6502</v>
      </c>
      <c r="S275">
        <v>22825</v>
      </c>
      <c r="T275">
        <v>4</v>
      </c>
      <c r="U275" t="s">
        <v>43</v>
      </c>
      <c r="V275" s="2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tr">
        <f t="shared" si="16"/>
        <v>36-45</v>
      </c>
      <c r="AH275" t="str">
        <f t="shared" si="17"/>
        <v>Mid</v>
      </c>
      <c r="AI275" s="1">
        <f>VLOOKUP(E275,Lookup_Tables!$A$3:$B$5,2,)</f>
        <v>6959.17264573991</v>
      </c>
      <c r="AJ275" t="str">
        <f t="shared" si="18"/>
        <v>Below salary</v>
      </c>
      <c r="AK275" t="str">
        <f t="shared" si="19"/>
        <v>Low Risk</v>
      </c>
    </row>
    <row r="276" spans="1:37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379</v>
      </c>
      <c r="J276">
        <v>4</v>
      </c>
      <c r="K276" t="s">
        <v>46</v>
      </c>
      <c r="L276">
        <v>100</v>
      </c>
      <c r="M276">
        <v>2</v>
      </c>
      <c r="N276">
        <v>1</v>
      </c>
      <c r="O276" t="s">
        <v>47</v>
      </c>
      <c r="P276">
        <v>3</v>
      </c>
      <c r="Q276" t="s">
        <v>41</v>
      </c>
      <c r="R276" s="3">
        <v>3230</v>
      </c>
      <c r="S276">
        <v>10531</v>
      </c>
      <c r="T276">
        <v>1</v>
      </c>
      <c r="U276" t="s">
        <v>43</v>
      </c>
      <c r="V276" s="2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tr">
        <f t="shared" si="16"/>
        <v>18-25</v>
      </c>
      <c r="AH276" t="str">
        <f t="shared" si="17"/>
        <v>Mid</v>
      </c>
      <c r="AI276" s="1">
        <f>VLOOKUP(E276,Lookup_Tables!$A$3:$B$5,2,)</f>
        <v>6281.2528616024974</v>
      </c>
      <c r="AJ276" t="str">
        <f t="shared" si="18"/>
        <v>Below salary</v>
      </c>
      <c r="AK276" t="str">
        <f t="shared" si="19"/>
        <v>Low Risk</v>
      </c>
    </row>
    <row r="277" spans="1:37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380</v>
      </c>
      <c r="J277">
        <v>1</v>
      </c>
      <c r="K277" t="s">
        <v>39</v>
      </c>
      <c r="L277">
        <v>80</v>
      </c>
      <c r="M277">
        <v>3</v>
      </c>
      <c r="N277">
        <v>3</v>
      </c>
      <c r="O277" t="s">
        <v>58</v>
      </c>
      <c r="P277">
        <v>4</v>
      </c>
      <c r="Q277" t="s">
        <v>52</v>
      </c>
      <c r="R277" s="3">
        <v>13603</v>
      </c>
      <c r="S277">
        <v>11677</v>
      </c>
      <c r="T277">
        <v>2</v>
      </c>
      <c r="U277" t="s">
        <v>35</v>
      </c>
      <c r="V277" s="2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tr">
        <f t="shared" si="16"/>
        <v>36-45</v>
      </c>
      <c r="AH277" t="str">
        <f t="shared" si="17"/>
        <v>Very High</v>
      </c>
      <c r="AI277" s="1">
        <f>VLOOKUP(E277,Lookup_Tables!$A$3:$B$5,2,)</f>
        <v>6281.2528616024974</v>
      </c>
      <c r="AJ277" t="str">
        <f t="shared" si="18"/>
        <v>Above salary</v>
      </c>
      <c r="AK277" t="str">
        <f t="shared" si="19"/>
        <v>Medium Risk</v>
      </c>
    </row>
    <row r="278" spans="1:37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71</v>
      </c>
      <c r="M278">
        <v>4</v>
      </c>
      <c r="N278">
        <v>3</v>
      </c>
      <c r="O278" t="s">
        <v>56</v>
      </c>
      <c r="P278">
        <v>2</v>
      </c>
      <c r="Q278" t="s">
        <v>52</v>
      </c>
      <c r="R278" s="3">
        <v>11996</v>
      </c>
      <c r="S278">
        <v>19100</v>
      </c>
      <c r="T278">
        <v>7</v>
      </c>
      <c r="U278" t="s">
        <v>43</v>
      </c>
      <c r="V278" s="2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tr">
        <f t="shared" si="16"/>
        <v>26-35</v>
      </c>
      <c r="AH278" t="str">
        <f t="shared" si="17"/>
        <v>High</v>
      </c>
      <c r="AI278" s="1">
        <f>VLOOKUP(E278,Lookup_Tables!$A$3:$B$5,2,)</f>
        <v>6281.2528616024974</v>
      </c>
      <c r="AJ278" t="str">
        <f t="shared" si="18"/>
        <v>Above salary</v>
      </c>
      <c r="AK278" t="str">
        <f t="shared" si="19"/>
        <v>Medium Risk</v>
      </c>
    </row>
    <row r="279" spans="1:37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382</v>
      </c>
      <c r="J279">
        <v>1</v>
      </c>
      <c r="K279" t="s">
        <v>39</v>
      </c>
      <c r="L279">
        <v>44</v>
      </c>
      <c r="M279">
        <v>4</v>
      </c>
      <c r="N279">
        <v>2</v>
      </c>
      <c r="O279" t="s">
        <v>40</v>
      </c>
      <c r="P279">
        <v>1</v>
      </c>
      <c r="Q279" t="s">
        <v>52</v>
      </c>
      <c r="R279" s="3">
        <v>5605</v>
      </c>
      <c r="S279">
        <v>19191</v>
      </c>
      <c r="T279">
        <v>1</v>
      </c>
      <c r="U279" t="s">
        <v>35</v>
      </c>
      <c r="V279" s="2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tr">
        <f t="shared" si="16"/>
        <v>36-45</v>
      </c>
      <c r="AH279" t="str">
        <f t="shared" si="17"/>
        <v>Mid</v>
      </c>
      <c r="AI279" s="1">
        <f>VLOOKUP(E279,Lookup_Tables!$A$3:$B$5,2,)</f>
        <v>6959.17264573991</v>
      </c>
      <c r="AJ279" t="str">
        <f t="shared" si="18"/>
        <v>Below salary</v>
      </c>
      <c r="AK279" t="str">
        <f t="shared" si="19"/>
        <v>High Risk</v>
      </c>
    </row>
    <row r="280" spans="1:37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84</v>
      </c>
      <c r="M280">
        <v>3</v>
      </c>
      <c r="N280">
        <v>2</v>
      </c>
      <c r="O280" t="s">
        <v>53</v>
      </c>
      <c r="P280">
        <v>2</v>
      </c>
      <c r="Q280" t="s">
        <v>52</v>
      </c>
      <c r="R280" s="3">
        <v>6397</v>
      </c>
      <c r="S280">
        <v>26767</v>
      </c>
      <c r="T280">
        <v>1</v>
      </c>
      <c r="U280" t="s">
        <v>43</v>
      </c>
      <c r="V280" s="2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tr">
        <f t="shared" si="16"/>
        <v>26-35</v>
      </c>
      <c r="AH280" t="str">
        <f t="shared" si="17"/>
        <v>Mid</v>
      </c>
      <c r="AI280" s="1">
        <f>VLOOKUP(E280,Lookup_Tables!$A$3:$B$5,2,)</f>
        <v>6281.2528616024974</v>
      </c>
      <c r="AJ280" t="str">
        <f t="shared" si="18"/>
        <v>Above salary</v>
      </c>
      <c r="AK280" t="str">
        <f t="shared" si="19"/>
        <v>Medium Risk</v>
      </c>
    </row>
    <row r="281" spans="1:37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46</v>
      </c>
      <c r="L281">
        <v>96</v>
      </c>
      <c r="M281">
        <v>3</v>
      </c>
      <c r="N281">
        <v>5</v>
      </c>
      <c r="O281" t="s">
        <v>58</v>
      </c>
      <c r="P281">
        <v>2</v>
      </c>
      <c r="Q281" t="s">
        <v>52</v>
      </c>
      <c r="R281" s="3">
        <v>19144</v>
      </c>
      <c r="S281">
        <v>15815</v>
      </c>
      <c r="T281">
        <v>3</v>
      </c>
      <c r="U281" t="s">
        <v>43</v>
      </c>
      <c r="V281" s="2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tr">
        <f t="shared" si="16"/>
        <v>46+</v>
      </c>
      <c r="AH281" t="str">
        <f t="shared" si="17"/>
        <v>Very High</v>
      </c>
      <c r="AI281" s="1">
        <f>VLOOKUP(E281,Lookup_Tables!$A$3:$B$5,2,)</f>
        <v>6281.2528616024974</v>
      </c>
      <c r="AJ281" t="str">
        <f t="shared" si="18"/>
        <v>Above salary</v>
      </c>
      <c r="AK281" t="str">
        <f t="shared" si="19"/>
        <v>Medium Risk</v>
      </c>
    </row>
    <row r="282" spans="1:37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386</v>
      </c>
      <c r="J282">
        <v>3</v>
      </c>
      <c r="K282" t="s">
        <v>46</v>
      </c>
      <c r="L282">
        <v>45</v>
      </c>
      <c r="M282">
        <v>3</v>
      </c>
      <c r="N282">
        <v>4</v>
      </c>
      <c r="O282" t="s">
        <v>58</v>
      </c>
      <c r="P282">
        <v>3</v>
      </c>
      <c r="Q282" t="s">
        <v>48</v>
      </c>
      <c r="R282" s="3">
        <v>17584</v>
      </c>
      <c r="S282">
        <v>21016</v>
      </c>
      <c r="T282">
        <v>3</v>
      </c>
      <c r="U282" t="s">
        <v>35</v>
      </c>
      <c r="V282" s="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tr">
        <f t="shared" si="16"/>
        <v>46+</v>
      </c>
      <c r="AH282" t="str">
        <f t="shared" si="17"/>
        <v>Very High</v>
      </c>
      <c r="AI282" s="1">
        <f>VLOOKUP(E282,Lookup_Tables!$A$3:$B$5,2,)</f>
        <v>6281.2528616024974</v>
      </c>
      <c r="AJ282" t="str">
        <f t="shared" si="18"/>
        <v>Above salary</v>
      </c>
      <c r="AK282" t="str">
        <f t="shared" si="19"/>
        <v>Medium Risk</v>
      </c>
    </row>
    <row r="283" spans="1:37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46</v>
      </c>
      <c r="L283">
        <v>99</v>
      </c>
      <c r="M283">
        <v>3</v>
      </c>
      <c r="N283">
        <v>2</v>
      </c>
      <c r="O283" t="s">
        <v>40</v>
      </c>
      <c r="P283">
        <v>3</v>
      </c>
      <c r="Q283" t="s">
        <v>48</v>
      </c>
      <c r="R283" s="3">
        <v>4907</v>
      </c>
      <c r="S283">
        <v>24532</v>
      </c>
      <c r="T283">
        <v>1</v>
      </c>
      <c r="U283" t="s">
        <v>43</v>
      </c>
      <c r="V283" s="2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tr">
        <f t="shared" si="16"/>
        <v>36-45</v>
      </c>
      <c r="AH283" t="str">
        <f t="shared" si="17"/>
        <v>Mid</v>
      </c>
      <c r="AI283" s="1">
        <f>VLOOKUP(E283,Lookup_Tables!$A$3:$B$5,2,)</f>
        <v>6959.17264573991</v>
      </c>
      <c r="AJ283" t="str">
        <f t="shared" si="18"/>
        <v>Below salary</v>
      </c>
      <c r="AK283" t="str">
        <f t="shared" si="19"/>
        <v>Low Risk</v>
      </c>
    </row>
    <row r="284" spans="1:37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46</v>
      </c>
      <c r="L284">
        <v>44</v>
      </c>
      <c r="M284">
        <v>3</v>
      </c>
      <c r="N284">
        <v>2</v>
      </c>
      <c r="O284" t="s">
        <v>40</v>
      </c>
      <c r="P284">
        <v>4</v>
      </c>
      <c r="Q284" t="s">
        <v>41</v>
      </c>
      <c r="R284" s="3">
        <v>4554</v>
      </c>
      <c r="S284">
        <v>20260</v>
      </c>
      <c r="T284">
        <v>1</v>
      </c>
      <c r="U284" t="s">
        <v>43</v>
      </c>
      <c r="V284" s="2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tr">
        <f t="shared" si="16"/>
        <v>26-35</v>
      </c>
      <c r="AH284" t="str">
        <f t="shared" si="17"/>
        <v>Mid</v>
      </c>
      <c r="AI284" s="1">
        <f>VLOOKUP(E284,Lookup_Tables!$A$3:$B$5,2,)</f>
        <v>6959.17264573991</v>
      </c>
      <c r="AJ284" t="str">
        <f t="shared" si="18"/>
        <v>Below salary</v>
      </c>
      <c r="AK284" t="str">
        <f t="shared" si="19"/>
        <v>Low Risk</v>
      </c>
    </row>
    <row r="285" spans="1:37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389</v>
      </c>
      <c r="J285">
        <v>2</v>
      </c>
      <c r="K285" t="s">
        <v>46</v>
      </c>
      <c r="L285">
        <v>37</v>
      </c>
      <c r="M285">
        <v>3</v>
      </c>
      <c r="N285">
        <v>2</v>
      </c>
      <c r="O285" t="s">
        <v>50</v>
      </c>
      <c r="P285">
        <v>4</v>
      </c>
      <c r="Q285" t="s">
        <v>48</v>
      </c>
      <c r="R285" s="3">
        <v>5415</v>
      </c>
      <c r="S285">
        <v>15972</v>
      </c>
      <c r="T285">
        <v>3</v>
      </c>
      <c r="U285" t="s">
        <v>35</v>
      </c>
      <c r="V285" s="2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tr">
        <f t="shared" si="16"/>
        <v>46+</v>
      </c>
      <c r="AH285" t="str">
        <f t="shared" si="17"/>
        <v>Mid</v>
      </c>
      <c r="AI285" s="1">
        <f>VLOOKUP(E285,Lookup_Tables!$A$3:$B$5,2,)</f>
        <v>6281.2528616024974</v>
      </c>
      <c r="AJ285" t="str">
        <f t="shared" si="18"/>
        <v>Below salary</v>
      </c>
      <c r="AK285" t="str">
        <f t="shared" si="19"/>
        <v>Medium Risk</v>
      </c>
    </row>
    <row r="286" spans="1:37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390</v>
      </c>
      <c r="J286">
        <v>1</v>
      </c>
      <c r="K286" t="s">
        <v>46</v>
      </c>
      <c r="L286">
        <v>60</v>
      </c>
      <c r="M286">
        <v>3</v>
      </c>
      <c r="N286">
        <v>2</v>
      </c>
      <c r="O286" t="s">
        <v>54</v>
      </c>
      <c r="P286">
        <v>1</v>
      </c>
      <c r="Q286" t="s">
        <v>48</v>
      </c>
      <c r="R286" s="3">
        <v>4741</v>
      </c>
      <c r="S286">
        <v>22722</v>
      </c>
      <c r="T286">
        <v>1</v>
      </c>
      <c r="U286" t="s">
        <v>35</v>
      </c>
      <c r="V286" s="2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tr">
        <f t="shared" si="16"/>
        <v>26-35</v>
      </c>
      <c r="AH286" t="str">
        <f t="shared" si="17"/>
        <v>Mid</v>
      </c>
      <c r="AI286" s="1">
        <f>VLOOKUP(E286,Lookup_Tables!$A$3:$B$5,2,)</f>
        <v>6281.2528616024974</v>
      </c>
      <c r="AJ286" t="str">
        <f t="shared" si="18"/>
        <v>Below salary</v>
      </c>
      <c r="AK286" t="str">
        <f t="shared" si="19"/>
        <v>High Risk</v>
      </c>
    </row>
    <row r="287" spans="1:37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42</v>
      </c>
      <c r="M287">
        <v>3</v>
      </c>
      <c r="N287">
        <v>1</v>
      </c>
      <c r="O287" t="s">
        <v>47</v>
      </c>
      <c r="P287">
        <v>4</v>
      </c>
      <c r="Q287" t="s">
        <v>41</v>
      </c>
      <c r="R287" s="3">
        <v>2115</v>
      </c>
      <c r="S287">
        <v>15881</v>
      </c>
      <c r="T287">
        <v>1</v>
      </c>
      <c r="U287" t="s">
        <v>43</v>
      </c>
      <c r="V287" s="2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tr">
        <f t="shared" si="16"/>
        <v>36-45</v>
      </c>
      <c r="AH287" t="str">
        <f t="shared" si="17"/>
        <v>Low</v>
      </c>
      <c r="AI287" s="1">
        <f>VLOOKUP(E287,Lookup_Tables!$A$3:$B$5,2,)</f>
        <v>6281.2528616024974</v>
      </c>
      <c r="AJ287" t="str">
        <f t="shared" si="18"/>
        <v>Below salary</v>
      </c>
      <c r="AK287" t="str">
        <f t="shared" si="19"/>
        <v>Low Risk</v>
      </c>
    </row>
    <row r="288" spans="1:37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46</v>
      </c>
      <c r="L288">
        <v>43</v>
      </c>
      <c r="M288">
        <v>3</v>
      </c>
      <c r="N288">
        <v>1</v>
      </c>
      <c r="O288" t="s">
        <v>50</v>
      </c>
      <c r="P288">
        <v>3</v>
      </c>
      <c r="Q288" t="s">
        <v>52</v>
      </c>
      <c r="R288" s="3">
        <v>3161</v>
      </c>
      <c r="S288">
        <v>19920</v>
      </c>
      <c r="T288">
        <v>3</v>
      </c>
      <c r="U288" t="s">
        <v>35</v>
      </c>
      <c r="V288" s="2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tr">
        <f t="shared" si="16"/>
        <v>36-45</v>
      </c>
      <c r="AH288" t="str">
        <f t="shared" si="17"/>
        <v>Mid</v>
      </c>
      <c r="AI288" s="1">
        <f>VLOOKUP(E288,Lookup_Tables!$A$3:$B$5,2,)</f>
        <v>6281.2528616024974</v>
      </c>
      <c r="AJ288" t="str">
        <f t="shared" si="18"/>
        <v>Below salary</v>
      </c>
      <c r="AK288" t="str">
        <f t="shared" si="19"/>
        <v>Medium Risk</v>
      </c>
    </row>
    <row r="289" spans="1:37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46</v>
      </c>
      <c r="L289">
        <v>82</v>
      </c>
      <c r="M289">
        <v>3</v>
      </c>
      <c r="N289">
        <v>2</v>
      </c>
      <c r="O289" t="s">
        <v>54</v>
      </c>
      <c r="P289">
        <v>4</v>
      </c>
      <c r="Q289" t="s">
        <v>52</v>
      </c>
      <c r="R289" s="3">
        <v>5745</v>
      </c>
      <c r="S289">
        <v>18899</v>
      </c>
      <c r="T289">
        <v>9</v>
      </c>
      <c r="U289" t="s">
        <v>43</v>
      </c>
      <c r="V289" s="2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tr">
        <f t="shared" si="16"/>
        <v>36-45</v>
      </c>
      <c r="AH289" t="str">
        <f t="shared" si="17"/>
        <v>Mid</v>
      </c>
      <c r="AI289" s="1">
        <f>VLOOKUP(E289,Lookup_Tables!$A$3:$B$5,2,)</f>
        <v>6281.2528616024974</v>
      </c>
      <c r="AJ289" t="str">
        <f t="shared" si="18"/>
        <v>Below salary</v>
      </c>
      <c r="AK289" t="str">
        <f t="shared" si="19"/>
        <v>Low Risk</v>
      </c>
    </row>
    <row r="290" spans="1:37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394</v>
      </c>
      <c r="J290">
        <v>1</v>
      </c>
      <c r="K290" t="s">
        <v>46</v>
      </c>
      <c r="L290">
        <v>45</v>
      </c>
      <c r="M290">
        <v>3</v>
      </c>
      <c r="N290">
        <v>1</v>
      </c>
      <c r="O290" t="s">
        <v>50</v>
      </c>
      <c r="P290">
        <v>2</v>
      </c>
      <c r="Q290" t="s">
        <v>52</v>
      </c>
      <c r="R290" s="3">
        <v>2373</v>
      </c>
      <c r="S290">
        <v>14180</v>
      </c>
      <c r="T290">
        <v>2</v>
      </c>
      <c r="U290" t="s">
        <v>35</v>
      </c>
      <c r="V290" s="2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tr">
        <f t="shared" si="16"/>
        <v>26-35</v>
      </c>
      <c r="AH290" t="str">
        <f t="shared" si="17"/>
        <v>Low</v>
      </c>
      <c r="AI290" s="1">
        <f>VLOOKUP(E290,Lookup_Tables!$A$3:$B$5,2,)</f>
        <v>6281.2528616024974</v>
      </c>
      <c r="AJ290" t="str">
        <f t="shared" si="18"/>
        <v>Below salary</v>
      </c>
      <c r="AK290" t="str">
        <f t="shared" si="19"/>
        <v>High Risk</v>
      </c>
    </row>
    <row r="291" spans="1:37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66</v>
      </c>
      <c r="M291">
        <v>3</v>
      </c>
      <c r="N291">
        <v>1</v>
      </c>
      <c r="O291" t="s">
        <v>47</v>
      </c>
      <c r="P291">
        <v>4</v>
      </c>
      <c r="Q291" t="s">
        <v>41</v>
      </c>
      <c r="R291" s="3">
        <v>3310</v>
      </c>
      <c r="S291">
        <v>4488</v>
      </c>
      <c r="T291">
        <v>1</v>
      </c>
      <c r="U291" t="s">
        <v>43</v>
      </c>
      <c r="V291" s="2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tr">
        <f t="shared" si="16"/>
        <v>26-35</v>
      </c>
      <c r="AH291" t="str">
        <f t="shared" si="17"/>
        <v>Mid</v>
      </c>
      <c r="AI291" s="1">
        <f>VLOOKUP(E291,Lookup_Tables!$A$3:$B$5,2,)</f>
        <v>6281.2528616024974</v>
      </c>
      <c r="AJ291" t="str">
        <f t="shared" si="18"/>
        <v>Below salary</v>
      </c>
      <c r="AK291" t="str">
        <f t="shared" si="19"/>
        <v>Low Risk</v>
      </c>
    </row>
    <row r="292" spans="1:37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35</v>
      </c>
      <c r="M292">
        <v>3</v>
      </c>
      <c r="N292">
        <v>5</v>
      </c>
      <c r="O292" t="s">
        <v>58</v>
      </c>
      <c r="P292">
        <v>1</v>
      </c>
      <c r="Q292" t="s">
        <v>41</v>
      </c>
      <c r="R292" s="3">
        <v>18665</v>
      </c>
      <c r="S292">
        <v>25594</v>
      </c>
      <c r="T292">
        <v>9</v>
      </c>
      <c r="U292" t="s">
        <v>35</v>
      </c>
      <c r="V292" s="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tr">
        <f t="shared" si="16"/>
        <v>46+</v>
      </c>
      <c r="AH292" t="str">
        <f t="shared" si="17"/>
        <v>Very High</v>
      </c>
      <c r="AI292" s="1">
        <f>VLOOKUP(E292,Lookup_Tables!$A$3:$B$5,2,)</f>
        <v>6281.2528616024974</v>
      </c>
      <c r="AJ292" t="str">
        <f t="shared" si="18"/>
        <v>Above salary</v>
      </c>
      <c r="AK292" t="str">
        <f t="shared" si="19"/>
        <v>High Risk</v>
      </c>
    </row>
    <row r="293" spans="1:37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397</v>
      </c>
      <c r="J293">
        <v>3</v>
      </c>
      <c r="K293" t="s">
        <v>46</v>
      </c>
      <c r="L293">
        <v>30</v>
      </c>
      <c r="M293">
        <v>3</v>
      </c>
      <c r="N293">
        <v>2</v>
      </c>
      <c r="O293" t="s">
        <v>47</v>
      </c>
      <c r="P293">
        <v>2</v>
      </c>
      <c r="Q293" t="s">
        <v>41</v>
      </c>
      <c r="R293" s="3">
        <v>4485</v>
      </c>
      <c r="S293">
        <v>26285</v>
      </c>
      <c r="T293">
        <v>4</v>
      </c>
      <c r="U293" t="s">
        <v>43</v>
      </c>
      <c r="V293" s="2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tr">
        <f t="shared" si="16"/>
        <v>36-45</v>
      </c>
      <c r="AH293" t="str">
        <f t="shared" si="17"/>
        <v>Mid</v>
      </c>
      <c r="AI293" s="1">
        <f>VLOOKUP(E293,Lookup_Tables!$A$3:$B$5,2,)</f>
        <v>6281.2528616024974</v>
      </c>
      <c r="AJ293" t="str">
        <f t="shared" si="18"/>
        <v>Below salary</v>
      </c>
      <c r="AK293" t="str">
        <f t="shared" si="19"/>
        <v>Medium Risk</v>
      </c>
    </row>
    <row r="294" spans="1:37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399</v>
      </c>
      <c r="J294">
        <v>4</v>
      </c>
      <c r="K294" t="s">
        <v>39</v>
      </c>
      <c r="L294">
        <v>84</v>
      </c>
      <c r="M294">
        <v>3</v>
      </c>
      <c r="N294">
        <v>1</v>
      </c>
      <c r="O294" t="s">
        <v>57</v>
      </c>
      <c r="P294">
        <v>2</v>
      </c>
      <c r="Q294" t="s">
        <v>52</v>
      </c>
      <c r="R294" s="3">
        <v>2789</v>
      </c>
      <c r="S294">
        <v>3909</v>
      </c>
      <c r="T294">
        <v>1</v>
      </c>
      <c r="U294" t="s">
        <v>43</v>
      </c>
      <c r="V294" s="2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tr">
        <f t="shared" si="16"/>
        <v>26-35</v>
      </c>
      <c r="AH294" t="str">
        <f t="shared" si="17"/>
        <v>Low</v>
      </c>
      <c r="AI294" s="1">
        <f>VLOOKUP(E294,Lookup_Tables!$A$3:$B$5,2,)</f>
        <v>6959.17264573991</v>
      </c>
      <c r="AJ294" t="str">
        <f t="shared" si="18"/>
        <v>Below salary</v>
      </c>
      <c r="AK294" t="str">
        <f t="shared" si="19"/>
        <v>Medium Risk</v>
      </c>
    </row>
    <row r="295" spans="1:37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401</v>
      </c>
      <c r="J295">
        <v>4</v>
      </c>
      <c r="K295" t="s">
        <v>46</v>
      </c>
      <c r="L295">
        <v>48</v>
      </c>
      <c r="M295">
        <v>2</v>
      </c>
      <c r="N295">
        <v>2</v>
      </c>
      <c r="O295" t="s">
        <v>40</v>
      </c>
      <c r="P295">
        <v>4</v>
      </c>
      <c r="Q295" t="s">
        <v>41</v>
      </c>
      <c r="R295" s="3">
        <v>5828</v>
      </c>
      <c r="S295">
        <v>8450</v>
      </c>
      <c r="T295">
        <v>1</v>
      </c>
      <c r="U295" t="s">
        <v>35</v>
      </c>
      <c r="V295" s="2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tr">
        <f t="shared" si="16"/>
        <v>26-35</v>
      </c>
      <c r="AH295" t="str">
        <f t="shared" si="17"/>
        <v>Mid</v>
      </c>
      <c r="AI295" s="1">
        <f>VLOOKUP(E295,Lookup_Tables!$A$3:$B$5,2,)</f>
        <v>6959.17264573991</v>
      </c>
      <c r="AJ295" t="str">
        <f t="shared" si="18"/>
        <v>Below salary</v>
      </c>
      <c r="AK295" t="str">
        <f t="shared" si="19"/>
        <v>Medium Risk</v>
      </c>
    </row>
    <row r="296" spans="1:37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403</v>
      </c>
      <c r="J296">
        <v>2</v>
      </c>
      <c r="K296" t="s">
        <v>46</v>
      </c>
      <c r="L296">
        <v>53</v>
      </c>
      <c r="M296">
        <v>3</v>
      </c>
      <c r="N296">
        <v>1</v>
      </c>
      <c r="O296" t="s">
        <v>47</v>
      </c>
      <c r="P296">
        <v>4</v>
      </c>
      <c r="Q296" t="s">
        <v>48</v>
      </c>
      <c r="R296" s="3">
        <v>2326</v>
      </c>
      <c r="S296">
        <v>11411</v>
      </c>
      <c r="T296">
        <v>1</v>
      </c>
      <c r="U296" t="s">
        <v>35</v>
      </c>
      <c r="V296" s="2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tr">
        <f t="shared" si="16"/>
        <v>36-45</v>
      </c>
      <c r="AH296" t="str">
        <f t="shared" si="17"/>
        <v>Low</v>
      </c>
      <c r="AI296" s="1">
        <f>VLOOKUP(E296,Lookup_Tables!$A$3:$B$5,2,)</f>
        <v>6281.2528616024974</v>
      </c>
      <c r="AJ296" t="str">
        <f t="shared" si="18"/>
        <v>Below salary</v>
      </c>
      <c r="AK296" t="str">
        <f t="shared" si="19"/>
        <v>Medium Risk</v>
      </c>
    </row>
    <row r="297" spans="1:37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404</v>
      </c>
      <c r="J297">
        <v>3</v>
      </c>
      <c r="K297" t="s">
        <v>39</v>
      </c>
      <c r="L297">
        <v>77</v>
      </c>
      <c r="M297">
        <v>3</v>
      </c>
      <c r="N297">
        <v>4</v>
      </c>
      <c r="O297" t="s">
        <v>40</v>
      </c>
      <c r="P297">
        <v>2</v>
      </c>
      <c r="Q297" t="s">
        <v>48</v>
      </c>
      <c r="R297" s="3">
        <v>13525</v>
      </c>
      <c r="S297">
        <v>14864</v>
      </c>
      <c r="T297">
        <v>5</v>
      </c>
      <c r="U297" t="s">
        <v>43</v>
      </c>
      <c r="V297" s="2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tr">
        <f t="shared" si="16"/>
        <v>36-45</v>
      </c>
      <c r="AH297" t="str">
        <f t="shared" si="17"/>
        <v>Very High</v>
      </c>
      <c r="AI297" s="1">
        <f>VLOOKUP(E297,Lookup_Tables!$A$3:$B$5,2,)</f>
        <v>6959.17264573991</v>
      </c>
      <c r="AJ297" t="str">
        <f t="shared" si="18"/>
        <v>Above salary</v>
      </c>
      <c r="AK297" t="str">
        <f t="shared" si="19"/>
        <v>Medium Risk</v>
      </c>
    </row>
    <row r="298" spans="1:37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46</v>
      </c>
      <c r="L298">
        <v>54</v>
      </c>
      <c r="M298">
        <v>3</v>
      </c>
      <c r="N298">
        <v>1</v>
      </c>
      <c r="O298" t="s">
        <v>50</v>
      </c>
      <c r="P298">
        <v>3</v>
      </c>
      <c r="Q298" t="s">
        <v>41</v>
      </c>
      <c r="R298" s="3">
        <v>1420</v>
      </c>
      <c r="S298">
        <v>25233</v>
      </c>
      <c r="T298">
        <v>1</v>
      </c>
      <c r="U298" t="s">
        <v>43</v>
      </c>
      <c r="V298" s="2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tr">
        <f t="shared" si="16"/>
        <v>18-25</v>
      </c>
      <c r="AH298" t="str">
        <f t="shared" si="17"/>
        <v>Low</v>
      </c>
      <c r="AI298" s="1">
        <f>VLOOKUP(E298,Lookup_Tables!$A$3:$B$5,2,)</f>
        <v>6281.2528616024974</v>
      </c>
      <c r="AJ298" t="str">
        <f t="shared" si="18"/>
        <v>Below salary</v>
      </c>
      <c r="AK298" t="str">
        <f t="shared" si="19"/>
        <v>Low Risk</v>
      </c>
    </row>
    <row r="299" spans="1:37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406</v>
      </c>
      <c r="J299">
        <v>3</v>
      </c>
      <c r="K299" t="s">
        <v>46</v>
      </c>
      <c r="L299">
        <v>96</v>
      </c>
      <c r="M299">
        <v>3</v>
      </c>
      <c r="N299">
        <v>3</v>
      </c>
      <c r="O299" t="s">
        <v>40</v>
      </c>
      <c r="P299">
        <v>2</v>
      </c>
      <c r="Q299" t="s">
        <v>48</v>
      </c>
      <c r="R299" s="3">
        <v>8020</v>
      </c>
      <c r="S299">
        <v>5100</v>
      </c>
      <c r="T299">
        <v>0</v>
      </c>
      <c r="U299" t="s">
        <v>43</v>
      </c>
      <c r="V299" s="2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tr">
        <f t="shared" si="16"/>
        <v>26-35</v>
      </c>
      <c r="AH299" t="str">
        <f t="shared" si="17"/>
        <v>High</v>
      </c>
      <c r="AI299" s="1">
        <f>VLOOKUP(E299,Lookup_Tables!$A$3:$B$5,2,)</f>
        <v>6959.17264573991</v>
      </c>
      <c r="AJ299" t="str">
        <f t="shared" si="18"/>
        <v>Above salary</v>
      </c>
      <c r="AK299" t="str">
        <f t="shared" si="19"/>
        <v>Medium Risk</v>
      </c>
    </row>
    <row r="300" spans="1:37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46</v>
      </c>
      <c r="L300">
        <v>81</v>
      </c>
      <c r="M300">
        <v>4</v>
      </c>
      <c r="N300">
        <v>1</v>
      </c>
      <c r="O300" t="s">
        <v>50</v>
      </c>
      <c r="P300">
        <v>4</v>
      </c>
      <c r="Q300" t="s">
        <v>48</v>
      </c>
      <c r="R300" s="3">
        <v>3688</v>
      </c>
      <c r="S300">
        <v>7122</v>
      </c>
      <c r="T300">
        <v>4</v>
      </c>
      <c r="U300" t="s">
        <v>43</v>
      </c>
      <c r="V300" s="2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tr">
        <f t="shared" si="16"/>
        <v>36-45</v>
      </c>
      <c r="AH300" t="str">
        <f t="shared" si="17"/>
        <v>Mid</v>
      </c>
      <c r="AI300" s="1">
        <f>VLOOKUP(E300,Lookup_Tables!$A$3:$B$5,2,)</f>
        <v>6281.2528616024974</v>
      </c>
      <c r="AJ300" t="str">
        <f t="shared" si="18"/>
        <v>Below salary</v>
      </c>
      <c r="AK300" t="str">
        <f t="shared" si="19"/>
        <v>Low Risk</v>
      </c>
    </row>
    <row r="301" spans="1:37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408</v>
      </c>
      <c r="J301">
        <v>4</v>
      </c>
      <c r="K301" t="s">
        <v>46</v>
      </c>
      <c r="L301">
        <v>84</v>
      </c>
      <c r="M301">
        <v>1</v>
      </c>
      <c r="N301">
        <v>2</v>
      </c>
      <c r="O301" t="s">
        <v>53</v>
      </c>
      <c r="P301">
        <v>2</v>
      </c>
      <c r="Q301" t="s">
        <v>52</v>
      </c>
      <c r="R301" s="3">
        <v>5482</v>
      </c>
      <c r="S301">
        <v>16321</v>
      </c>
      <c r="T301">
        <v>5</v>
      </c>
      <c r="U301" t="s">
        <v>43</v>
      </c>
      <c r="V301" s="2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tr">
        <f t="shared" si="16"/>
        <v>46+</v>
      </c>
      <c r="AH301" t="str">
        <f t="shared" si="17"/>
        <v>Mid</v>
      </c>
      <c r="AI301" s="1">
        <f>VLOOKUP(E301,Lookup_Tables!$A$3:$B$5,2,)</f>
        <v>6281.2528616024974</v>
      </c>
      <c r="AJ301" t="str">
        <f t="shared" si="18"/>
        <v>Below salary</v>
      </c>
      <c r="AK301" t="str">
        <f t="shared" si="19"/>
        <v>Medium Risk</v>
      </c>
    </row>
    <row r="302" spans="1:37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46</v>
      </c>
      <c r="L302">
        <v>88</v>
      </c>
      <c r="M302">
        <v>3</v>
      </c>
      <c r="N302">
        <v>4</v>
      </c>
      <c r="O302" t="s">
        <v>56</v>
      </c>
      <c r="P302">
        <v>2</v>
      </c>
      <c r="Q302" t="s">
        <v>41</v>
      </c>
      <c r="R302" s="3">
        <v>16015</v>
      </c>
      <c r="S302">
        <v>15896</v>
      </c>
      <c r="T302">
        <v>1</v>
      </c>
      <c r="U302" t="s">
        <v>43</v>
      </c>
      <c r="V302" s="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tr">
        <f t="shared" si="16"/>
        <v>36-45</v>
      </c>
      <c r="AH302" t="str">
        <f t="shared" si="17"/>
        <v>Very High</v>
      </c>
      <c r="AI302" s="1">
        <f>VLOOKUP(E302,Lookup_Tables!$A$3:$B$5,2,)</f>
        <v>6959.17264573991</v>
      </c>
      <c r="AJ302" t="str">
        <f t="shared" si="18"/>
        <v>Above salary</v>
      </c>
      <c r="AK302" t="str">
        <f t="shared" si="19"/>
        <v>Medium Risk</v>
      </c>
    </row>
    <row r="303" spans="1:37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411</v>
      </c>
      <c r="J303">
        <v>4</v>
      </c>
      <c r="K303" t="s">
        <v>39</v>
      </c>
      <c r="L303">
        <v>69</v>
      </c>
      <c r="M303">
        <v>2</v>
      </c>
      <c r="N303">
        <v>1</v>
      </c>
      <c r="O303" t="s">
        <v>57</v>
      </c>
      <c r="P303">
        <v>3</v>
      </c>
      <c r="Q303" t="s">
        <v>41</v>
      </c>
      <c r="R303" s="3">
        <v>1200</v>
      </c>
      <c r="S303">
        <v>9724</v>
      </c>
      <c r="T303">
        <v>1</v>
      </c>
      <c r="U303" t="s">
        <v>43</v>
      </c>
      <c r="V303" s="2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tr">
        <f t="shared" si="16"/>
        <v>18-25</v>
      </c>
      <c r="AH303" t="str">
        <f t="shared" si="17"/>
        <v>Low</v>
      </c>
      <c r="AI303" s="1">
        <f>VLOOKUP(E303,Lookup_Tables!$A$3:$B$5,2,)</f>
        <v>6959.17264573991</v>
      </c>
      <c r="AJ303" t="str">
        <f t="shared" si="18"/>
        <v>Below salary</v>
      </c>
      <c r="AK303" t="str">
        <f t="shared" si="19"/>
        <v>Low Risk</v>
      </c>
    </row>
    <row r="304" spans="1:37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412</v>
      </c>
      <c r="J304">
        <v>2</v>
      </c>
      <c r="K304" t="s">
        <v>46</v>
      </c>
      <c r="L304">
        <v>68</v>
      </c>
      <c r="M304">
        <v>4</v>
      </c>
      <c r="N304">
        <v>2</v>
      </c>
      <c r="O304" t="s">
        <v>54</v>
      </c>
      <c r="P304">
        <v>1</v>
      </c>
      <c r="Q304" t="s">
        <v>41</v>
      </c>
      <c r="R304" s="3">
        <v>5661</v>
      </c>
      <c r="S304">
        <v>4824</v>
      </c>
      <c r="T304">
        <v>0</v>
      </c>
      <c r="U304" t="s">
        <v>43</v>
      </c>
      <c r="V304" s="2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tr">
        <f t="shared" si="16"/>
        <v>26-35</v>
      </c>
      <c r="AH304" t="str">
        <f t="shared" si="17"/>
        <v>Mid</v>
      </c>
      <c r="AI304" s="1">
        <f>VLOOKUP(E304,Lookup_Tables!$A$3:$B$5,2,)</f>
        <v>6281.2528616024974</v>
      </c>
      <c r="AJ304" t="str">
        <f t="shared" si="18"/>
        <v>Below salary</v>
      </c>
      <c r="AK304" t="str">
        <f t="shared" si="19"/>
        <v>Medium Risk</v>
      </c>
    </row>
    <row r="305" spans="1:37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416</v>
      </c>
      <c r="J305">
        <v>2</v>
      </c>
      <c r="K305" t="s">
        <v>46</v>
      </c>
      <c r="L305">
        <v>100</v>
      </c>
      <c r="M305">
        <v>4</v>
      </c>
      <c r="N305">
        <v>2</v>
      </c>
      <c r="O305" t="s">
        <v>40</v>
      </c>
      <c r="P305">
        <v>4</v>
      </c>
      <c r="Q305" t="s">
        <v>48</v>
      </c>
      <c r="R305" s="3">
        <v>6929</v>
      </c>
      <c r="S305">
        <v>12241</v>
      </c>
      <c r="T305">
        <v>4</v>
      </c>
      <c r="U305" t="s">
        <v>43</v>
      </c>
      <c r="V305" s="2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tr">
        <f t="shared" si="16"/>
        <v>26-35</v>
      </c>
      <c r="AH305" t="str">
        <f t="shared" si="17"/>
        <v>Mid</v>
      </c>
      <c r="AI305" s="1">
        <f>VLOOKUP(E305,Lookup_Tables!$A$3:$B$5,2,)</f>
        <v>6959.17264573991</v>
      </c>
      <c r="AJ305" t="str">
        <f t="shared" si="18"/>
        <v>Below salary</v>
      </c>
      <c r="AK305" t="str">
        <f t="shared" si="19"/>
        <v>Low Risk</v>
      </c>
    </row>
    <row r="306" spans="1:37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417</v>
      </c>
      <c r="J306">
        <v>3</v>
      </c>
      <c r="K306" t="s">
        <v>46</v>
      </c>
      <c r="L306">
        <v>48</v>
      </c>
      <c r="M306">
        <v>4</v>
      </c>
      <c r="N306">
        <v>3</v>
      </c>
      <c r="O306" t="s">
        <v>54</v>
      </c>
      <c r="P306">
        <v>4</v>
      </c>
      <c r="Q306" t="s">
        <v>52</v>
      </c>
      <c r="R306" s="3">
        <v>9613</v>
      </c>
      <c r="S306">
        <v>10942</v>
      </c>
      <c r="T306">
        <v>0</v>
      </c>
      <c r="U306" t="s">
        <v>43</v>
      </c>
      <c r="V306" s="2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tr">
        <f t="shared" si="16"/>
        <v>36-45</v>
      </c>
      <c r="AH306" t="str">
        <f t="shared" si="17"/>
        <v>High</v>
      </c>
      <c r="AI306" s="1">
        <f>VLOOKUP(E306,Lookup_Tables!$A$3:$B$5,2,)</f>
        <v>6281.2528616024974</v>
      </c>
      <c r="AJ306" t="str">
        <f t="shared" si="18"/>
        <v>Above salary</v>
      </c>
      <c r="AK306" t="str">
        <f t="shared" si="19"/>
        <v>Low Risk</v>
      </c>
    </row>
    <row r="307" spans="1:37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47</v>
      </c>
      <c r="M307">
        <v>3</v>
      </c>
      <c r="N307">
        <v>2</v>
      </c>
      <c r="O307" t="s">
        <v>50</v>
      </c>
      <c r="P307">
        <v>2</v>
      </c>
      <c r="Q307" t="s">
        <v>48</v>
      </c>
      <c r="R307" s="3">
        <v>5674</v>
      </c>
      <c r="S307">
        <v>6927</v>
      </c>
      <c r="T307">
        <v>7</v>
      </c>
      <c r="U307" t="s">
        <v>43</v>
      </c>
      <c r="V307" s="2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tr">
        <f t="shared" si="16"/>
        <v>36-45</v>
      </c>
      <c r="AH307" t="str">
        <f t="shared" si="17"/>
        <v>Mid</v>
      </c>
      <c r="AI307" s="1">
        <f>VLOOKUP(E307,Lookup_Tables!$A$3:$B$5,2,)</f>
        <v>6281.2528616024974</v>
      </c>
      <c r="AJ307" t="str">
        <f t="shared" si="18"/>
        <v>Below salary</v>
      </c>
      <c r="AK307" t="str">
        <f t="shared" si="19"/>
        <v>Medium Risk</v>
      </c>
    </row>
    <row r="308" spans="1:37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46</v>
      </c>
      <c r="L308">
        <v>91</v>
      </c>
      <c r="M308">
        <v>2</v>
      </c>
      <c r="N308">
        <v>2</v>
      </c>
      <c r="O308" t="s">
        <v>40</v>
      </c>
      <c r="P308">
        <v>3</v>
      </c>
      <c r="Q308" t="s">
        <v>48</v>
      </c>
      <c r="R308" s="3">
        <v>5484</v>
      </c>
      <c r="S308">
        <v>16985</v>
      </c>
      <c r="T308">
        <v>1</v>
      </c>
      <c r="U308" t="s">
        <v>43</v>
      </c>
      <c r="V308" s="2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tr">
        <f t="shared" si="16"/>
        <v>26-35</v>
      </c>
      <c r="AH308" t="str">
        <f t="shared" si="17"/>
        <v>Mid</v>
      </c>
      <c r="AI308" s="1">
        <f>VLOOKUP(E308,Lookup_Tables!$A$3:$B$5,2,)</f>
        <v>6959.17264573991</v>
      </c>
      <c r="AJ308" t="str">
        <f t="shared" si="18"/>
        <v>Below salary</v>
      </c>
      <c r="AK308" t="str">
        <f t="shared" si="19"/>
        <v>Low Risk</v>
      </c>
    </row>
    <row r="309" spans="1:37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81</v>
      </c>
      <c r="M309">
        <v>2</v>
      </c>
      <c r="N309">
        <v>3</v>
      </c>
      <c r="O309" t="s">
        <v>58</v>
      </c>
      <c r="P309">
        <v>2</v>
      </c>
      <c r="Q309" t="s">
        <v>48</v>
      </c>
      <c r="R309" s="3">
        <v>12061</v>
      </c>
      <c r="S309">
        <v>26707</v>
      </c>
      <c r="T309">
        <v>3</v>
      </c>
      <c r="U309" t="s">
        <v>43</v>
      </c>
      <c r="V309" s="2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tr">
        <f t="shared" si="16"/>
        <v>36-45</v>
      </c>
      <c r="AH309" t="str">
        <f t="shared" si="17"/>
        <v>Very High</v>
      </c>
      <c r="AI309" s="1">
        <f>VLOOKUP(E309,Lookup_Tables!$A$3:$B$5,2,)</f>
        <v>6281.2528616024974</v>
      </c>
      <c r="AJ309" t="str">
        <f t="shared" si="18"/>
        <v>Above salary</v>
      </c>
      <c r="AK309" t="str">
        <f t="shared" si="19"/>
        <v>Medium Risk</v>
      </c>
    </row>
    <row r="310" spans="1:37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46</v>
      </c>
      <c r="L310">
        <v>32</v>
      </c>
      <c r="M310">
        <v>1</v>
      </c>
      <c r="N310">
        <v>2</v>
      </c>
      <c r="O310" t="s">
        <v>54</v>
      </c>
      <c r="P310">
        <v>3</v>
      </c>
      <c r="Q310" t="s">
        <v>52</v>
      </c>
      <c r="R310" s="3">
        <v>5660</v>
      </c>
      <c r="S310">
        <v>17056</v>
      </c>
      <c r="T310">
        <v>2</v>
      </c>
      <c r="U310" t="s">
        <v>35</v>
      </c>
      <c r="V310" s="2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tr">
        <f t="shared" si="16"/>
        <v>46+</v>
      </c>
      <c r="AH310" t="str">
        <f t="shared" si="17"/>
        <v>Mid</v>
      </c>
      <c r="AI310" s="1">
        <f>VLOOKUP(E310,Lookup_Tables!$A$3:$B$5,2,)</f>
        <v>6281.2528616024974</v>
      </c>
      <c r="AJ310" t="str">
        <f t="shared" si="18"/>
        <v>Below salary</v>
      </c>
      <c r="AK310" t="str">
        <f t="shared" si="19"/>
        <v>Medium Risk</v>
      </c>
    </row>
    <row r="311" spans="1:37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423</v>
      </c>
      <c r="J311">
        <v>3</v>
      </c>
      <c r="K311" t="s">
        <v>46</v>
      </c>
      <c r="L311">
        <v>86</v>
      </c>
      <c r="M311">
        <v>3</v>
      </c>
      <c r="N311">
        <v>1</v>
      </c>
      <c r="O311" t="s">
        <v>47</v>
      </c>
      <c r="P311">
        <v>4</v>
      </c>
      <c r="Q311" t="s">
        <v>48</v>
      </c>
      <c r="R311" s="3">
        <v>4821</v>
      </c>
      <c r="S311">
        <v>10077</v>
      </c>
      <c r="T311">
        <v>0</v>
      </c>
      <c r="U311" t="s">
        <v>35</v>
      </c>
      <c r="V311" s="2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tr">
        <f t="shared" si="16"/>
        <v>26-35</v>
      </c>
      <c r="AH311" t="str">
        <f t="shared" si="17"/>
        <v>Mid</v>
      </c>
      <c r="AI311" s="1">
        <f>VLOOKUP(E311,Lookup_Tables!$A$3:$B$5,2,)</f>
        <v>6281.2528616024974</v>
      </c>
      <c r="AJ311" t="str">
        <f t="shared" si="18"/>
        <v>Below salary</v>
      </c>
      <c r="AK311" t="str">
        <f t="shared" si="19"/>
        <v>Medium Risk</v>
      </c>
    </row>
    <row r="312" spans="1:37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424</v>
      </c>
      <c r="J312">
        <v>1</v>
      </c>
      <c r="K312" t="s">
        <v>46</v>
      </c>
      <c r="L312">
        <v>62</v>
      </c>
      <c r="M312">
        <v>2</v>
      </c>
      <c r="N312">
        <v>2</v>
      </c>
      <c r="O312" t="s">
        <v>61</v>
      </c>
      <c r="P312">
        <v>1</v>
      </c>
      <c r="Q312" t="s">
        <v>48</v>
      </c>
      <c r="R312" s="3">
        <v>6410</v>
      </c>
      <c r="S312">
        <v>17822</v>
      </c>
      <c r="T312">
        <v>3</v>
      </c>
      <c r="U312" t="s">
        <v>43</v>
      </c>
      <c r="V312" s="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tr">
        <f t="shared" si="16"/>
        <v>26-35</v>
      </c>
      <c r="AH312" t="str">
        <f t="shared" si="17"/>
        <v>Mid</v>
      </c>
      <c r="AI312" s="1">
        <f>VLOOKUP(E312,Lookup_Tables!$A$3:$B$5,2,)</f>
        <v>6654.5079365079364</v>
      </c>
      <c r="AJ312" t="str">
        <f t="shared" si="18"/>
        <v>Below salary</v>
      </c>
      <c r="AK312" t="str">
        <f t="shared" si="19"/>
        <v>Medium Risk</v>
      </c>
    </row>
    <row r="313" spans="1:37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46</v>
      </c>
      <c r="L313">
        <v>97</v>
      </c>
      <c r="M313">
        <v>3</v>
      </c>
      <c r="N313">
        <v>3</v>
      </c>
      <c r="O313" t="s">
        <v>50</v>
      </c>
      <c r="P313">
        <v>1</v>
      </c>
      <c r="Q313" t="s">
        <v>52</v>
      </c>
      <c r="R313" s="3">
        <v>5210</v>
      </c>
      <c r="S313">
        <v>20308</v>
      </c>
      <c r="T313">
        <v>1</v>
      </c>
      <c r="U313" t="s">
        <v>43</v>
      </c>
      <c r="V313" s="2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tr">
        <f t="shared" si="16"/>
        <v>36-45</v>
      </c>
      <c r="AH313" t="str">
        <f t="shared" si="17"/>
        <v>Mid</v>
      </c>
      <c r="AI313" s="1">
        <f>VLOOKUP(E313,Lookup_Tables!$A$3:$B$5,2,)</f>
        <v>6281.2528616024974</v>
      </c>
      <c r="AJ313" t="str">
        <f t="shared" si="18"/>
        <v>Below salary</v>
      </c>
      <c r="AK313" t="str">
        <f t="shared" si="19"/>
        <v>Medium Risk</v>
      </c>
    </row>
    <row r="314" spans="1:37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46</v>
      </c>
      <c r="L314">
        <v>32</v>
      </c>
      <c r="M314">
        <v>3</v>
      </c>
      <c r="N314">
        <v>1</v>
      </c>
      <c r="O314" t="s">
        <v>47</v>
      </c>
      <c r="P314">
        <v>4</v>
      </c>
      <c r="Q314" t="s">
        <v>52</v>
      </c>
      <c r="R314" s="3">
        <v>2695</v>
      </c>
      <c r="S314">
        <v>7747</v>
      </c>
      <c r="T314">
        <v>0</v>
      </c>
      <c r="U314" t="s">
        <v>35</v>
      </c>
      <c r="V314" s="2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tr">
        <f t="shared" si="16"/>
        <v>26-35</v>
      </c>
      <c r="AH314" t="str">
        <f t="shared" si="17"/>
        <v>Low</v>
      </c>
      <c r="AI314" s="1">
        <f>VLOOKUP(E314,Lookup_Tables!$A$3:$B$5,2,)</f>
        <v>6281.2528616024974</v>
      </c>
      <c r="AJ314" t="str">
        <f t="shared" si="18"/>
        <v>Below salary</v>
      </c>
      <c r="AK314" t="str">
        <f t="shared" si="19"/>
        <v>Medium Risk</v>
      </c>
    </row>
    <row r="315" spans="1:37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74</v>
      </c>
      <c r="M315">
        <v>3</v>
      </c>
      <c r="N315">
        <v>3</v>
      </c>
      <c r="O315" t="s">
        <v>56</v>
      </c>
      <c r="P315">
        <v>2</v>
      </c>
      <c r="Q315" t="s">
        <v>48</v>
      </c>
      <c r="R315" s="3">
        <v>11878</v>
      </c>
      <c r="S315">
        <v>23364</v>
      </c>
      <c r="T315">
        <v>6</v>
      </c>
      <c r="U315" t="s">
        <v>43</v>
      </c>
      <c r="V315" s="2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tr">
        <f t="shared" si="16"/>
        <v>26-35</v>
      </c>
      <c r="AH315" t="str">
        <f t="shared" si="17"/>
        <v>High</v>
      </c>
      <c r="AI315" s="1">
        <f>VLOOKUP(E315,Lookup_Tables!$A$3:$B$5,2,)</f>
        <v>6281.2528616024974</v>
      </c>
      <c r="AJ315" t="str">
        <f t="shared" si="18"/>
        <v>Above salary</v>
      </c>
      <c r="AK315" t="str">
        <f t="shared" si="19"/>
        <v>Medium Risk</v>
      </c>
    </row>
    <row r="316" spans="1:37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429</v>
      </c>
      <c r="J316">
        <v>3</v>
      </c>
      <c r="K316" t="s">
        <v>46</v>
      </c>
      <c r="L316">
        <v>99</v>
      </c>
      <c r="M316">
        <v>3</v>
      </c>
      <c r="N316">
        <v>4</v>
      </c>
      <c r="O316" t="s">
        <v>56</v>
      </c>
      <c r="P316">
        <v>1</v>
      </c>
      <c r="Q316" t="s">
        <v>48</v>
      </c>
      <c r="R316" s="3">
        <v>17068</v>
      </c>
      <c r="S316">
        <v>5355</v>
      </c>
      <c r="T316">
        <v>1</v>
      </c>
      <c r="U316" t="s">
        <v>35</v>
      </c>
      <c r="V316" s="2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tr">
        <f t="shared" si="16"/>
        <v>36-45</v>
      </c>
      <c r="AH316" t="str">
        <f t="shared" si="17"/>
        <v>Very High</v>
      </c>
      <c r="AI316" s="1">
        <f>VLOOKUP(E316,Lookup_Tables!$A$3:$B$5,2,)</f>
        <v>6281.2528616024974</v>
      </c>
      <c r="AJ316" t="str">
        <f t="shared" si="18"/>
        <v>Above salary</v>
      </c>
      <c r="AK316" t="str">
        <f t="shared" si="19"/>
        <v>High Risk</v>
      </c>
    </row>
    <row r="317" spans="1:37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33</v>
      </c>
      <c r="M317">
        <v>3</v>
      </c>
      <c r="N317">
        <v>1</v>
      </c>
      <c r="O317" t="s">
        <v>50</v>
      </c>
      <c r="P317">
        <v>4</v>
      </c>
      <c r="Q317" t="s">
        <v>41</v>
      </c>
      <c r="R317" s="3">
        <v>2455</v>
      </c>
      <c r="S317">
        <v>10675</v>
      </c>
      <c r="T317">
        <v>0</v>
      </c>
      <c r="U317" t="s">
        <v>43</v>
      </c>
      <c r="V317" s="2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tr">
        <f t="shared" si="16"/>
        <v>36-45</v>
      </c>
      <c r="AH317" t="str">
        <f t="shared" si="17"/>
        <v>Low</v>
      </c>
      <c r="AI317" s="1">
        <f>VLOOKUP(E317,Lookup_Tables!$A$3:$B$5,2,)</f>
        <v>6281.2528616024974</v>
      </c>
      <c r="AJ317" t="str">
        <f t="shared" si="18"/>
        <v>Below salary</v>
      </c>
      <c r="AK317" t="str">
        <f t="shared" si="19"/>
        <v>Low Risk</v>
      </c>
    </row>
    <row r="318" spans="1:37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431</v>
      </c>
      <c r="J318">
        <v>3</v>
      </c>
      <c r="K318" t="s">
        <v>39</v>
      </c>
      <c r="L318">
        <v>90</v>
      </c>
      <c r="M318">
        <v>2</v>
      </c>
      <c r="N318">
        <v>4</v>
      </c>
      <c r="O318" t="s">
        <v>54</v>
      </c>
      <c r="P318">
        <v>3</v>
      </c>
      <c r="Q318" t="s">
        <v>41</v>
      </c>
      <c r="R318" s="3">
        <v>13964</v>
      </c>
      <c r="S318">
        <v>17810</v>
      </c>
      <c r="T318">
        <v>7</v>
      </c>
      <c r="U318" t="s">
        <v>35</v>
      </c>
      <c r="V318" s="2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tr">
        <f t="shared" si="16"/>
        <v>46+</v>
      </c>
      <c r="AH318" t="str">
        <f t="shared" si="17"/>
        <v>Very High</v>
      </c>
      <c r="AI318" s="1">
        <f>VLOOKUP(E318,Lookup_Tables!$A$3:$B$5,2,)</f>
        <v>6281.2528616024974</v>
      </c>
      <c r="AJ318" t="str">
        <f t="shared" si="18"/>
        <v>Above salary</v>
      </c>
      <c r="AK318" t="str">
        <f t="shared" si="19"/>
        <v>Medium Risk</v>
      </c>
    </row>
    <row r="319" spans="1:37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433</v>
      </c>
      <c r="J319">
        <v>3</v>
      </c>
      <c r="K319" t="s">
        <v>46</v>
      </c>
      <c r="L319">
        <v>85</v>
      </c>
      <c r="M319">
        <v>2</v>
      </c>
      <c r="N319">
        <v>2</v>
      </c>
      <c r="O319" t="s">
        <v>47</v>
      </c>
      <c r="P319">
        <v>2</v>
      </c>
      <c r="Q319" t="s">
        <v>48</v>
      </c>
      <c r="R319" s="3">
        <v>4941</v>
      </c>
      <c r="S319">
        <v>17747</v>
      </c>
      <c r="T319">
        <v>2</v>
      </c>
      <c r="U319" t="s">
        <v>43</v>
      </c>
      <c r="V319" s="2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tr">
        <f t="shared" si="16"/>
        <v>46+</v>
      </c>
      <c r="AH319" t="str">
        <f t="shared" si="17"/>
        <v>Mid</v>
      </c>
      <c r="AI319" s="1">
        <f>VLOOKUP(E319,Lookup_Tables!$A$3:$B$5,2,)</f>
        <v>6281.2528616024974</v>
      </c>
      <c r="AJ319" t="str">
        <f t="shared" si="18"/>
        <v>Below salary</v>
      </c>
      <c r="AK319" t="str">
        <f t="shared" si="19"/>
        <v>Medium Risk</v>
      </c>
    </row>
    <row r="320" spans="1:37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85</v>
      </c>
      <c r="M320">
        <v>3</v>
      </c>
      <c r="N320">
        <v>1</v>
      </c>
      <c r="O320" t="s">
        <v>47</v>
      </c>
      <c r="P320">
        <v>2</v>
      </c>
      <c r="Q320" t="s">
        <v>41</v>
      </c>
      <c r="R320" s="3">
        <v>2478</v>
      </c>
      <c r="S320">
        <v>20938</v>
      </c>
      <c r="T320">
        <v>1</v>
      </c>
      <c r="U320" t="s">
        <v>35</v>
      </c>
      <c r="V320" s="2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tr">
        <f t="shared" si="16"/>
        <v>26-35</v>
      </c>
      <c r="AH320" t="str">
        <f t="shared" si="17"/>
        <v>Low</v>
      </c>
      <c r="AI320" s="1">
        <f>VLOOKUP(E320,Lookup_Tables!$A$3:$B$5,2,)</f>
        <v>6281.2528616024974</v>
      </c>
      <c r="AJ320" t="str">
        <f t="shared" si="18"/>
        <v>Below salary</v>
      </c>
      <c r="AK320" t="str">
        <f t="shared" si="19"/>
        <v>High Risk</v>
      </c>
    </row>
    <row r="321" spans="1:37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436</v>
      </c>
      <c r="J321">
        <v>3</v>
      </c>
      <c r="K321" t="s">
        <v>39</v>
      </c>
      <c r="L321">
        <v>65</v>
      </c>
      <c r="M321">
        <v>2</v>
      </c>
      <c r="N321">
        <v>2</v>
      </c>
      <c r="O321" t="s">
        <v>40</v>
      </c>
      <c r="P321">
        <v>2</v>
      </c>
      <c r="Q321" t="s">
        <v>48</v>
      </c>
      <c r="R321" s="3">
        <v>5228</v>
      </c>
      <c r="S321">
        <v>24624</v>
      </c>
      <c r="T321">
        <v>1</v>
      </c>
      <c r="U321" t="s">
        <v>35</v>
      </c>
      <c r="V321" s="2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tr">
        <f t="shared" si="16"/>
        <v>26-35</v>
      </c>
      <c r="AH321" t="str">
        <f t="shared" si="17"/>
        <v>Mid</v>
      </c>
      <c r="AI321" s="1">
        <f>VLOOKUP(E321,Lookup_Tables!$A$3:$B$5,2,)</f>
        <v>6959.17264573991</v>
      </c>
      <c r="AJ321" t="str">
        <f t="shared" si="18"/>
        <v>Below salary</v>
      </c>
      <c r="AK321" t="str">
        <f t="shared" si="19"/>
        <v>High Risk</v>
      </c>
    </row>
    <row r="322" spans="1:37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46</v>
      </c>
      <c r="L322">
        <v>74</v>
      </c>
      <c r="M322">
        <v>3</v>
      </c>
      <c r="N322">
        <v>2</v>
      </c>
      <c r="O322" t="s">
        <v>40</v>
      </c>
      <c r="P322">
        <v>3</v>
      </c>
      <c r="Q322" t="s">
        <v>41</v>
      </c>
      <c r="R322" s="3">
        <v>4478</v>
      </c>
      <c r="S322">
        <v>5242</v>
      </c>
      <c r="T322">
        <v>1</v>
      </c>
      <c r="U322" t="s">
        <v>35</v>
      </c>
      <c r="V322" s="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tr">
        <f t="shared" ref="AG322:AG385" si="20">IF(A322&lt;=25,"18-25",IF(A322&lt;= 35, "26-35",IF(A322&lt;=45, "36-45","46+")))</f>
        <v>26-35</v>
      </c>
      <c r="AH322" t="str">
        <f t="shared" ref="AH322:AH385" si="21">IF(R322&lt;3000,"Low",IF(R322&lt;7000,"Mid", IF(R322&lt;12000, "High", "Very High")))</f>
        <v>Mid</v>
      </c>
      <c r="AI322" s="1">
        <f>VLOOKUP(E322,Lookup_Tables!$A$3:$B$5,2,)</f>
        <v>6959.17264573991</v>
      </c>
      <c r="AJ322" t="str">
        <f t="shared" ref="AJ322:AJ385" si="22">IF(R322&gt;AI322, "Above salary","Below salary")</f>
        <v>Below salary</v>
      </c>
      <c r="AK322" t="str">
        <f t="shared" si="19"/>
        <v>Medium Risk</v>
      </c>
    </row>
    <row r="323" spans="1:37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438</v>
      </c>
      <c r="J323">
        <v>4</v>
      </c>
      <c r="K323" t="s">
        <v>46</v>
      </c>
      <c r="L323">
        <v>73</v>
      </c>
      <c r="M323">
        <v>3</v>
      </c>
      <c r="N323">
        <v>2</v>
      </c>
      <c r="O323" t="s">
        <v>40</v>
      </c>
      <c r="P323">
        <v>4</v>
      </c>
      <c r="Q323" t="s">
        <v>52</v>
      </c>
      <c r="R323" s="3">
        <v>7547</v>
      </c>
      <c r="S323">
        <v>7143</v>
      </c>
      <c r="T323">
        <v>4</v>
      </c>
      <c r="U323" t="s">
        <v>43</v>
      </c>
      <c r="V323" s="2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tr">
        <f t="shared" si="20"/>
        <v>26-35</v>
      </c>
      <c r="AH323" t="str">
        <f t="shared" si="21"/>
        <v>High</v>
      </c>
      <c r="AI323" s="1">
        <f>VLOOKUP(E323,Lookup_Tables!$A$3:$B$5,2,)</f>
        <v>6959.17264573991</v>
      </c>
      <c r="AJ323" t="str">
        <f t="shared" si="22"/>
        <v>Above salary</v>
      </c>
      <c r="AK323" t="str">
        <f t="shared" ref="AK323:AK386" si="23">IF(AND(P323&lt;=2,U323="Yes"),"High Risk",IF(OR(P323&lt;=2,U323="Yes"),"Medium Risk","Low Risk"))</f>
        <v>Low Risk</v>
      </c>
    </row>
    <row r="324" spans="1:37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439</v>
      </c>
      <c r="J324">
        <v>1</v>
      </c>
      <c r="K324" t="s">
        <v>39</v>
      </c>
      <c r="L324">
        <v>74</v>
      </c>
      <c r="M324">
        <v>4</v>
      </c>
      <c r="N324">
        <v>2</v>
      </c>
      <c r="O324" t="s">
        <v>47</v>
      </c>
      <c r="P324">
        <v>4</v>
      </c>
      <c r="Q324" t="s">
        <v>41</v>
      </c>
      <c r="R324" s="3">
        <v>5055</v>
      </c>
      <c r="S324">
        <v>10557</v>
      </c>
      <c r="T324">
        <v>7</v>
      </c>
      <c r="U324" t="s">
        <v>43</v>
      </c>
      <c r="V324" s="2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tr">
        <f t="shared" si="20"/>
        <v>26-35</v>
      </c>
      <c r="AH324" t="str">
        <f t="shared" si="21"/>
        <v>Mid</v>
      </c>
      <c r="AI324" s="1">
        <f>VLOOKUP(E324,Lookup_Tables!$A$3:$B$5,2,)</f>
        <v>6281.2528616024974</v>
      </c>
      <c r="AJ324" t="str">
        <f t="shared" si="22"/>
        <v>Below salary</v>
      </c>
      <c r="AK324" t="str">
        <f t="shared" si="23"/>
        <v>Low Risk</v>
      </c>
    </row>
    <row r="325" spans="1:37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440</v>
      </c>
      <c r="J325">
        <v>1</v>
      </c>
      <c r="K325" t="s">
        <v>46</v>
      </c>
      <c r="L325">
        <v>84</v>
      </c>
      <c r="M325">
        <v>1</v>
      </c>
      <c r="N325">
        <v>1</v>
      </c>
      <c r="O325" t="s">
        <v>47</v>
      </c>
      <c r="P325">
        <v>4</v>
      </c>
      <c r="Q325" t="s">
        <v>48</v>
      </c>
      <c r="R325" s="3">
        <v>3464</v>
      </c>
      <c r="S325">
        <v>24737</v>
      </c>
      <c r="T325">
        <v>5</v>
      </c>
      <c r="U325" t="s">
        <v>35</v>
      </c>
      <c r="V325" s="2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tr">
        <f t="shared" si="20"/>
        <v>26-35</v>
      </c>
      <c r="AH325" t="str">
        <f t="shared" si="21"/>
        <v>Mid</v>
      </c>
      <c r="AI325" s="1">
        <f>VLOOKUP(E325,Lookup_Tables!$A$3:$B$5,2,)</f>
        <v>6281.2528616024974</v>
      </c>
      <c r="AJ325" t="str">
        <f t="shared" si="22"/>
        <v>Below salary</v>
      </c>
      <c r="AK325" t="str">
        <f t="shared" si="23"/>
        <v>Medium Risk</v>
      </c>
    </row>
    <row r="326" spans="1:37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441</v>
      </c>
      <c r="J326">
        <v>4</v>
      </c>
      <c r="K326" t="s">
        <v>39</v>
      </c>
      <c r="L326">
        <v>64</v>
      </c>
      <c r="M326">
        <v>3</v>
      </c>
      <c r="N326">
        <v>2</v>
      </c>
      <c r="O326" t="s">
        <v>47</v>
      </c>
      <c r="P326">
        <v>4</v>
      </c>
      <c r="Q326" t="s">
        <v>48</v>
      </c>
      <c r="R326" s="3">
        <v>5775</v>
      </c>
      <c r="S326">
        <v>11934</v>
      </c>
      <c r="T326">
        <v>1</v>
      </c>
      <c r="U326" t="s">
        <v>43</v>
      </c>
      <c r="V326" s="2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tr">
        <f t="shared" si="20"/>
        <v>26-35</v>
      </c>
      <c r="AH326" t="str">
        <f t="shared" si="21"/>
        <v>Mid</v>
      </c>
      <c r="AI326" s="1">
        <f>VLOOKUP(E326,Lookup_Tables!$A$3:$B$5,2,)</f>
        <v>6281.2528616024974</v>
      </c>
      <c r="AJ326" t="str">
        <f t="shared" si="22"/>
        <v>Below salary</v>
      </c>
      <c r="AK326" t="str">
        <f t="shared" si="23"/>
        <v>Low Risk</v>
      </c>
    </row>
    <row r="327" spans="1:37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48</v>
      </c>
      <c r="M327">
        <v>2</v>
      </c>
      <c r="N327">
        <v>3</v>
      </c>
      <c r="O327" t="s">
        <v>53</v>
      </c>
      <c r="P327">
        <v>3</v>
      </c>
      <c r="Q327" t="s">
        <v>48</v>
      </c>
      <c r="R327" s="3">
        <v>8943</v>
      </c>
      <c r="S327">
        <v>14034</v>
      </c>
      <c r="T327">
        <v>1</v>
      </c>
      <c r="U327" t="s">
        <v>43</v>
      </c>
      <c r="V327" s="2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tr">
        <f t="shared" si="20"/>
        <v>26-35</v>
      </c>
      <c r="AH327" t="str">
        <f t="shared" si="21"/>
        <v>High</v>
      </c>
      <c r="AI327" s="1">
        <f>VLOOKUP(E327,Lookup_Tables!$A$3:$B$5,2,)</f>
        <v>6281.2528616024974</v>
      </c>
      <c r="AJ327" t="str">
        <f t="shared" si="22"/>
        <v>Above salary</v>
      </c>
      <c r="AK327" t="str">
        <f t="shared" si="23"/>
        <v>Low Risk</v>
      </c>
    </row>
    <row r="328" spans="1:37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444</v>
      </c>
      <c r="J328">
        <v>3</v>
      </c>
      <c r="K328" t="s">
        <v>46</v>
      </c>
      <c r="L328">
        <v>54</v>
      </c>
      <c r="M328">
        <v>2</v>
      </c>
      <c r="N328">
        <v>5</v>
      </c>
      <c r="O328" t="s">
        <v>56</v>
      </c>
      <c r="P328">
        <v>4</v>
      </c>
      <c r="Q328" t="s">
        <v>48</v>
      </c>
      <c r="R328" s="3">
        <v>19272</v>
      </c>
      <c r="S328">
        <v>21141</v>
      </c>
      <c r="T328">
        <v>1</v>
      </c>
      <c r="U328" t="s">
        <v>43</v>
      </c>
      <c r="V328" s="2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tr">
        <f t="shared" si="20"/>
        <v>36-45</v>
      </c>
      <c r="AH328" t="str">
        <f t="shared" si="21"/>
        <v>Very High</v>
      </c>
      <c r="AI328" s="1">
        <f>VLOOKUP(E328,Lookup_Tables!$A$3:$B$5,2,)</f>
        <v>6281.2528616024974</v>
      </c>
      <c r="AJ328" t="str">
        <f t="shared" si="22"/>
        <v>Above salary</v>
      </c>
      <c r="AK328" t="str">
        <f t="shared" si="23"/>
        <v>Low Risk</v>
      </c>
    </row>
    <row r="329" spans="1:37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445</v>
      </c>
      <c r="J329">
        <v>4</v>
      </c>
      <c r="K329" t="s">
        <v>39</v>
      </c>
      <c r="L329">
        <v>41</v>
      </c>
      <c r="M329">
        <v>3</v>
      </c>
      <c r="N329">
        <v>2</v>
      </c>
      <c r="O329" t="s">
        <v>40</v>
      </c>
      <c r="P329">
        <v>3</v>
      </c>
      <c r="Q329" t="s">
        <v>48</v>
      </c>
      <c r="R329" s="3">
        <v>5238</v>
      </c>
      <c r="S329">
        <v>17778</v>
      </c>
      <c r="T329">
        <v>4</v>
      </c>
      <c r="U329" t="s">
        <v>35</v>
      </c>
      <c r="V329" s="2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tr">
        <f t="shared" si="20"/>
        <v>36-45</v>
      </c>
      <c r="AH329" t="str">
        <f t="shared" si="21"/>
        <v>Mid</v>
      </c>
      <c r="AI329" s="1">
        <f>VLOOKUP(E329,Lookup_Tables!$A$3:$B$5,2,)</f>
        <v>6959.17264573991</v>
      </c>
      <c r="AJ329" t="str">
        <f t="shared" si="22"/>
        <v>Below salary</v>
      </c>
      <c r="AK329" t="str">
        <f t="shared" si="23"/>
        <v>Medium Risk</v>
      </c>
    </row>
    <row r="330" spans="1:37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446</v>
      </c>
      <c r="J330">
        <v>2</v>
      </c>
      <c r="K330" t="s">
        <v>46</v>
      </c>
      <c r="L330">
        <v>46</v>
      </c>
      <c r="M330">
        <v>2</v>
      </c>
      <c r="N330">
        <v>2</v>
      </c>
      <c r="O330" t="s">
        <v>40</v>
      </c>
      <c r="P330">
        <v>4</v>
      </c>
      <c r="Q330" t="s">
        <v>41</v>
      </c>
      <c r="R330" s="3">
        <v>4682</v>
      </c>
      <c r="S330">
        <v>4317</v>
      </c>
      <c r="T330">
        <v>3</v>
      </c>
      <c r="U330" t="s">
        <v>43</v>
      </c>
      <c r="V330" s="2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tr">
        <f t="shared" si="20"/>
        <v>26-35</v>
      </c>
      <c r="AH330" t="str">
        <f t="shared" si="21"/>
        <v>Mid</v>
      </c>
      <c r="AI330" s="1">
        <f>VLOOKUP(E330,Lookup_Tables!$A$3:$B$5,2,)</f>
        <v>6959.17264573991</v>
      </c>
      <c r="AJ330" t="str">
        <f t="shared" si="22"/>
        <v>Below salary</v>
      </c>
      <c r="AK330" t="str">
        <f t="shared" si="23"/>
        <v>Low Risk</v>
      </c>
    </row>
    <row r="331" spans="1:37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46</v>
      </c>
      <c r="L331">
        <v>42</v>
      </c>
      <c r="M331">
        <v>3</v>
      </c>
      <c r="N331">
        <v>5</v>
      </c>
      <c r="O331" t="s">
        <v>58</v>
      </c>
      <c r="P331">
        <v>3</v>
      </c>
      <c r="Q331" t="s">
        <v>48</v>
      </c>
      <c r="R331" s="3">
        <v>18300</v>
      </c>
      <c r="S331">
        <v>16375</v>
      </c>
      <c r="T331">
        <v>4</v>
      </c>
      <c r="U331" t="s">
        <v>43</v>
      </c>
      <c r="V331" s="2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tr">
        <f t="shared" si="20"/>
        <v>46+</v>
      </c>
      <c r="AH331" t="str">
        <f t="shared" si="21"/>
        <v>Very High</v>
      </c>
      <c r="AI331" s="1">
        <f>VLOOKUP(E331,Lookup_Tables!$A$3:$B$5,2,)</f>
        <v>6281.2528616024974</v>
      </c>
      <c r="AJ331" t="str">
        <f t="shared" si="22"/>
        <v>Above salary</v>
      </c>
      <c r="AK331" t="str">
        <f t="shared" si="23"/>
        <v>Low Risk</v>
      </c>
    </row>
    <row r="332" spans="1:37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82</v>
      </c>
      <c r="M332">
        <v>2</v>
      </c>
      <c r="N332">
        <v>2</v>
      </c>
      <c r="O332" t="s">
        <v>50</v>
      </c>
      <c r="P332">
        <v>3</v>
      </c>
      <c r="Q332" t="s">
        <v>52</v>
      </c>
      <c r="R332" s="3">
        <v>5257</v>
      </c>
      <c r="S332">
        <v>6227</v>
      </c>
      <c r="T332">
        <v>1</v>
      </c>
      <c r="U332" t="s">
        <v>43</v>
      </c>
      <c r="V332" s="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tr">
        <f t="shared" si="20"/>
        <v>36-45</v>
      </c>
      <c r="AH332" t="str">
        <f t="shared" si="21"/>
        <v>Mid</v>
      </c>
      <c r="AI332" s="1">
        <f>VLOOKUP(E332,Lookup_Tables!$A$3:$B$5,2,)</f>
        <v>6281.2528616024974</v>
      </c>
      <c r="AJ332" t="str">
        <f t="shared" si="22"/>
        <v>Below salary</v>
      </c>
      <c r="AK332" t="str">
        <f t="shared" si="23"/>
        <v>Low Risk</v>
      </c>
    </row>
    <row r="333" spans="1:37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449</v>
      </c>
      <c r="J333">
        <v>3</v>
      </c>
      <c r="K333" t="s">
        <v>46</v>
      </c>
      <c r="L333">
        <v>73</v>
      </c>
      <c r="M333">
        <v>3</v>
      </c>
      <c r="N333">
        <v>2</v>
      </c>
      <c r="O333" t="s">
        <v>40</v>
      </c>
      <c r="P333">
        <v>2</v>
      </c>
      <c r="Q333" t="s">
        <v>48</v>
      </c>
      <c r="R333" s="3">
        <v>6349</v>
      </c>
      <c r="S333">
        <v>22107</v>
      </c>
      <c r="T333">
        <v>0</v>
      </c>
      <c r="U333" t="s">
        <v>35</v>
      </c>
      <c r="V333" s="2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tr">
        <f t="shared" si="20"/>
        <v>26-35</v>
      </c>
      <c r="AH333" t="str">
        <f t="shared" si="21"/>
        <v>Mid</v>
      </c>
      <c r="AI333" s="1">
        <f>VLOOKUP(E333,Lookup_Tables!$A$3:$B$5,2,)</f>
        <v>6959.17264573991</v>
      </c>
      <c r="AJ333" t="str">
        <f t="shared" si="22"/>
        <v>Below salary</v>
      </c>
      <c r="AK333" t="str">
        <f t="shared" si="23"/>
        <v>High Risk</v>
      </c>
    </row>
    <row r="334" spans="1:37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31</v>
      </c>
      <c r="M334">
        <v>3</v>
      </c>
      <c r="N334">
        <v>2</v>
      </c>
      <c r="O334" t="s">
        <v>47</v>
      </c>
      <c r="P334">
        <v>3</v>
      </c>
      <c r="Q334" t="s">
        <v>41</v>
      </c>
      <c r="R334" s="3">
        <v>4869</v>
      </c>
      <c r="S334">
        <v>16885</v>
      </c>
      <c r="T334">
        <v>3</v>
      </c>
      <c r="U334" t="s">
        <v>43</v>
      </c>
      <c r="V334" s="2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tr">
        <f t="shared" si="20"/>
        <v>46+</v>
      </c>
      <c r="AH334" t="str">
        <f t="shared" si="21"/>
        <v>Mid</v>
      </c>
      <c r="AI334" s="1">
        <f>VLOOKUP(E334,Lookup_Tables!$A$3:$B$5,2,)</f>
        <v>6281.2528616024974</v>
      </c>
      <c r="AJ334" t="str">
        <f t="shared" si="22"/>
        <v>Below salary</v>
      </c>
      <c r="AK334" t="str">
        <f t="shared" si="23"/>
        <v>Low Risk</v>
      </c>
    </row>
    <row r="335" spans="1:37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43</v>
      </c>
      <c r="M335">
        <v>3</v>
      </c>
      <c r="N335">
        <v>3</v>
      </c>
      <c r="O335" t="s">
        <v>54</v>
      </c>
      <c r="P335">
        <v>1</v>
      </c>
      <c r="Q335" t="s">
        <v>48</v>
      </c>
      <c r="R335" s="3">
        <v>9985</v>
      </c>
      <c r="S335">
        <v>9262</v>
      </c>
      <c r="T335">
        <v>8</v>
      </c>
      <c r="U335" t="s">
        <v>43</v>
      </c>
      <c r="V335" s="2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tr">
        <f t="shared" si="20"/>
        <v>36-45</v>
      </c>
      <c r="AH335" t="str">
        <f t="shared" si="21"/>
        <v>High</v>
      </c>
      <c r="AI335" s="1">
        <f>VLOOKUP(E335,Lookup_Tables!$A$3:$B$5,2,)</f>
        <v>6281.2528616024974</v>
      </c>
      <c r="AJ335" t="str">
        <f t="shared" si="22"/>
        <v>Above salary</v>
      </c>
      <c r="AK335" t="str">
        <f t="shared" si="23"/>
        <v>Medium Risk</v>
      </c>
    </row>
    <row r="336" spans="1:37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t="s">
        <v>46</v>
      </c>
      <c r="L336">
        <v>75</v>
      </c>
      <c r="M336">
        <v>3</v>
      </c>
      <c r="N336">
        <v>2</v>
      </c>
      <c r="O336" t="s">
        <v>47</v>
      </c>
      <c r="P336">
        <v>4</v>
      </c>
      <c r="Q336" t="s">
        <v>48</v>
      </c>
      <c r="R336" s="3">
        <v>3697</v>
      </c>
      <c r="S336">
        <v>9278</v>
      </c>
      <c r="T336">
        <v>9</v>
      </c>
      <c r="U336" t="s">
        <v>43</v>
      </c>
      <c r="V336" s="2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tr">
        <f t="shared" si="20"/>
        <v>36-45</v>
      </c>
      <c r="AH336" t="str">
        <f t="shared" si="21"/>
        <v>Mid</v>
      </c>
      <c r="AI336" s="1">
        <f>VLOOKUP(E336,Lookup_Tables!$A$3:$B$5,2,)</f>
        <v>6281.2528616024974</v>
      </c>
      <c r="AJ336" t="str">
        <f t="shared" si="22"/>
        <v>Below salary</v>
      </c>
      <c r="AK336" t="str">
        <f t="shared" si="23"/>
        <v>Low Risk</v>
      </c>
    </row>
    <row r="337" spans="1:37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453</v>
      </c>
      <c r="J337">
        <v>2</v>
      </c>
      <c r="K337" t="s">
        <v>46</v>
      </c>
      <c r="L337">
        <v>57</v>
      </c>
      <c r="M337">
        <v>1</v>
      </c>
      <c r="N337">
        <v>2</v>
      </c>
      <c r="O337" t="s">
        <v>40</v>
      </c>
      <c r="P337">
        <v>4</v>
      </c>
      <c r="Q337" t="s">
        <v>48</v>
      </c>
      <c r="R337" s="3">
        <v>7457</v>
      </c>
      <c r="S337">
        <v>13273</v>
      </c>
      <c r="T337">
        <v>2</v>
      </c>
      <c r="U337" t="s">
        <v>35</v>
      </c>
      <c r="V337" s="2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tr">
        <f t="shared" si="20"/>
        <v>36-45</v>
      </c>
      <c r="AH337" t="str">
        <f t="shared" si="21"/>
        <v>High</v>
      </c>
      <c r="AI337" s="1">
        <f>VLOOKUP(E337,Lookup_Tables!$A$3:$B$5,2,)</f>
        <v>6959.17264573991</v>
      </c>
      <c r="AJ337" t="str">
        <f t="shared" si="22"/>
        <v>Above salary</v>
      </c>
      <c r="AK337" t="str">
        <f t="shared" si="23"/>
        <v>Medium Risk</v>
      </c>
    </row>
    <row r="338" spans="1:37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t="s">
        <v>46</v>
      </c>
      <c r="L338">
        <v>77</v>
      </c>
      <c r="M338">
        <v>1</v>
      </c>
      <c r="N338">
        <v>1</v>
      </c>
      <c r="O338" t="s">
        <v>50</v>
      </c>
      <c r="P338">
        <v>1</v>
      </c>
      <c r="Q338" t="s">
        <v>48</v>
      </c>
      <c r="R338" s="3">
        <v>2119</v>
      </c>
      <c r="S338">
        <v>4759</v>
      </c>
      <c r="T338">
        <v>1</v>
      </c>
      <c r="U338" t="s">
        <v>35</v>
      </c>
      <c r="V338" s="2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tr">
        <f t="shared" si="20"/>
        <v>26-35</v>
      </c>
      <c r="AH338" t="str">
        <f t="shared" si="21"/>
        <v>Low</v>
      </c>
      <c r="AI338" s="1">
        <f>VLOOKUP(E338,Lookup_Tables!$A$3:$B$5,2,)</f>
        <v>6281.2528616024974</v>
      </c>
      <c r="AJ338" t="str">
        <f t="shared" si="22"/>
        <v>Below salary</v>
      </c>
      <c r="AK338" t="str">
        <f t="shared" si="23"/>
        <v>High Risk</v>
      </c>
    </row>
    <row r="339" spans="1:37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t="s">
        <v>46</v>
      </c>
      <c r="L339">
        <v>30</v>
      </c>
      <c r="M339">
        <v>2</v>
      </c>
      <c r="N339">
        <v>1</v>
      </c>
      <c r="O339" t="s">
        <v>50</v>
      </c>
      <c r="P339">
        <v>4</v>
      </c>
      <c r="Q339" t="s">
        <v>41</v>
      </c>
      <c r="R339" s="3">
        <v>3983</v>
      </c>
      <c r="S339">
        <v>7621</v>
      </c>
      <c r="T339">
        <v>0</v>
      </c>
      <c r="U339" t="s">
        <v>43</v>
      </c>
      <c r="V339" s="2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tr">
        <f t="shared" si="20"/>
        <v>26-35</v>
      </c>
      <c r="AH339" t="str">
        <f t="shared" si="21"/>
        <v>Mid</v>
      </c>
      <c r="AI339" s="1">
        <f>VLOOKUP(E339,Lookup_Tables!$A$3:$B$5,2,)</f>
        <v>6281.2528616024974</v>
      </c>
      <c r="AJ339" t="str">
        <f t="shared" si="22"/>
        <v>Below salary</v>
      </c>
      <c r="AK339" t="str">
        <f t="shared" si="23"/>
        <v>Low Risk</v>
      </c>
    </row>
    <row r="340" spans="1:37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456</v>
      </c>
      <c r="J340">
        <v>4</v>
      </c>
      <c r="K340" t="s">
        <v>39</v>
      </c>
      <c r="L340">
        <v>30</v>
      </c>
      <c r="M340">
        <v>2</v>
      </c>
      <c r="N340">
        <v>2</v>
      </c>
      <c r="O340" t="s">
        <v>40</v>
      </c>
      <c r="P340">
        <v>3</v>
      </c>
      <c r="Q340" t="s">
        <v>52</v>
      </c>
      <c r="R340" s="3">
        <v>6118</v>
      </c>
      <c r="S340">
        <v>5431</v>
      </c>
      <c r="T340">
        <v>1</v>
      </c>
      <c r="U340" t="s">
        <v>43</v>
      </c>
      <c r="V340" s="2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tr">
        <f t="shared" si="20"/>
        <v>26-35</v>
      </c>
      <c r="AH340" t="str">
        <f t="shared" si="21"/>
        <v>Mid</v>
      </c>
      <c r="AI340" s="1">
        <f>VLOOKUP(E340,Lookup_Tables!$A$3:$B$5,2,)</f>
        <v>6959.17264573991</v>
      </c>
      <c r="AJ340" t="str">
        <f t="shared" si="22"/>
        <v>Below salary</v>
      </c>
      <c r="AK340" t="str">
        <f t="shared" si="23"/>
        <v>Low Risk</v>
      </c>
    </row>
    <row r="341" spans="1:37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458</v>
      </c>
      <c r="J341">
        <v>2</v>
      </c>
      <c r="K341" t="s">
        <v>39</v>
      </c>
      <c r="L341">
        <v>56</v>
      </c>
      <c r="M341">
        <v>3</v>
      </c>
      <c r="N341">
        <v>2</v>
      </c>
      <c r="O341" t="s">
        <v>40</v>
      </c>
      <c r="P341">
        <v>2</v>
      </c>
      <c r="Q341" t="s">
        <v>48</v>
      </c>
      <c r="R341" s="3">
        <v>6214</v>
      </c>
      <c r="S341">
        <v>3415</v>
      </c>
      <c r="T341">
        <v>1</v>
      </c>
      <c r="U341" t="s">
        <v>43</v>
      </c>
      <c r="V341" s="2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tr">
        <f t="shared" si="20"/>
        <v>26-35</v>
      </c>
      <c r="AH341" t="str">
        <f t="shared" si="21"/>
        <v>Mid</v>
      </c>
      <c r="AI341" s="1">
        <f>VLOOKUP(E341,Lookup_Tables!$A$3:$B$5,2,)</f>
        <v>6959.17264573991</v>
      </c>
      <c r="AJ341" t="str">
        <f t="shared" si="22"/>
        <v>Below salary</v>
      </c>
      <c r="AK341" t="str">
        <f t="shared" si="23"/>
        <v>Medium Risk</v>
      </c>
    </row>
    <row r="342" spans="1:37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460</v>
      </c>
      <c r="J342">
        <v>4</v>
      </c>
      <c r="K342" t="s">
        <v>46</v>
      </c>
      <c r="L342">
        <v>61</v>
      </c>
      <c r="M342">
        <v>3</v>
      </c>
      <c r="N342">
        <v>2</v>
      </c>
      <c r="O342" t="s">
        <v>53</v>
      </c>
      <c r="P342">
        <v>4</v>
      </c>
      <c r="Q342" t="s">
        <v>52</v>
      </c>
      <c r="R342" s="3">
        <v>6347</v>
      </c>
      <c r="S342">
        <v>23177</v>
      </c>
      <c r="T342">
        <v>7</v>
      </c>
      <c r="U342" t="s">
        <v>43</v>
      </c>
      <c r="V342" s="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tr">
        <f t="shared" si="20"/>
        <v>36-45</v>
      </c>
      <c r="AH342" t="str">
        <f t="shared" si="21"/>
        <v>Mid</v>
      </c>
      <c r="AI342" s="1">
        <f>VLOOKUP(E342,Lookup_Tables!$A$3:$B$5,2,)</f>
        <v>6281.2528616024974</v>
      </c>
      <c r="AJ342" t="str">
        <f t="shared" si="22"/>
        <v>Above salary</v>
      </c>
      <c r="AK342" t="str">
        <f t="shared" si="23"/>
        <v>Low Risk</v>
      </c>
    </row>
    <row r="343" spans="1:37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46</v>
      </c>
      <c r="L343">
        <v>92</v>
      </c>
      <c r="M343">
        <v>2</v>
      </c>
      <c r="N343">
        <v>3</v>
      </c>
      <c r="O343" t="s">
        <v>58</v>
      </c>
      <c r="P343">
        <v>4</v>
      </c>
      <c r="Q343" t="s">
        <v>52</v>
      </c>
      <c r="R343" s="3">
        <v>11510</v>
      </c>
      <c r="S343">
        <v>15682</v>
      </c>
      <c r="T343">
        <v>0</v>
      </c>
      <c r="U343" t="s">
        <v>35</v>
      </c>
      <c r="V343" s="2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tr">
        <f t="shared" si="20"/>
        <v>36-45</v>
      </c>
      <c r="AH343" t="str">
        <f t="shared" si="21"/>
        <v>High</v>
      </c>
      <c r="AI343" s="1">
        <f>VLOOKUP(E343,Lookup_Tables!$A$3:$B$5,2,)</f>
        <v>6281.2528616024974</v>
      </c>
      <c r="AJ343" t="str">
        <f t="shared" si="22"/>
        <v>Above salary</v>
      </c>
      <c r="AK343" t="str">
        <f t="shared" si="23"/>
        <v>Medium Risk</v>
      </c>
    </row>
    <row r="344" spans="1:37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462</v>
      </c>
      <c r="J344">
        <v>3</v>
      </c>
      <c r="K344" t="s">
        <v>39</v>
      </c>
      <c r="L344">
        <v>39</v>
      </c>
      <c r="M344">
        <v>3</v>
      </c>
      <c r="N344">
        <v>3</v>
      </c>
      <c r="O344" t="s">
        <v>53</v>
      </c>
      <c r="P344">
        <v>4</v>
      </c>
      <c r="Q344" t="s">
        <v>41</v>
      </c>
      <c r="R344" s="3">
        <v>7143</v>
      </c>
      <c r="S344">
        <v>25713</v>
      </c>
      <c r="T344">
        <v>1</v>
      </c>
      <c r="U344" t="s">
        <v>35</v>
      </c>
      <c r="V344" s="2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tr">
        <f t="shared" si="20"/>
        <v>26-35</v>
      </c>
      <c r="AH344" t="str">
        <f t="shared" si="21"/>
        <v>High</v>
      </c>
      <c r="AI344" s="1">
        <f>VLOOKUP(E344,Lookup_Tables!$A$3:$B$5,2,)</f>
        <v>6281.2528616024974</v>
      </c>
      <c r="AJ344" t="str">
        <f t="shared" si="22"/>
        <v>Above salary</v>
      </c>
      <c r="AK344" t="str">
        <f t="shared" si="23"/>
        <v>Medium Risk</v>
      </c>
    </row>
    <row r="345" spans="1:37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463</v>
      </c>
      <c r="J345">
        <v>4</v>
      </c>
      <c r="K345" t="s">
        <v>39</v>
      </c>
      <c r="L345">
        <v>39</v>
      </c>
      <c r="M345">
        <v>2</v>
      </c>
      <c r="N345">
        <v>2</v>
      </c>
      <c r="O345" t="s">
        <v>40</v>
      </c>
      <c r="P345">
        <v>2</v>
      </c>
      <c r="Q345" t="s">
        <v>52</v>
      </c>
      <c r="R345" s="3">
        <v>8268</v>
      </c>
      <c r="S345">
        <v>11866</v>
      </c>
      <c r="T345">
        <v>1</v>
      </c>
      <c r="U345" t="s">
        <v>35</v>
      </c>
      <c r="V345" s="2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tr">
        <f t="shared" si="20"/>
        <v>26-35</v>
      </c>
      <c r="AH345" t="str">
        <f t="shared" si="21"/>
        <v>High</v>
      </c>
      <c r="AI345" s="1">
        <f>VLOOKUP(E345,Lookup_Tables!$A$3:$B$5,2,)</f>
        <v>6959.17264573991</v>
      </c>
      <c r="AJ345" t="str">
        <f t="shared" si="22"/>
        <v>Above salary</v>
      </c>
      <c r="AK345" t="str">
        <f t="shared" si="23"/>
        <v>High Risk</v>
      </c>
    </row>
    <row r="346" spans="1:37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464</v>
      </c>
      <c r="J346">
        <v>3</v>
      </c>
      <c r="K346" t="s">
        <v>46</v>
      </c>
      <c r="L346">
        <v>62</v>
      </c>
      <c r="M346">
        <v>3</v>
      </c>
      <c r="N346">
        <v>3</v>
      </c>
      <c r="O346" t="s">
        <v>53</v>
      </c>
      <c r="P346">
        <v>2</v>
      </c>
      <c r="Q346" t="s">
        <v>41</v>
      </c>
      <c r="R346" s="3">
        <v>8095</v>
      </c>
      <c r="S346">
        <v>18264</v>
      </c>
      <c r="T346">
        <v>0</v>
      </c>
      <c r="U346" t="s">
        <v>43</v>
      </c>
      <c r="V346" s="2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tr">
        <f t="shared" si="20"/>
        <v>26-35</v>
      </c>
      <c r="AH346" t="str">
        <f t="shared" si="21"/>
        <v>High</v>
      </c>
      <c r="AI346" s="1">
        <f>VLOOKUP(E346,Lookup_Tables!$A$3:$B$5,2,)</f>
        <v>6281.2528616024974</v>
      </c>
      <c r="AJ346" t="str">
        <f t="shared" si="22"/>
        <v>Above salary</v>
      </c>
      <c r="AK346" t="str">
        <f t="shared" si="23"/>
        <v>Medium Risk</v>
      </c>
    </row>
    <row r="347" spans="1:37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46</v>
      </c>
      <c r="L347">
        <v>83</v>
      </c>
      <c r="M347">
        <v>3</v>
      </c>
      <c r="N347">
        <v>1</v>
      </c>
      <c r="O347" t="s">
        <v>47</v>
      </c>
      <c r="P347">
        <v>4</v>
      </c>
      <c r="Q347" t="s">
        <v>52</v>
      </c>
      <c r="R347" s="3">
        <v>2904</v>
      </c>
      <c r="S347">
        <v>16092</v>
      </c>
      <c r="T347">
        <v>1</v>
      </c>
      <c r="U347" t="s">
        <v>43</v>
      </c>
      <c r="V347" s="2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tr">
        <f t="shared" si="20"/>
        <v>18-25</v>
      </c>
      <c r="AH347" t="str">
        <f t="shared" si="21"/>
        <v>Low</v>
      </c>
      <c r="AI347" s="1">
        <f>VLOOKUP(E347,Lookup_Tables!$A$3:$B$5,2,)</f>
        <v>6281.2528616024974</v>
      </c>
      <c r="AJ347" t="str">
        <f t="shared" si="22"/>
        <v>Below salary</v>
      </c>
      <c r="AK347" t="str">
        <f t="shared" si="23"/>
        <v>Low Risk</v>
      </c>
    </row>
    <row r="348" spans="1:37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466</v>
      </c>
      <c r="J348">
        <v>4</v>
      </c>
      <c r="K348" t="s">
        <v>46</v>
      </c>
      <c r="L348">
        <v>95</v>
      </c>
      <c r="M348">
        <v>2</v>
      </c>
      <c r="N348">
        <v>2</v>
      </c>
      <c r="O348" t="s">
        <v>53</v>
      </c>
      <c r="P348">
        <v>2</v>
      </c>
      <c r="Q348" t="s">
        <v>41</v>
      </c>
      <c r="R348" s="3">
        <v>6032</v>
      </c>
      <c r="S348">
        <v>10110</v>
      </c>
      <c r="T348">
        <v>6</v>
      </c>
      <c r="U348" t="s">
        <v>35</v>
      </c>
      <c r="V348" s="2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tr">
        <f t="shared" si="20"/>
        <v>36-45</v>
      </c>
      <c r="AH348" t="str">
        <f t="shared" si="21"/>
        <v>Mid</v>
      </c>
      <c r="AI348" s="1">
        <f>VLOOKUP(E348,Lookup_Tables!$A$3:$B$5,2,)</f>
        <v>6281.2528616024974</v>
      </c>
      <c r="AJ348" t="str">
        <f t="shared" si="22"/>
        <v>Below salary</v>
      </c>
      <c r="AK348" t="str">
        <f t="shared" si="23"/>
        <v>High Risk</v>
      </c>
    </row>
    <row r="349" spans="1:37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467</v>
      </c>
      <c r="J349">
        <v>2</v>
      </c>
      <c r="K349" t="s">
        <v>46</v>
      </c>
      <c r="L349">
        <v>99</v>
      </c>
      <c r="M349">
        <v>3</v>
      </c>
      <c r="N349">
        <v>2</v>
      </c>
      <c r="O349" t="s">
        <v>57</v>
      </c>
      <c r="P349">
        <v>3</v>
      </c>
      <c r="Q349" t="s">
        <v>41</v>
      </c>
      <c r="R349" s="3">
        <v>2976</v>
      </c>
      <c r="S349">
        <v>25751</v>
      </c>
      <c r="T349">
        <v>3</v>
      </c>
      <c r="U349" t="s">
        <v>43</v>
      </c>
      <c r="V349" s="2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tr">
        <f t="shared" si="20"/>
        <v>46+</v>
      </c>
      <c r="AH349" t="str">
        <f t="shared" si="21"/>
        <v>Low</v>
      </c>
      <c r="AI349" s="1">
        <f>VLOOKUP(E349,Lookup_Tables!$A$3:$B$5,2,)</f>
        <v>6959.17264573991</v>
      </c>
      <c r="AJ349" t="str">
        <f t="shared" si="22"/>
        <v>Below salary</v>
      </c>
      <c r="AK349" t="str">
        <f t="shared" si="23"/>
        <v>Low Risk</v>
      </c>
    </row>
    <row r="350" spans="1:37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44</v>
      </c>
      <c r="M350">
        <v>3</v>
      </c>
      <c r="N350">
        <v>4</v>
      </c>
      <c r="O350" t="s">
        <v>58</v>
      </c>
      <c r="P350">
        <v>4</v>
      </c>
      <c r="Q350" t="s">
        <v>41</v>
      </c>
      <c r="R350" s="3">
        <v>15992</v>
      </c>
      <c r="S350">
        <v>15901</v>
      </c>
      <c r="T350">
        <v>2</v>
      </c>
      <c r="U350" t="s">
        <v>43</v>
      </c>
      <c r="V350" s="2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tr">
        <f t="shared" si="20"/>
        <v>36-45</v>
      </c>
      <c r="AH350" t="str">
        <f t="shared" si="21"/>
        <v>Very High</v>
      </c>
      <c r="AI350" s="1">
        <f>VLOOKUP(E350,Lookup_Tables!$A$3:$B$5,2,)</f>
        <v>6281.2528616024974</v>
      </c>
      <c r="AJ350" t="str">
        <f t="shared" si="22"/>
        <v>Above salary</v>
      </c>
      <c r="AK350" t="str">
        <f t="shared" si="23"/>
        <v>Low Risk</v>
      </c>
    </row>
    <row r="351" spans="1:37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46</v>
      </c>
      <c r="L351">
        <v>61</v>
      </c>
      <c r="M351">
        <v>3</v>
      </c>
      <c r="N351">
        <v>2</v>
      </c>
      <c r="O351" t="s">
        <v>40</v>
      </c>
      <c r="P351">
        <v>3</v>
      </c>
      <c r="Q351" t="s">
        <v>48</v>
      </c>
      <c r="R351" s="3">
        <v>4649</v>
      </c>
      <c r="S351">
        <v>16928</v>
      </c>
      <c r="T351">
        <v>1</v>
      </c>
      <c r="U351" t="s">
        <v>43</v>
      </c>
      <c r="V351" s="2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tr">
        <f t="shared" si="20"/>
        <v>26-35</v>
      </c>
      <c r="AH351" t="str">
        <f t="shared" si="21"/>
        <v>Mid</v>
      </c>
      <c r="AI351" s="1">
        <f>VLOOKUP(E351,Lookup_Tables!$A$3:$B$5,2,)</f>
        <v>6959.17264573991</v>
      </c>
      <c r="AJ351" t="str">
        <f t="shared" si="22"/>
        <v>Below salary</v>
      </c>
      <c r="AK351" t="str">
        <f t="shared" si="23"/>
        <v>Low Risk</v>
      </c>
    </row>
    <row r="352" spans="1:37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470</v>
      </c>
      <c r="J352">
        <v>3</v>
      </c>
      <c r="K352" t="s">
        <v>46</v>
      </c>
      <c r="L352">
        <v>52</v>
      </c>
      <c r="M352">
        <v>3</v>
      </c>
      <c r="N352">
        <v>1</v>
      </c>
      <c r="O352" t="s">
        <v>61</v>
      </c>
      <c r="P352">
        <v>3</v>
      </c>
      <c r="Q352" t="s">
        <v>52</v>
      </c>
      <c r="R352" s="3">
        <v>2696</v>
      </c>
      <c r="S352">
        <v>24017</v>
      </c>
      <c r="T352">
        <v>0</v>
      </c>
      <c r="U352" t="s">
        <v>35</v>
      </c>
      <c r="V352" s="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tr">
        <f t="shared" si="20"/>
        <v>36-45</v>
      </c>
      <c r="AH352" t="str">
        <f t="shared" si="21"/>
        <v>Low</v>
      </c>
      <c r="AI352" s="1">
        <f>VLOOKUP(E352,Lookup_Tables!$A$3:$B$5,2,)</f>
        <v>6654.5079365079364</v>
      </c>
      <c r="AJ352" t="str">
        <f t="shared" si="22"/>
        <v>Below salary</v>
      </c>
      <c r="AK352" t="str">
        <f t="shared" si="23"/>
        <v>Medium Risk</v>
      </c>
    </row>
    <row r="353" spans="1:37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471</v>
      </c>
      <c r="J353">
        <v>3</v>
      </c>
      <c r="K353" t="s">
        <v>39</v>
      </c>
      <c r="L353">
        <v>75</v>
      </c>
      <c r="M353">
        <v>3</v>
      </c>
      <c r="N353">
        <v>1</v>
      </c>
      <c r="O353" t="s">
        <v>50</v>
      </c>
      <c r="P353">
        <v>2</v>
      </c>
      <c r="Q353" t="s">
        <v>48</v>
      </c>
      <c r="R353" s="3">
        <v>2370</v>
      </c>
      <c r="S353">
        <v>3956</v>
      </c>
      <c r="T353">
        <v>1</v>
      </c>
      <c r="U353" t="s">
        <v>43</v>
      </c>
      <c r="V353" s="2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tr">
        <f t="shared" si="20"/>
        <v>26-35</v>
      </c>
      <c r="AH353" t="str">
        <f t="shared" si="21"/>
        <v>Low</v>
      </c>
      <c r="AI353" s="1">
        <f>VLOOKUP(E353,Lookup_Tables!$A$3:$B$5,2,)</f>
        <v>6281.2528616024974</v>
      </c>
      <c r="AJ353" t="str">
        <f t="shared" si="22"/>
        <v>Below salary</v>
      </c>
      <c r="AK353" t="str">
        <f t="shared" si="23"/>
        <v>Medium Risk</v>
      </c>
    </row>
    <row r="354" spans="1:37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473</v>
      </c>
      <c r="J354">
        <v>1</v>
      </c>
      <c r="K354" t="s">
        <v>39</v>
      </c>
      <c r="L354">
        <v>91</v>
      </c>
      <c r="M354">
        <v>3</v>
      </c>
      <c r="N354">
        <v>3</v>
      </c>
      <c r="O354" t="s">
        <v>56</v>
      </c>
      <c r="P354">
        <v>3</v>
      </c>
      <c r="Q354" t="s">
        <v>48</v>
      </c>
      <c r="R354" s="3">
        <v>12504</v>
      </c>
      <c r="S354">
        <v>23978</v>
      </c>
      <c r="T354">
        <v>3</v>
      </c>
      <c r="U354" t="s">
        <v>43</v>
      </c>
      <c r="V354" s="2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tr">
        <f t="shared" si="20"/>
        <v>46+</v>
      </c>
      <c r="AH354" t="str">
        <f t="shared" si="21"/>
        <v>Very High</v>
      </c>
      <c r="AI354" s="1">
        <f>VLOOKUP(E354,Lookup_Tables!$A$3:$B$5,2,)</f>
        <v>6959.17264573991</v>
      </c>
      <c r="AJ354" t="str">
        <f t="shared" si="22"/>
        <v>Above salary</v>
      </c>
      <c r="AK354" t="str">
        <f t="shared" si="23"/>
        <v>Low Risk</v>
      </c>
    </row>
    <row r="355" spans="1:37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474</v>
      </c>
      <c r="J355">
        <v>3</v>
      </c>
      <c r="K355" t="s">
        <v>46</v>
      </c>
      <c r="L355">
        <v>51</v>
      </c>
      <c r="M355">
        <v>4</v>
      </c>
      <c r="N355">
        <v>2</v>
      </c>
      <c r="O355" t="s">
        <v>47</v>
      </c>
      <c r="P355">
        <v>1</v>
      </c>
      <c r="Q355" t="s">
        <v>52</v>
      </c>
      <c r="R355" s="3">
        <v>5974</v>
      </c>
      <c r="S355">
        <v>17001</v>
      </c>
      <c r="T355">
        <v>4</v>
      </c>
      <c r="U355" t="s">
        <v>35</v>
      </c>
      <c r="V355" s="2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tr">
        <f t="shared" si="20"/>
        <v>36-45</v>
      </c>
      <c r="AH355" t="str">
        <f t="shared" si="21"/>
        <v>Mid</v>
      </c>
      <c r="AI355" s="1">
        <f>VLOOKUP(E355,Lookup_Tables!$A$3:$B$5,2,)</f>
        <v>6281.2528616024974</v>
      </c>
      <c r="AJ355" t="str">
        <f t="shared" si="22"/>
        <v>Below salary</v>
      </c>
      <c r="AK355" t="str">
        <f t="shared" si="23"/>
        <v>High Risk</v>
      </c>
    </row>
    <row r="356" spans="1:37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475</v>
      </c>
      <c r="J356">
        <v>4</v>
      </c>
      <c r="K356" t="s">
        <v>39</v>
      </c>
      <c r="L356">
        <v>85</v>
      </c>
      <c r="M356">
        <v>3</v>
      </c>
      <c r="N356">
        <v>2</v>
      </c>
      <c r="O356" t="s">
        <v>40</v>
      </c>
      <c r="P356">
        <v>3</v>
      </c>
      <c r="Q356" t="s">
        <v>48</v>
      </c>
      <c r="R356" s="3">
        <v>4736</v>
      </c>
      <c r="S356">
        <v>6069</v>
      </c>
      <c r="T356">
        <v>7</v>
      </c>
      <c r="U356" t="s">
        <v>35</v>
      </c>
      <c r="V356" s="2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tr">
        <f t="shared" si="20"/>
        <v>26-35</v>
      </c>
      <c r="AH356" t="str">
        <f t="shared" si="21"/>
        <v>Mid</v>
      </c>
      <c r="AI356" s="1">
        <f>VLOOKUP(E356,Lookup_Tables!$A$3:$B$5,2,)</f>
        <v>6959.17264573991</v>
      </c>
      <c r="AJ356" t="str">
        <f t="shared" si="22"/>
        <v>Below salary</v>
      </c>
      <c r="AK356" t="str">
        <f t="shared" si="23"/>
        <v>Medium Risk</v>
      </c>
    </row>
    <row r="357" spans="1:37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46</v>
      </c>
      <c r="L357">
        <v>57</v>
      </c>
      <c r="M357">
        <v>3</v>
      </c>
      <c r="N357">
        <v>2</v>
      </c>
      <c r="O357" t="s">
        <v>40</v>
      </c>
      <c r="P357">
        <v>3</v>
      </c>
      <c r="Q357" t="s">
        <v>48</v>
      </c>
      <c r="R357" s="3">
        <v>5296</v>
      </c>
      <c r="S357">
        <v>20156</v>
      </c>
      <c r="T357">
        <v>1</v>
      </c>
      <c r="U357" t="s">
        <v>43</v>
      </c>
      <c r="V357" s="2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tr">
        <f t="shared" si="20"/>
        <v>26-35</v>
      </c>
      <c r="AH357" t="str">
        <f t="shared" si="21"/>
        <v>Mid</v>
      </c>
      <c r="AI357" s="1">
        <f>VLOOKUP(E357,Lookup_Tables!$A$3:$B$5,2,)</f>
        <v>6959.17264573991</v>
      </c>
      <c r="AJ357" t="str">
        <f t="shared" si="22"/>
        <v>Below salary</v>
      </c>
      <c r="AK357" t="str">
        <f t="shared" si="23"/>
        <v>Low Risk</v>
      </c>
    </row>
    <row r="358" spans="1:37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t="s">
        <v>46</v>
      </c>
      <c r="L358">
        <v>98</v>
      </c>
      <c r="M358">
        <v>2</v>
      </c>
      <c r="N358">
        <v>2</v>
      </c>
      <c r="O358" t="s">
        <v>54</v>
      </c>
      <c r="P358">
        <v>4</v>
      </c>
      <c r="Q358" t="s">
        <v>41</v>
      </c>
      <c r="R358" s="3">
        <v>6781</v>
      </c>
      <c r="S358">
        <v>17078</v>
      </c>
      <c r="T358">
        <v>3</v>
      </c>
      <c r="U358" t="s">
        <v>43</v>
      </c>
      <c r="V358" s="2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tr">
        <f t="shared" si="20"/>
        <v>36-45</v>
      </c>
      <c r="AH358" t="str">
        <f t="shared" si="21"/>
        <v>Mid</v>
      </c>
      <c r="AI358" s="1">
        <f>VLOOKUP(E358,Lookup_Tables!$A$3:$B$5,2,)</f>
        <v>6281.2528616024974</v>
      </c>
      <c r="AJ358" t="str">
        <f t="shared" si="22"/>
        <v>Above salary</v>
      </c>
      <c r="AK358" t="str">
        <f t="shared" si="23"/>
        <v>Low Risk</v>
      </c>
    </row>
    <row r="359" spans="1:37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478</v>
      </c>
      <c r="J359">
        <v>1</v>
      </c>
      <c r="K359" t="s">
        <v>39</v>
      </c>
      <c r="L359">
        <v>99</v>
      </c>
      <c r="M359">
        <v>2</v>
      </c>
      <c r="N359">
        <v>1</v>
      </c>
      <c r="O359" t="s">
        <v>57</v>
      </c>
      <c r="P359">
        <v>2</v>
      </c>
      <c r="Q359" t="s">
        <v>41</v>
      </c>
      <c r="R359" s="3">
        <v>2174</v>
      </c>
      <c r="S359">
        <v>9150</v>
      </c>
      <c r="T359">
        <v>1</v>
      </c>
      <c r="U359" t="s">
        <v>35</v>
      </c>
      <c r="V359" s="2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tr">
        <f t="shared" si="20"/>
        <v>18-25</v>
      </c>
      <c r="AH359" t="str">
        <f t="shared" si="21"/>
        <v>Low</v>
      </c>
      <c r="AI359" s="1">
        <f>VLOOKUP(E359,Lookup_Tables!$A$3:$B$5,2,)</f>
        <v>6959.17264573991</v>
      </c>
      <c r="AJ359" t="str">
        <f t="shared" si="22"/>
        <v>Below salary</v>
      </c>
      <c r="AK359" t="str">
        <f t="shared" si="23"/>
        <v>High Risk</v>
      </c>
    </row>
    <row r="360" spans="1:37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479</v>
      </c>
      <c r="J360">
        <v>4</v>
      </c>
      <c r="K360" t="s">
        <v>39</v>
      </c>
      <c r="L360">
        <v>45</v>
      </c>
      <c r="M360">
        <v>3</v>
      </c>
      <c r="N360">
        <v>2</v>
      </c>
      <c r="O360" t="s">
        <v>40</v>
      </c>
      <c r="P360">
        <v>4</v>
      </c>
      <c r="Q360" t="s">
        <v>41</v>
      </c>
      <c r="R360" s="3">
        <v>6653</v>
      </c>
      <c r="S360">
        <v>15276</v>
      </c>
      <c r="T360">
        <v>4</v>
      </c>
      <c r="U360" t="s">
        <v>43</v>
      </c>
      <c r="V360" s="2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tr">
        <f t="shared" si="20"/>
        <v>36-45</v>
      </c>
      <c r="AH360" t="str">
        <f t="shared" si="21"/>
        <v>Mid</v>
      </c>
      <c r="AI360" s="1">
        <f>VLOOKUP(E360,Lookup_Tables!$A$3:$B$5,2,)</f>
        <v>6959.17264573991</v>
      </c>
      <c r="AJ360" t="str">
        <f t="shared" si="22"/>
        <v>Below salary</v>
      </c>
      <c r="AK360" t="str">
        <f t="shared" si="23"/>
        <v>Low Risk</v>
      </c>
    </row>
    <row r="361" spans="1:37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481</v>
      </c>
      <c r="J361">
        <v>1</v>
      </c>
      <c r="K361" t="s">
        <v>46</v>
      </c>
      <c r="L361">
        <v>48</v>
      </c>
      <c r="M361">
        <v>2</v>
      </c>
      <c r="N361">
        <v>3</v>
      </c>
      <c r="O361" t="s">
        <v>40</v>
      </c>
      <c r="P361">
        <v>4</v>
      </c>
      <c r="Q361" t="s">
        <v>48</v>
      </c>
      <c r="R361" s="3">
        <v>9699</v>
      </c>
      <c r="S361">
        <v>7246</v>
      </c>
      <c r="T361">
        <v>4</v>
      </c>
      <c r="U361" t="s">
        <v>43</v>
      </c>
      <c r="V361" s="2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tr">
        <f t="shared" si="20"/>
        <v>36-45</v>
      </c>
      <c r="AH361" t="str">
        <f t="shared" si="21"/>
        <v>High</v>
      </c>
      <c r="AI361" s="1">
        <f>VLOOKUP(E361,Lookup_Tables!$A$3:$B$5,2,)</f>
        <v>6959.17264573991</v>
      </c>
      <c r="AJ361" t="str">
        <f t="shared" si="22"/>
        <v>Above salary</v>
      </c>
      <c r="AK361" t="str">
        <f t="shared" si="23"/>
        <v>Low Risk</v>
      </c>
    </row>
    <row r="362" spans="1:37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482</v>
      </c>
      <c r="J362">
        <v>4</v>
      </c>
      <c r="K362" t="s">
        <v>46</v>
      </c>
      <c r="L362">
        <v>88</v>
      </c>
      <c r="M362">
        <v>3</v>
      </c>
      <c r="N362">
        <v>2</v>
      </c>
      <c r="O362" t="s">
        <v>54</v>
      </c>
      <c r="P362">
        <v>3</v>
      </c>
      <c r="Q362" t="s">
        <v>48</v>
      </c>
      <c r="R362" s="3">
        <v>6755</v>
      </c>
      <c r="S362">
        <v>2967</v>
      </c>
      <c r="T362">
        <v>2</v>
      </c>
      <c r="U362" t="s">
        <v>43</v>
      </c>
      <c r="V362" s="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tr">
        <f t="shared" si="20"/>
        <v>46+</v>
      </c>
      <c r="AH362" t="str">
        <f t="shared" si="21"/>
        <v>Mid</v>
      </c>
      <c r="AI362" s="1">
        <f>VLOOKUP(E362,Lookup_Tables!$A$3:$B$5,2,)</f>
        <v>6281.2528616024974</v>
      </c>
      <c r="AJ362" t="str">
        <f t="shared" si="22"/>
        <v>Above salary</v>
      </c>
      <c r="AK362" t="str">
        <f t="shared" si="23"/>
        <v>Low Risk</v>
      </c>
    </row>
    <row r="363" spans="1:37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46</v>
      </c>
      <c r="M363">
        <v>4</v>
      </c>
      <c r="N363">
        <v>1</v>
      </c>
      <c r="O363" t="s">
        <v>50</v>
      </c>
      <c r="P363">
        <v>3</v>
      </c>
      <c r="Q363" t="s">
        <v>48</v>
      </c>
      <c r="R363" s="3">
        <v>2213</v>
      </c>
      <c r="S363">
        <v>22495</v>
      </c>
      <c r="T363">
        <v>3</v>
      </c>
      <c r="U363" t="s">
        <v>35</v>
      </c>
      <c r="V363" s="2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tr">
        <f t="shared" si="20"/>
        <v>36-45</v>
      </c>
      <c r="AH363" t="str">
        <f t="shared" si="21"/>
        <v>Low</v>
      </c>
      <c r="AI363" s="1">
        <f>VLOOKUP(E363,Lookup_Tables!$A$3:$B$5,2,)</f>
        <v>6281.2528616024974</v>
      </c>
      <c r="AJ363" t="str">
        <f t="shared" si="22"/>
        <v>Below salary</v>
      </c>
      <c r="AK363" t="str">
        <f t="shared" si="23"/>
        <v>Medium Risk</v>
      </c>
    </row>
    <row r="364" spans="1:37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484</v>
      </c>
      <c r="J364">
        <v>1</v>
      </c>
      <c r="K364" t="s">
        <v>46</v>
      </c>
      <c r="L364">
        <v>39</v>
      </c>
      <c r="M364">
        <v>3</v>
      </c>
      <c r="N364">
        <v>1</v>
      </c>
      <c r="O364" t="s">
        <v>57</v>
      </c>
      <c r="P364">
        <v>4</v>
      </c>
      <c r="Q364" t="s">
        <v>41</v>
      </c>
      <c r="R364" s="3">
        <v>2610</v>
      </c>
      <c r="S364">
        <v>2851</v>
      </c>
      <c r="T364">
        <v>1</v>
      </c>
      <c r="U364" t="s">
        <v>43</v>
      </c>
      <c r="V364" s="2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tr">
        <f t="shared" si="20"/>
        <v>18-25</v>
      </c>
      <c r="AH364" t="str">
        <f t="shared" si="21"/>
        <v>Low</v>
      </c>
      <c r="AI364" s="1">
        <f>VLOOKUP(E364,Lookup_Tables!$A$3:$B$5,2,)</f>
        <v>6959.17264573991</v>
      </c>
      <c r="AJ364" t="str">
        <f t="shared" si="22"/>
        <v>Below salary</v>
      </c>
      <c r="AK364" t="str">
        <f t="shared" si="23"/>
        <v>Low Risk</v>
      </c>
    </row>
    <row r="365" spans="1:37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485</v>
      </c>
      <c r="J365">
        <v>4</v>
      </c>
      <c r="K365" t="s">
        <v>39</v>
      </c>
      <c r="L365">
        <v>34</v>
      </c>
      <c r="M365">
        <v>3</v>
      </c>
      <c r="N365">
        <v>1</v>
      </c>
      <c r="O365" t="s">
        <v>57</v>
      </c>
      <c r="P365">
        <v>3</v>
      </c>
      <c r="Q365" t="s">
        <v>41</v>
      </c>
      <c r="R365" s="3">
        <v>2851</v>
      </c>
      <c r="S365">
        <v>9150</v>
      </c>
      <c r="T365">
        <v>1</v>
      </c>
      <c r="U365" t="s">
        <v>35</v>
      </c>
      <c r="V365" s="2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tr">
        <f t="shared" si="20"/>
        <v>26-35</v>
      </c>
      <c r="AH365" t="str">
        <f t="shared" si="21"/>
        <v>Low</v>
      </c>
      <c r="AI365" s="1">
        <f>VLOOKUP(E365,Lookup_Tables!$A$3:$B$5,2,)</f>
        <v>6959.17264573991</v>
      </c>
      <c r="AJ365" t="str">
        <f t="shared" si="22"/>
        <v>Below salary</v>
      </c>
      <c r="AK365" t="str">
        <f t="shared" si="23"/>
        <v>Medium Risk</v>
      </c>
    </row>
    <row r="366" spans="1:37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486</v>
      </c>
      <c r="J366">
        <v>3</v>
      </c>
      <c r="K366" t="s">
        <v>39</v>
      </c>
      <c r="L366">
        <v>98</v>
      </c>
      <c r="M366">
        <v>3</v>
      </c>
      <c r="N366">
        <v>1</v>
      </c>
      <c r="O366" t="s">
        <v>50</v>
      </c>
      <c r="P366">
        <v>1</v>
      </c>
      <c r="Q366" t="s">
        <v>48</v>
      </c>
      <c r="R366" s="3">
        <v>3452</v>
      </c>
      <c r="S366">
        <v>17663</v>
      </c>
      <c r="T366">
        <v>6</v>
      </c>
      <c r="U366" t="s">
        <v>43</v>
      </c>
      <c r="V366" s="2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tr">
        <f t="shared" si="20"/>
        <v>36-45</v>
      </c>
      <c r="AH366" t="str">
        <f t="shared" si="21"/>
        <v>Mid</v>
      </c>
      <c r="AI366" s="1">
        <f>VLOOKUP(E366,Lookup_Tables!$A$3:$B$5,2,)</f>
        <v>6281.2528616024974</v>
      </c>
      <c r="AJ366" t="str">
        <f t="shared" si="22"/>
        <v>Below salary</v>
      </c>
      <c r="AK366" t="str">
        <f t="shared" si="23"/>
        <v>Medium Risk</v>
      </c>
    </row>
    <row r="367" spans="1:37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487</v>
      </c>
      <c r="J367">
        <v>3</v>
      </c>
      <c r="K367" t="s">
        <v>39</v>
      </c>
      <c r="L367">
        <v>30</v>
      </c>
      <c r="M367">
        <v>3</v>
      </c>
      <c r="N367">
        <v>2</v>
      </c>
      <c r="O367" t="s">
        <v>53</v>
      </c>
      <c r="P367">
        <v>3</v>
      </c>
      <c r="Q367" t="s">
        <v>48</v>
      </c>
      <c r="R367" s="3">
        <v>5258</v>
      </c>
      <c r="S367">
        <v>16044</v>
      </c>
      <c r="T367">
        <v>2</v>
      </c>
      <c r="U367" t="s">
        <v>43</v>
      </c>
      <c r="V367" s="2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tr">
        <f t="shared" si="20"/>
        <v>46+</v>
      </c>
      <c r="AH367" t="str">
        <f t="shared" si="21"/>
        <v>Mid</v>
      </c>
      <c r="AI367" s="1">
        <f>VLOOKUP(E367,Lookup_Tables!$A$3:$B$5,2,)</f>
        <v>6281.2528616024974</v>
      </c>
      <c r="AJ367" t="str">
        <f t="shared" si="22"/>
        <v>Below salary</v>
      </c>
      <c r="AK367" t="str">
        <f t="shared" si="23"/>
        <v>Low Risk</v>
      </c>
    </row>
    <row r="368" spans="1:37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488</v>
      </c>
      <c r="J368">
        <v>1</v>
      </c>
      <c r="K368" t="s">
        <v>46</v>
      </c>
      <c r="L368">
        <v>56</v>
      </c>
      <c r="M368">
        <v>3</v>
      </c>
      <c r="N368">
        <v>2</v>
      </c>
      <c r="O368" t="s">
        <v>40</v>
      </c>
      <c r="P368">
        <v>2</v>
      </c>
      <c r="Q368" t="s">
        <v>41</v>
      </c>
      <c r="R368" s="3">
        <v>9355</v>
      </c>
      <c r="S368">
        <v>9558</v>
      </c>
      <c r="T368">
        <v>1</v>
      </c>
      <c r="U368" t="s">
        <v>43</v>
      </c>
      <c r="V368" s="2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tr">
        <f t="shared" si="20"/>
        <v>36-45</v>
      </c>
      <c r="AH368" t="str">
        <f t="shared" si="21"/>
        <v>High</v>
      </c>
      <c r="AI368" s="1">
        <f>VLOOKUP(E368,Lookup_Tables!$A$3:$B$5,2,)</f>
        <v>6959.17264573991</v>
      </c>
      <c r="AJ368" t="str">
        <f t="shared" si="22"/>
        <v>Above salary</v>
      </c>
      <c r="AK368" t="str">
        <f t="shared" si="23"/>
        <v>Medium Risk</v>
      </c>
    </row>
    <row r="369" spans="1:37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491</v>
      </c>
      <c r="J369">
        <v>4</v>
      </c>
      <c r="K369" t="s">
        <v>46</v>
      </c>
      <c r="L369">
        <v>100</v>
      </c>
      <c r="M369">
        <v>2</v>
      </c>
      <c r="N369">
        <v>3</v>
      </c>
      <c r="O369" t="s">
        <v>54</v>
      </c>
      <c r="P369">
        <v>4</v>
      </c>
      <c r="Q369" t="s">
        <v>41</v>
      </c>
      <c r="R369" s="3">
        <v>10496</v>
      </c>
      <c r="S369">
        <v>2755</v>
      </c>
      <c r="T369">
        <v>6</v>
      </c>
      <c r="U369" t="s">
        <v>43</v>
      </c>
      <c r="V369" s="2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tr">
        <f t="shared" si="20"/>
        <v>46+</v>
      </c>
      <c r="AH369" t="str">
        <f t="shared" si="21"/>
        <v>High</v>
      </c>
      <c r="AI369" s="1">
        <f>VLOOKUP(E369,Lookup_Tables!$A$3:$B$5,2,)</f>
        <v>6281.2528616024974</v>
      </c>
      <c r="AJ369" t="str">
        <f t="shared" si="22"/>
        <v>Above salary</v>
      </c>
      <c r="AK369" t="str">
        <f t="shared" si="23"/>
        <v>Low Risk</v>
      </c>
    </row>
    <row r="370" spans="1:37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492</v>
      </c>
      <c r="J370">
        <v>3</v>
      </c>
      <c r="K370" t="s">
        <v>46</v>
      </c>
      <c r="L370">
        <v>68</v>
      </c>
      <c r="M370">
        <v>2</v>
      </c>
      <c r="N370">
        <v>2</v>
      </c>
      <c r="O370" t="s">
        <v>40</v>
      </c>
      <c r="P370">
        <v>3</v>
      </c>
      <c r="Q370" t="s">
        <v>48</v>
      </c>
      <c r="R370" s="3">
        <v>6380</v>
      </c>
      <c r="S370">
        <v>6110</v>
      </c>
      <c r="T370">
        <v>2</v>
      </c>
      <c r="U370" t="s">
        <v>35</v>
      </c>
      <c r="V370" s="2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tr">
        <f t="shared" si="20"/>
        <v>36-45</v>
      </c>
      <c r="AH370" t="str">
        <f t="shared" si="21"/>
        <v>Mid</v>
      </c>
      <c r="AI370" s="1">
        <f>VLOOKUP(E370,Lookup_Tables!$A$3:$B$5,2,)</f>
        <v>6959.17264573991</v>
      </c>
      <c r="AJ370" t="str">
        <f t="shared" si="22"/>
        <v>Below salary</v>
      </c>
      <c r="AK370" t="str">
        <f t="shared" si="23"/>
        <v>Medium Risk</v>
      </c>
    </row>
    <row r="371" spans="1:37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46</v>
      </c>
      <c r="L371">
        <v>42</v>
      </c>
      <c r="M371">
        <v>2</v>
      </c>
      <c r="N371">
        <v>1</v>
      </c>
      <c r="O371" t="s">
        <v>47</v>
      </c>
      <c r="P371">
        <v>2</v>
      </c>
      <c r="Q371" t="s">
        <v>41</v>
      </c>
      <c r="R371" s="3">
        <v>2657</v>
      </c>
      <c r="S371">
        <v>7551</v>
      </c>
      <c r="T371">
        <v>0</v>
      </c>
      <c r="U371" t="s">
        <v>35</v>
      </c>
      <c r="V371" s="2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tr">
        <f t="shared" si="20"/>
        <v>26-35</v>
      </c>
      <c r="AH371" t="str">
        <f t="shared" si="21"/>
        <v>Low</v>
      </c>
      <c r="AI371" s="1">
        <f>VLOOKUP(E371,Lookup_Tables!$A$3:$B$5,2,)</f>
        <v>6281.2528616024974</v>
      </c>
      <c r="AJ371" t="str">
        <f t="shared" si="22"/>
        <v>Below salary</v>
      </c>
      <c r="AK371" t="str">
        <f t="shared" si="23"/>
        <v>High Risk</v>
      </c>
    </row>
    <row r="372" spans="1:37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90</v>
      </c>
      <c r="M372">
        <v>4</v>
      </c>
      <c r="N372">
        <v>1</v>
      </c>
      <c r="O372" t="s">
        <v>57</v>
      </c>
      <c r="P372">
        <v>2</v>
      </c>
      <c r="Q372" t="s">
        <v>41</v>
      </c>
      <c r="R372" s="3">
        <v>2716</v>
      </c>
      <c r="S372">
        <v>25422</v>
      </c>
      <c r="T372">
        <v>1</v>
      </c>
      <c r="U372" t="s">
        <v>43</v>
      </c>
      <c r="V372" s="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tr">
        <f t="shared" si="20"/>
        <v>18-25</v>
      </c>
      <c r="AH372" t="str">
        <f t="shared" si="21"/>
        <v>Low</v>
      </c>
      <c r="AI372" s="1">
        <f>VLOOKUP(E372,Lookup_Tables!$A$3:$B$5,2,)</f>
        <v>6959.17264573991</v>
      </c>
      <c r="AJ372" t="str">
        <f t="shared" si="22"/>
        <v>Below salary</v>
      </c>
      <c r="AK372" t="str">
        <f t="shared" si="23"/>
        <v>Medium Risk</v>
      </c>
    </row>
    <row r="373" spans="1:37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46</v>
      </c>
      <c r="L373">
        <v>54</v>
      </c>
      <c r="M373">
        <v>3</v>
      </c>
      <c r="N373">
        <v>1</v>
      </c>
      <c r="O373" t="s">
        <v>47</v>
      </c>
      <c r="P373">
        <v>4</v>
      </c>
      <c r="Q373" t="s">
        <v>41</v>
      </c>
      <c r="R373" s="3">
        <v>2201</v>
      </c>
      <c r="S373">
        <v>18168</v>
      </c>
      <c r="T373">
        <v>9</v>
      </c>
      <c r="U373" t="s">
        <v>43</v>
      </c>
      <c r="V373" s="2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tr">
        <f t="shared" si="20"/>
        <v>26-35</v>
      </c>
      <c r="AH373" t="str">
        <f t="shared" si="21"/>
        <v>Low</v>
      </c>
      <c r="AI373" s="1">
        <f>VLOOKUP(E373,Lookup_Tables!$A$3:$B$5,2,)</f>
        <v>6281.2528616024974</v>
      </c>
      <c r="AJ373" t="str">
        <f t="shared" si="22"/>
        <v>Below salary</v>
      </c>
      <c r="AK373" t="str">
        <f t="shared" si="23"/>
        <v>Low Risk</v>
      </c>
    </row>
    <row r="374" spans="1:37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46</v>
      </c>
      <c r="L374">
        <v>97</v>
      </c>
      <c r="M374">
        <v>2</v>
      </c>
      <c r="N374">
        <v>2</v>
      </c>
      <c r="O374" t="s">
        <v>54</v>
      </c>
      <c r="P374">
        <v>2</v>
      </c>
      <c r="Q374" t="s">
        <v>41</v>
      </c>
      <c r="R374" s="3">
        <v>6540</v>
      </c>
      <c r="S374">
        <v>19394</v>
      </c>
      <c r="T374">
        <v>9</v>
      </c>
      <c r="U374" t="s">
        <v>43</v>
      </c>
      <c r="V374" s="2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tr">
        <f t="shared" si="20"/>
        <v>26-35</v>
      </c>
      <c r="AH374" t="str">
        <f t="shared" si="21"/>
        <v>Mid</v>
      </c>
      <c r="AI374" s="1">
        <f>VLOOKUP(E374,Lookup_Tables!$A$3:$B$5,2,)</f>
        <v>6281.2528616024974</v>
      </c>
      <c r="AJ374" t="str">
        <f t="shared" si="22"/>
        <v>Above salary</v>
      </c>
      <c r="AK374" t="str">
        <f t="shared" si="23"/>
        <v>Medium Risk</v>
      </c>
    </row>
    <row r="375" spans="1:37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497</v>
      </c>
      <c r="J375">
        <v>4</v>
      </c>
      <c r="K375" t="s">
        <v>46</v>
      </c>
      <c r="L375">
        <v>82</v>
      </c>
      <c r="M375">
        <v>3</v>
      </c>
      <c r="N375">
        <v>1</v>
      </c>
      <c r="O375" t="s">
        <v>50</v>
      </c>
      <c r="P375">
        <v>2</v>
      </c>
      <c r="Q375" t="s">
        <v>52</v>
      </c>
      <c r="R375" s="3">
        <v>3816</v>
      </c>
      <c r="S375">
        <v>17881</v>
      </c>
      <c r="T375">
        <v>1</v>
      </c>
      <c r="U375" t="s">
        <v>43</v>
      </c>
      <c r="V375" s="2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tr">
        <f t="shared" si="20"/>
        <v>26-35</v>
      </c>
      <c r="AH375" t="str">
        <f t="shared" si="21"/>
        <v>Mid</v>
      </c>
      <c r="AI375" s="1">
        <f>VLOOKUP(E375,Lookup_Tables!$A$3:$B$5,2,)</f>
        <v>6281.2528616024974</v>
      </c>
      <c r="AJ375" t="str">
        <f t="shared" si="22"/>
        <v>Below salary</v>
      </c>
      <c r="AK375" t="str">
        <f t="shared" si="23"/>
        <v>Medium Risk</v>
      </c>
    </row>
    <row r="376" spans="1:37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46</v>
      </c>
      <c r="L376">
        <v>92</v>
      </c>
      <c r="M376">
        <v>3</v>
      </c>
      <c r="N376">
        <v>2</v>
      </c>
      <c r="O376" t="s">
        <v>40</v>
      </c>
      <c r="P376">
        <v>4</v>
      </c>
      <c r="Q376" t="s">
        <v>41</v>
      </c>
      <c r="R376" s="3">
        <v>5253</v>
      </c>
      <c r="S376">
        <v>20750</v>
      </c>
      <c r="T376">
        <v>1</v>
      </c>
      <c r="U376" t="s">
        <v>43</v>
      </c>
      <c r="V376" s="2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tr">
        <f t="shared" si="20"/>
        <v>26-35</v>
      </c>
      <c r="AH376" t="str">
        <f t="shared" si="21"/>
        <v>Mid</v>
      </c>
      <c r="AI376" s="1">
        <f>VLOOKUP(E376,Lookup_Tables!$A$3:$B$5,2,)</f>
        <v>6959.17264573991</v>
      </c>
      <c r="AJ376" t="str">
        <f t="shared" si="22"/>
        <v>Below salary</v>
      </c>
      <c r="AK376" t="str">
        <f t="shared" si="23"/>
        <v>Low Risk</v>
      </c>
    </row>
    <row r="377" spans="1:37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t="s">
        <v>46</v>
      </c>
      <c r="L377">
        <v>31</v>
      </c>
      <c r="M377">
        <v>2</v>
      </c>
      <c r="N377">
        <v>3</v>
      </c>
      <c r="O377" t="s">
        <v>54</v>
      </c>
      <c r="P377">
        <v>3</v>
      </c>
      <c r="Q377" t="s">
        <v>41</v>
      </c>
      <c r="R377" s="3">
        <v>10965</v>
      </c>
      <c r="S377">
        <v>12066</v>
      </c>
      <c r="T377">
        <v>8</v>
      </c>
      <c r="U377" t="s">
        <v>43</v>
      </c>
      <c r="V377" s="2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tr">
        <f t="shared" si="20"/>
        <v>46+</v>
      </c>
      <c r="AH377" t="str">
        <f t="shared" si="21"/>
        <v>High</v>
      </c>
      <c r="AI377" s="1">
        <f>VLOOKUP(E377,Lookup_Tables!$A$3:$B$5,2,)</f>
        <v>6281.2528616024974</v>
      </c>
      <c r="AJ377" t="str">
        <f t="shared" si="22"/>
        <v>Above salary</v>
      </c>
      <c r="AK377" t="str">
        <f t="shared" si="23"/>
        <v>Low Risk</v>
      </c>
    </row>
    <row r="378" spans="1:37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87</v>
      </c>
      <c r="M378">
        <v>3</v>
      </c>
      <c r="N378">
        <v>2</v>
      </c>
      <c r="O378" t="s">
        <v>40</v>
      </c>
      <c r="P378">
        <v>4</v>
      </c>
      <c r="Q378" t="s">
        <v>48</v>
      </c>
      <c r="R378" s="3">
        <v>4936</v>
      </c>
      <c r="S378">
        <v>14862</v>
      </c>
      <c r="T378">
        <v>4</v>
      </c>
      <c r="U378" t="s">
        <v>43</v>
      </c>
      <c r="V378" s="2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tr">
        <f t="shared" si="20"/>
        <v>46+</v>
      </c>
      <c r="AH378" t="str">
        <f t="shared" si="21"/>
        <v>Mid</v>
      </c>
      <c r="AI378" s="1">
        <f>VLOOKUP(E378,Lookup_Tables!$A$3:$B$5,2,)</f>
        <v>6959.17264573991</v>
      </c>
      <c r="AJ378" t="str">
        <f t="shared" si="22"/>
        <v>Below salary</v>
      </c>
      <c r="AK378" t="str">
        <f t="shared" si="23"/>
        <v>Low Risk</v>
      </c>
    </row>
    <row r="379" spans="1:37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96</v>
      </c>
      <c r="M379">
        <v>3</v>
      </c>
      <c r="N379">
        <v>1</v>
      </c>
      <c r="O379" t="s">
        <v>47</v>
      </c>
      <c r="P379">
        <v>3</v>
      </c>
      <c r="Q379" t="s">
        <v>48</v>
      </c>
      <c r="R379" s="3">
        <v>2543</v>
      </c>
      <c r="S379">
        <v>11868</v>
      </c>
      <c r="T379">
        <v>4</v>
      </c>
      <c r="U379" t="s">
        <v>43</v>
      </c>
      <c r="V379" s="2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tr">
        <f t="shared" si="20"/>
        <v>36-45</v>
      </c>
      <c r="AH379" t="str">
        <f t="shared" si="21"/>
        <v>Low</v>
      </c>
      <c r="AI379" s="1">
        <f>VLOOKUP(E379,Lookup_Tables!$A$3:$B$5,2,)</f>
        <v>6281.2528616024974</v>
      </c>
      <c r="AJ379" t="str">
        <f t="shared" si="22"/>
        <v>Below salary</v>
      </c>
      <c r="AK379" t="str">
        <f t="shared" si="23"/>
        <v>Low Risk</v>
      </c>
    </row>
    <row r="380" spans="1:37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502</v>
      </c>
      <c r="J380">
        <v>1</v>
      </c>
      <c r="K380" t="s">
        <v>46</v>
      </c>
      <c r="L380">
        <v>67</v>
      </c>
      <c r="M380">
        <v>4</v>
      </c>
      <c r="N380">
        <v>2</v>
      </c>
      <c r="O380" t="s">
        <v>40</v>
      </c>
      <c r="P380">
        <v>4</v>
      </c>
      <c r="Q380" t="s">
        <v>41</v>
      </c>
      <c r="R380" s="3">
        <v>5304</v>
      </c>
      <c r="S380">
        <v>4652</v>
      </c>
      <c r="T380">
        <v>8</v>
      </c>
      <c r="U380" t="s">
        <v>35</v>
      </c>
      <c r="V380" s="2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tr">
        <f t="shared" si="20"/>
        <v>26-35</v>
      </c>
      <c r="AH380" t="str">
        <f t="shared" si="21"/>
        <v>Mid</v>
      </c>
      <c r="AI380" s="1">
        <f>VLOOKUP(E380,Lookup_Tables!$A$3:$B$5,2,)</f>
        <v>6959.17264573991</v>
      </c>
      <c r="AJ380" t="str">
        <f t="shared" si="22"/>
        <v>Below salary</v>
      </c>
      <c r="AK380" t="str">
        <f t="shared" si="23"/>
        <v>Medium Risk</v>
      </c>
    </row>
    <row r="381" spans="1:37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97</v>
      </c>
      <c r="M381">
        <v>3</v>
      </c>
      <c r="N381">
        <v>4</v>
      </c>
      <c r="O381" t="s">
        <v>56</v>
      </c>
      <c r="P381">
        <v>4</v>
      </c>
      <c r="Q381" t="s">
        <v>41</v>
      </c>
      <c r="R381" s="3">
        <v>16659</v>
      </c>
      <c r="S381">
        <v>23258</v>
      </c>
      <c r="T381">
        <v>2</v>
      </c>
      <c r="U381" t="s">
        <v>35</v>
      </c>
      <c r="V381" s="2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tr">
        <f t="shared" si="20"/>
        <v>46+</v>
      </c>
      <c r="AH381" t="str">
        <f t="shared" si="21"/>
        <v>Very High</v>
      </c>
      <c r="AI381" s="1">
        <f>VLOOKUP(E381,Lookup_Tables!$A$3:$B$5,2,)</f>
        <v>6281.2528616024974</v>
      </c>
      <c r="AJ381" t="str">
        <f t="shared" si="22"/>
        <v>Above salary</v>
      </c>
      <c r="AK381" t="str">
        <f t="shared" si="23"/>
        <v>Medium Risk</v>
      </c>
    </row>
    <row r="382" spans="1:37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507</v>
      </c>
      <c r="J382">
        <v>4</v>
      </c>
      <c r="K382" t="s">
        <v>39</v>
      </c>
      <c r="L382">
        <v>77</v>
      </c>
      <c r="M382">
        <v>3</v>
      </c>
      <c r="N382">
        <v>2</v>
      </c>
      <c r="O382" t="s">
        <v>40</v>
      </c>
      <c r="P382">
        <v>3</v>
      </c>
      <c r="Q382" t="s">
        <v>52</v>
      </c>
      <c r="R382" s="3">
        <v>4260</v>
      </c>
      <c r="S382">
        <v>5915</v>
      </c>
      <c r="T382">
        <v>1</v>
      </c>
      <c r="U382" t="s">
        <v>35</v>
      </c>
      <c r="V382" s="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tr">
        <f t="shared" si="20"/>
        <v>18-25</v>
      </c>
      <c r="AH382" t="str">
        <f t="shared" si="21"/>
        <v>Mid</v>
      </c>
      <c r="AI382" s="1">
        <f>VLOOKUP(E382,Lookup_Tables!$A$3:$B$5,2,)</f>
        <v>6959.17264573991</v>
      </c>
      <c r="AJ382" t="str">
        <f t="shared" si="22"/>
        <v>Below salary</v>
      </c>
      <c r="AK382" t="str">
        <f t="shared" si="23"/>
        <v>Medium Risk</v>
      </c>
    </row>
    <row r="383" spans="1:37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508</v>
      </c>
      <c r="J383">
        <v>3</v>
      </c>
      <c r="K383" t="s">
        <v>46</v>
      </c>
      <c r="L383">
        <v>72</v>
      </c>
      <c r="M383">
        <v>3</v>
      </c>
      <c r="N383">
        <v>1</v>
      </c>
      <c r="O383" t="s">
        <v>57</v>
      </c>
      <c r="P383">
        <v>2</v>
      </c>
      <c r="Q383" t="s">
        <v>48</v>
      </c>
      <c r="R383" s="3">
        <v>2476</v>
      </c>
      <c r="S383">
        <v>17434</v>
      </c>
      <c r="T383">
        <v>1</v>
      </c>
      <c r="U383" t="s">
        <v>43</v>
      </c>
      <c r="V383" s="2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tr">
        <f t="shared" si="20"/>
        <v>26-35</v>
      </c>
      <c r="AH383" t="str">
        <f t="shared" si="21"/>
        <v>Low</v>
      </c>
      <c r="AI383" s="1">
        <f>VLOOKUP(E383,Lookup_Tables!$A$3:$B$5,2,)</f>
        <v>6959.17264573991</v>
      </c>
      <c r="AJ383" t="str">
        <f t="shared" si="22"/>
        <v>Below salary</v>
      </c>
      <c r="AK383" t="str">
        <f t="shared" si="23"/>
        <v>Medium Risk</v>
      </c>
    </row>
    <row r="384" spans="1:37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510</v>
      </c>
      <c r="J384">
        <v>3</v>
      </c>
      <c r="K384" t="s">
        <v>46</v>
      </c>
      <c r="L384">
        <v>73</v>
      </c>
      <c r="M384">
        <v>3</v>
      </c>
      <c r="N384">
        <v>1</v>
      </c>
      <c r="O384" t="s">
        <v>47</v>
      </c>
      <c r="P384">
        <v>1</v>
      </c>
      <c r="Q384" t="s">
        <v>41</v>
      </c>
      <c r="R384" s="3">
        <v>3102</v>
      </c>
      <c r="S384">
        <v>6582</v>
      </c>
      <c r="T384">
        <v>0</v>
      </c>
      <c r="U384" t="s">
        <v>43</v>
      </c>
      <c r="V384" s="2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tr">
        <f t="shared" si="20"/>
        <v>26-35</v>
      </c>
      <c r="AH384" t="str">
        <f t="shared" si="21"/>
        <v>Mid</v>
      </c>
      <c r="AI384" s="1">
        <f>VLOOKUP(E384,Lookup_Tables!$A$3:$B$5,2,)</f>
        <v>6281.2528616024974</v>
      </c>
      <c r="AJ384" t="str">
        <f t="shared" si="22"/>
        <v>Below salary</v>
      </c>
      <c r="AK384" t="str">
        <f t="shared" si="23"/>
        <v>Medium Risk</v>
      </c>
    </row>
    <row r="385" spans="1:37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511</v>
      </c>
      <c r="J385">
        <v>1</v>
      </c>
      <c r="K385" t="s">
        <v>39</v>
      </c>
      <c r="L385">
        <v>43</v>
      </c>
      <c r="M385">
        <v>3</v>
      </c>
      <c r="N385">
        <v>1</v>
      </c>
      <c r="O385" t="s">
        <v>47</v>
      </c>
      <c r="P385">
        <v>2</v>
      </c>
      <c r="Q385" t="s">
        <v>48</v>
      </c>
      <c r="R385" s="3">
        <v>2244</v>
      </c>
      <c r="S385">
        <v>24440</v>
      </c>
      <c r="T385">
        <v>1</v>
      </c>
      <c r="U385" t="s">
        <v>43</v>
      </c>
      <c r="V385" s="2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tr">
        <f t="shared" si="20"/>
        <v>18-25</v>
      </c>
      <c r="AH385" t="str">
        <f t="shared" si="21"/>
        <v>Low</v>
      </c>
      <c r="AI385" s="1">
        <f>VLOOKUP(E385,Lookup_Tables!$A$3:$B$5,2,)</f>
        <v>6281.2528616024974</v>
      </c>
      <c r="AJ385" t="str">
        <f t="shared" si="22"/>
        <v>Below salary</v>
      </c>
      <c r="AK385" t="str">
        <f t="shared" si="23"/>
        <v>Medium Risk</v>
      </c>
    </row>
    <row r="386" spans="1:37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513</v>
      </c>
      <c r="J386">
        <v>2</v>
      </c>
      <c r="K386" t="s">
        <v>46</v>
      </c>
      <c r="L386">
        <v>61</v>
      </c>
      <c r="M386">
        <v>2</v>
      </c>
      <c r="N386">
        <v>3</v>
      </c>
      <c r="O386" t="s">
        <v>40</v>
      </c>
      <c r="P386">
        <v>3</v>
      </c>
      <c r="Q386" t="s">
        <v>48</v>
      </c>
      <c r="R386" s="3">
        <v>7596</v>
      </c>
      <c r="S386">
        <v>3809</v>
      </c>
      <c r="T386">
        <v>1</v>
      </c>
      <c r="U386" t="s">
        <v>43</v>
      </c>
      <c r="V386" s="2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tr">
        <f t="shared" ref="AG386:AG449" si="24">IF(A386&lt;=25,"18-25",IF(A386&lt;= 35, "26-35",IF(A386&lt;=45, "36-45","46+")))</f>
        <v>36-45</v>
      </c>
      <c r="AH386" t="str">
        <f t="shared" ref="AH386:AH449" si="25">IF(R386&lt;3000,"Low",IF(R386&lt;7000,"Mid", IF(R386&lt;12000, "High", "Very High")))</f>
        <v>High</v>
      </c>
      <c r="AI386" s="1">
        <f>VLOOKUP(E386,Lookup_Tables!$A$3:$B$5,2,)</f>
        <v>6959.17264573991</v>
      </c>
      <c r="AJ386" t="str">
        <f t="shared" ref="AJ386:AJ449" si="26">IF(R386&gt;AI386, "Above salary","Below salary")</f>
        <v>Above salary</v>
      </c>
      <c r="AK386" t="str">
        <f t="shared" si="23"/>
        <v>Low Risk</v>
      </c>
    </row>
    <row r="387" spans="1:37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514</v>
      </c>
      <c r="J387">
        <v>3</v>
      </c>
      <c r="K387" t="s">
        <v>46</v>
      </c>
      <c r="L387">
        <v>40</v>
      </c>
      <c r="M387">
        <v>3</v>
      </c>
      <c r="N387">
        <v>1</v>
      </c>
      <c r="O387" t="s">
        <v>47</v>
      </c>
      <c r="P387">
        <v>4</v>
      </c>
      <c r="Q387" t="s">
        <v>41</v>
      </c>
      <c r="R387" s="3">
        <v>2285</v>
      </c>
      <c r="S387">
        <v>3427</v>
      </c>
      <c r="T387">
        <v>9</v>
      </c>
      <c r="U387" t="s">
        <v>35</v>
      </c>
      <c r="V387" s="2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tr">
        <f t="shared" si="24"/>
        <v>26-35</v>
      </c>
      <c r="AH387" t="str">
        <f t="shared" si="25"/>
        <v>Low</v>
      </c>
      <c r="AI387" s="1">
        <f>VLOOKUP(E387,Lookup_Tables!$A$3:$B$5,2,)</f>
        <v>6281.2528616024974</v>
      </c>
      <c r="AJ387" t="str">
        <f t="shared" si="26"/>
        <v>Below salary</v>
      </c>
      <c r="AK387" t="str">
        <f t="shared" ref="AK387:AK450" si="27">IF(AND(P387&lt;=2,U387="Yes"),"High Risk",IF(OR(P387&lt;=2,U387="Yes"),"Medium Risk","Low Risk"))</f>
        <v>Medium Risk</v>
      </c>
    </row>
    <row r="388" spans="1:37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95</v>
      </c>
      <c r="M388">
        <v>3</v>
      </c>
      <c r="N388">
        <v>1</v>
      </c>
      <c r="O388" t="s">
        <v>50</v>
      </c>
      <c r="P388">
        <v>1</v>
      </c>
      <c r="Q388" t="s">
        <v>52</v>
      </c>
      <c r="R388" s="3">
        <v>3034</v>
      </c>
      <c r="S388">
        <v>26914</v>
      </c>
      <c r="T388">
        <v>1</v>
      </c>
      <c r="U388" t="s">
        <v>43</v>
      </c>
      <c r="V388" s="2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tr">
        <f t="shared" si="24"/>
        <v>36-45</v>
      </c>
      <c r="AH388" t="str">
        <f t="shared" si="25"/>
        <v>Mid</v>
      </c>
      <c r="AI388" s="1">
        <f>VLOOKUP(E388,Lookup_Tables!$A$3:$B$5,2,)</f>
        <v>6281.2528616024974</v>
      </c>
      <c r="AJ388" t="str">
        <f t="shared" si="26"/>
        <v>Below salary</v>
      </c>
      <c r="AK388" t="str">
        <f t="shared" si="27"/>
        <v>Medium Risk</v>
      </c>
    </row>
    <row r="389" spans="1:37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516</v>
      </c>
      <c r="J389">
        <v>4</v>
      </c>
      <c r="K389" t="s">
        <v>39</v>
      </c>
      <c r="L389">
        <v>46</v>
      </c>
      <c r="M389">
        <v>3</v>
      </c>
      <c r="N389">
        <v>2</v>
      </c>
      <c r="O389" t="s">
        <v>40</v>
      </c>
      <c r="P389">
        <v>2</v>
      </c>
      <c r="Q389" t="s">
        <v>52</v>
      </c>
      <c r="R389" s="3">
        <v>5715</v>
      </c>
      <c r="S389">
        <v>22553</v>
      </c>
      <c r="T389">
        <v>7</v>
      </c>
      <c r="U389" t="s">
        <v>43</v>
      </c>
      <c r="V389" s="2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tr">
        <f t="shared" si="24"/>
        <v>36-45</v>
      </c>
      <c r="AH389" t="str">
        <f t="shared" si="25"/>
        <v>Mid</v>
      </c>
      <c r="AI389" s="1">
        <f>VLOOKUP(E389,Lookup_Tables!$A$3:$B$5,2,)</f>
        <v>6959.17264573991</v>
      </c>
      <c r="AJ389" t="str">
        <f t="shared" si="26"/>
        <v>Below salary</v>
      </c>
      <c r="AK389" t="str">
        <f t="shared" si="27"/>
        <v>Medium Risk</v>
      </c>
    </row>
    <row r="390" spans="1:37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95</v>
      </c>
      <c r="M390">
        <v>3</v>
      </c>
      <c r="N390">
        <v>1</v>
      </c>
      <c r="O390" t="s">
        <v>50</v>
      </c>
      <c r="P390">
        <v>1</v>
      </c>
      <c r="Q390" t="s">
        <v>52</v>
      </c>
      <c r="R390" s="3">
        <v>2576</v>
      </c>
      <c r="S390">
        <v>20490</v>
      </c>
      <c r="T390">
        <v>3</v>
      </c>
      <c r="U390" t="s">
        <v>43</v>
      </c>
      <c r="V390" s="2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tr">
        <f t="shared" si="24"/>
        <v>36-45</v>
      </c>
      <c r="AH390" t="str">
        <f t="shared" si="25"/>
        <v>Low</v>
      </c>
      <c r="AI390" s="1">
        <f>VLOOKUP(E390,Lookup_Tables!$A$3:$B$5,2,)</f>
        <v>6281.2528616024974</v>
      </c>
      <c r="AJ390" t="str">
        <f t="shared" si="26"/>
        <v>Below salary</v>
      </c>
      <c r="AK390" t="str">
        <f t="shared" si="27"/>
        <v>Medium Risk</v>
      </c>
    </row>
    <row r="391" spans="1:37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46</v>
      </c>
      <c r="L391">
        <v>49</v>
      </c>
      <c r="M391">
        <v>3</v>
      </c>
      <c r="N391">
        <v>2</v>
      </c>
      <c r="O391" t="s">
        <v>53</v>
      </c>
      <c r="P391">
        <v>2</v>
      </c>
      <c r="Q391" t="s">
        <v>41</v>
      </c>
      <c r="R391" s="3">
        <v>4197</v>
      </c>
      <c r="S391">
        <v>21123</v>
      </c>
      <c r="T391">
        <v>2</v>
      </c>
      <c r="U391" t="s">
        <v>35</v>
      </c>
      <c r="V391" s="2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tr">
        <f t="shared" si="24"/>
        <v>36-45</v>
      </c>
      <c r="AH391" t="str">
        <f t="shared" si="25"/>
        <v>Mid</v>
      </c>
      <c r="AI391" s="1">
        <f>VLOOKUP(E391,Lookup_Tables!$A$3:$B$5,2,)</f>
        <v>6281.2528616024974</v>
      </c>
      <c r="AJ391" t="str">
        <f t="shared" si="26"/>
        <v>Below salary</v>
      </c>
      <c r="AK391" t="str">
        <f t="shared" si="27"/>
        <v>High Risk</v>
      </c>
    </row>
    <row r="392" spans="1:37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46</v>
      </c>
      <c r="L392">
        <v>59</v>
      </c>
      <c r="M392">
        <v>2</v>
      </c>
      <c r="N392">
        <v>4</v>
      </c>
      <c r="O392" t="s">
        <v>58</v>
      </c>
      <c r="P392">
        <v>2</v>
      </c>
      <c r="Q392" t="s">
        <v>52</v>
      </c>
      <c r="R392" s="3">
        <v>14336</v>
      </c>
      <c r="S392">
        <v>4345</v>
      </c>
      <c r="T392">
        <v>1</v>
      </c>
      <c r="U392" t="s">
        <v>43</v>
      </c>
      <c r="V392" s="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tr">
        <f t="shared" si="24"/>
        <v>36-45</v>
      </c>
      <c r="AH392" t="str">
        <f t="shared" si="25"/>
        <v>Very High</v>
      </c>
      <c r="AI392" s="1">
        <f>VLOOKUP(E392,Lookup_Tables!$A$3:$B$5,2,)</f>
        <v>6281.2528616024974</v>
      </c>
      <c r="AJ392" t="str">
        <f t="shared" si="26"/>
        <v>Above salary</v>
      </c>
      <c r="AK392" t="str">
        <f t="shared" si="27"/>
        <v>Medium Risk</v>
      </c>
    </row>
    <row r="393" spans="1:37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521</v>
      </c>
      <c r="J393">
        <v>2</v>
      </c>
      <c r="K393" t="s">
        <v>39</v>
      </c>
      <c r="L393">
        <v>78</v>
      </c>
      <c r="M393">
        <v>2</v>
      </c>
      <c r="N393">
        <v>2</v>
      </c>
      <c r="O393" t="s">
        <v>50</v>
      </c>
      <c r="P393">
        <v>3</v>
      </c>
      <c r="Q393" t="s">
        <v>48</v>
      </c>
      <c r="R393" s="3">
        <v>3448</v>
      </c>
      <c r="S393">
        <v>13436</v>
      </c>
      <c r="T393">
        <v>6</v>
      </c>
      <c r="U393" t="s">
        <v>43</v>
      </c>
      <c r="V393" s="2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tr">
        <f t="shared" si="24"/>
        <v>36-45</v>
      </c>
      <c r="AH393" t="str">
        <f t="shared" si="25"/>
        <v>Mid</v>
      </c>
      <c r="AI393" s="1">
        <f>VLOOKUP(E393,Lookup_Tables!$A$3:$B$5,2,)</f>
        <v>6281.2528616024974</v>
      </c>
      <c r="AJ393" t="str">
        <f t="shared" si="26"/>
        <v>Below salary</v>
      </c>
      <c r="AK393" t="str">
        <f t="shared" si="27"/>
        <v>Low Risk</v>
      </c>
    </row>
    <row r="394" spans="1:37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522</v>
      </c>
      <c r="J394">
        <v>1</v>
      </c>
      <c r="K394" t="s">
        <v>46</v>
      </c>
      <c r="L394">
        <v>86</v>
      </c>
      <c r="M394">
        <v>3</v>
      </c>
      <c r="N394">
        <v>5</v>
      </c>
      <c r="O394" t="s">
        <v>58</v>
      </c>
      <c r="P394">
        <v>1</v>
      </c>
      <c r="Q394" t="s">
        <v>48</v>
      </c>
      <c r="R394" s="3">
        <v>19406</v>
      </c>
      <c r="S394">
        <v>8509</v>
      </c>
      <c r="T394">
        <v>4</v>
      </c>
      <c r="U394" t="s">
        <v>43</v>
      </c>
      <c r="V394" s="2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tr">
        <f t="shared" si="24"/>
        <v>46+</v>
      </c>
      <c r="AH394" t="str">
        <f t="shared" si="25"/>
        <v>Very High</v>
      </c>
      <c r="AI394" s="1">
        <f>VLOOKUP(E394,Lookup_Tables!$A$3:$B$5,2,)</f>
        <v>6281.2528616024974</v>
      </c>
      <c r="AJ394" t="str">
        <f t="shared" si="26"/>
        <v>Above salary</v>
      </c>
      <c r="AK394" t="str">
        <f t="shared" si="27"/>
        <v>Medium Risk</v>
      </c>
    </row>
    <row r="395" spans="1:37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523</v>
      </c>
      <c r="J395">
        <v>3</v>
      </c>
      <c r="K395" t="s">
        <v>39</v>
      </c>
      <c r="L395">
        <v>72</v>
      </c>
      <c r="M395">
        <v>3</v>
      </c>
      <c r="N395">
        <v>2</v>
      </c>
      <c r="O395" t="s">
        <v>40</v>
      </c>
      <c r="P395">
        <v>3</v>
      </c>
      <c r="Q395" t="s">
        <v>48</v>
      </c>
      <c r="R395" s="3">
        <v>6538</v>
      </c>
      <c r="S395">
        <v>12740</v>
      </c>
      <c r="T395">
        <v>9</v>
      </c>
      <c r="U395" t="s">
        <v>43</v>
      </c>
      <c r="V395" s="2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tr">
        <f t="shared" si="24"/>
        <v>26-35</v>
      </c>
      <c r="AH395" t="str">
        <f t="shared" si="25"/>
        <v>Mid</v>
      </c>
      <c r="AI395" s="1">
        <f>VLOOKUP(E395,Lookup_Tables!$A$3:$B$5,2,)</f>
        <v>6959.17264573991</v>
      </c>
      <c r="AJ395" t="str">
        <f t="shared" si="26"/>
        <v>Below salary</v>
      </c>
      <c r="AK395" t="str">
        <f t="shared" si="27"/>
        <v>Low Risk</v>
      </c>
    </row>
    <row r="396" spans="1:37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524</v>
      </c>
      <c r="J396">
        <v>2</v>
      </c>
      <c r="K396" t="s">
        <v>39</v>
      </c>
      <c r="L396">
        <v>31</v>
      </c>
      <c r="M396">
        <v>3</v>
      </c>
      <c r="N396">
        <v>2</v>
      </c>
      <c r="O396" t="s">
        <v>53</v>
      </c>
      <c r="P396">
        <v>1</v>
      </c>
      <c r="Q396" t="s">
        <v>48</v>
      </c>
      <c r="R396" s="3">
        <v>4306</v>
      </c>
      <c r="S396">
        <v>4156</v>
      </c>
      <c r="T396">
        <v>1</v>
      </c>
      <c r="U396" t="s">
        <v>43</v>
      </c>
      <c r="V396" s="2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tr">
        <f t="shared" si="24"/>
        <v>26-35</v>
      </c>
      <c r="AH396" t="str">
        <f t="shared" si="25"/>
        <v>Mid</v>
      </c>
      <c r="AI396" s="1">
        <f>VLOOKUP(E396,Lookup_Tables!$A$3:$B$5,2,)</f>
        <v>6281.2528616024974</v>
      </c>
      <c r="AJ396" t="str">
        <f t="shared" si="26"/>
        <v>Below salary</v>
      </c>
      <c r="AK396" t="str">
        <f t="shared" si="27"/>
        <v>Medium Risk</v>
      </c>
    </row>
    <row r="397" spans="1:37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525</v>
      </c>
      <c r="J397">
        <v>4</v>
      </c>
      <c r="K397" t="s">
        <v>46</v>
      </c>
      <c r="L397">
        <v>61</v>
      </c>
      <c r="M397">
        <v>3</v>
      </c>
      <c r="N397">
        <v>1</v>
      </c>
      <c r="O397" t="s">
        <v>50</v>
      </c>
      <c r="P397">
        <v>4</v>
      </c>
      <c r="Q397" t="s">
        <v>48</v>
      </c>
      <c r="R397" s="3">
        <v>2258</v>
      </c>
      <c r="S397">
        <v>15238</v>
      </c>
      <c r="T397">
        <v>7</v>
      </c>
      <c r="U397" t="s">
        <v>43</v>
      </c>
      <c r="V397" s="2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tr">
        <f t="shared" si="24"/>
        <v>36-45</v>
      </c>
      <c r="AH397" t="str">
        <f t="shared" si="25"/>
        <v>Low</v>
      </c>
      <c r="AI397" s="1">
        <f>VLOOKUP(E397,Lookup_Tables!$A$3:$B$5,2,)</f>
        <v>6281.2528616024974</v>
      </c>
      <c r="AJ397" t="str">
        <f t="shared" si="26"/>
        <v>Below salary</v>
      </c>
      <c r="AK397" t="str">
        <f t="shared" si="27"/>
        <v>Low Risk</v>
      </c>
    </row>
    <row r="398" spans="1:37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t="s">
        <v>39</v>
      </c>
      <c r="L398">
        <v>74</v>
      </c>
      <c r="M398">
        <v>3</v>
      </c>
      <c r="N398">
        <v>2</v>
      </c>
      <c r="O398" t="s">
        <v>54</v>
      </c>
      <c r="P398">
        <v>3</v>
      </c>
      <c r="Q398" t="s">
        <v>52</v>
      </c>
      <c r="R398" s="3">
        <v>4522</v>
      </c>
      <c r="S398">
        <v>2227</v>
      </c>
      <c r="T398">
        <v>4</v>
      </c>
      <c r="U398" t="s">
        <v>35</v>
      </c>
      <c r="V398" s="2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tr">
        <f t="shared" si="24"/>
        <v>36-45</v>
      </c>
      <c r="AH398" t="str">
        <f t="shared" si="25"/>
        <v>Mid</v>
      </c>
      <c r="AI398" s="1">
        <f>VLOOKUP(E398,Lookup_Tables!$A$3:$B$5,2,)</f>
        <v>6281.2528616024974</v>
      </c>
      <c r="AJ398" t="str">
        <f t="shared" si="26"/>
        <v>Below salary</v>
      </c>
      <c r="AK398" t="str">
        <f t="shared" si="27"/>
        <v>Medium Risk</v>
      </c>
    </row>
    <row r="399" spans="1:37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99</v>
      </c>
      <c r="M399">
        <v>2</v>
      </c>
      <c r="N399">
        <v>2</v>
      </c>
      <c r="O399" t="s">
        <v>40</v>
      </c>
      <c r="P399">
        <v>4</v>
      </c>
      <c r="Q399" t="s">
        <v>41</v>
      </c>
      <c r="R399" s="3">
        <v>4487</v>
      </c>
      <c r="S399">
        <v>12090</v>
      </c>
      <c r="T399">
        <v>1</v>
      </c>
      <c r="U399" t="s">
        <v>35</v>
      </c>
      <c r="V399" s="2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tr">
        <f t="shared" si="24"/>
        <v>18-25</v>
      </c>
      <c r="AH399" t="str">
        <f t="shared" si="25"/>
        <v>Mid</v>
      </c>
      <c r="AI399" s="1">
        <f>VLOOKUP(E399,Lookup_Tables!$A$3:$B$5,2,)</f>
        <v>6959.17264573991</v>
      </c>
      <c r="AJ399" t="str">
        <f t="shared" si="26"/>
        <v>Below salary</v>
      </c>
      <c r="AK399" t="str">
        <f t="shared" si="27"/>
        <v>Medium Risk</v>
      </c>
    </row>
    <row r="400" spans="1:37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529</v>
      </c>
      <c r="J400">
        <v>2</v>
      </c>
      <c r="K400" t="s">
        <v>39</v>
      </c>
      <c r="L400">
        <v>72</v>
      </c>
      <c r="M400">
        <v>3</v>
      </c>
      <c r="N400">
        <v>2</v>
      </c>
      <c r="O400" t="s">
        <v>47</v>
      </c>
      <c r="P400">
        <v>3</v>
      </c>
      <c r="Q400" t="s">
        <v>48</v>
      </c>
      <c r="R400" s="3">
        <v>4449</v>
      </c>
      <c r="S400">
        <v>23866</v>
      </c>
      <c r="T400">
        <v>3</v>
      </c>
      <c r="U400" t="s">
        <v>35</v>
      </c>
      <c r="V400" s="2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tr">
        <f t="shared" si="24"/>
        <v>36-45</v>
      </c>
      <c r="AH400" t="str">
        <f t="shared" si="25"/>
        <v>Mid</v>
      </c>
      <c r="AI400" s="1">
        <f>VLOOKUP(E400,Lookup_Tables!$A$3:$B$5,2,)</f>
        <v>6281.2528616024974</v>
      </c>
      <c r="AJ400" t="str">
        <f t="shared" si="26"/>
        <v>Below salary</v>
      </c>
      <c r="AK400" t="str">
        <f t="shared" si="27"/>
        <v>Medium Risk</v>
      </c>
    </row>
    <row r="401" spans="1:37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46</v>
      </c>
      <c r="L401">
        <v>98</v>
      </c>
      <c r="M401">
        <v>2</v>
      </c>
      <c r="N401">
        <v>1</v>
      </c>
      <c r="O401" t="s">
        <v>50</v>
      </c>
      <c r="P401">
        <v>1</v>
      </c>
      <c r="Q401" t="s">
        <v>48</v>
      </c>
      <c r="R401" s="3">
        <v>2218</v>
      </c>
      <c r="S401">
        <v>16193</v>
      </c>
      <c r="T401">
        <v>1</v>
      </c>
      <c r="U401" t="s">
        <v>43</v>
      </c>
      <c r="V401" s="2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tr">
        <f t="shared" si="24"/>
        <v>26-35</v>
      </c>
      <c r="AH401" t="str">
        <f t="shared" si="25"/>
        <v>Low</v>
      </c>
      <c r="AI401" s="1">
        <f>VLOOKUP(E401,Lookup_Tables!$A$3:$B$5,2,)</f>
        <v>6281.2528616024974</v>
      </c>
      <c r="AJ401" t="str">
        <f t="shared" si="26"/>
        <v>Below salary</v>
      </c>
      <c r="AK401" t="str">
        <f t="shared" si="27"/>
        <v>Medium Risk</v>
      </c>
    </row>
    <row r="402" spans="1:37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46</v>
      </c>
      <c r="L402">
        <v>52</v>
      </c>
      <c r="M402">
        <v>3</v>
      </c>
      <c r="N402">
        <v>5</v>
      </c>
      <c r="O402" t="s">
        <v>56</v>
      </c>
      <c r="P402">
        <v>3</v>
      </c>
      <c r="Q402" t="s">
        <v>52</v>
      </c>
      <c r="R402" s="3">
        <v>19197</v>
      </c>
      <c r="S402">
        <v>8213</v>
      </c>
      <c r="T402">
        <v>1</v>
      </c>
      <c r="U402" t="s">
        <v>35</v>
      </c>
      <c r="V402" s="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tr">
        <f t="shared" si="24"/>
        <v>36-45</v>
      </c>
      <c r="AH402" t="str">
        <f t="shared" si="25"/>
        <v>Very High</v>
      </c>
      <c r="AI402" s="1">
        <f>VLOOKUP(E402,Lookup_Tables!$A$3:$B$5,2,)</f>
        <v>6281.2528616024974</v>
      </c>
      <c r="AJ402" t="str">
        <f t="shared" si="26"/>
        <v>Above salary</v>
      </c>
      <c r="AK402" t="str">
        <f t="shared" si="27"/>
        <v>Medium Risk</v>
      </c>
    </row>
    <row r="403" spans="1:37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86</v>
      </c>
      <c r="M403">
        <v>4</v>
      </c>
      <c r="N403">
        <v>4</v>
      </c>
      <c r="O403" t="s">
        <v>40</v>
      </c>
      <c r="P403">
        <v>1</v>
      </c>
      <c r="Q403" t="s">
        <v>48</v>
      </c>
      <c r="R403" s="3">
        <v>13212</v>
      </c>
      <c r="S403">
        <v>18256</v>
      </c>
      <c r="T403">
        <v>9</v>
      </c>
      <c r="U403" t="s">
        <v>43</v>
      </c>
      <c r="V403" s="2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tr">
        <f t="shared" si="24"/>
        <v>46+</v>
      </c>
      <c r="AH403" t="str">
        <f t="shared" si="25"/>
        <v>Very High</v>
      </c>
      <c r="AI403" s="1">
        <f>VLOOKUP(E403,Lookup_Tables!$A$3:$B$5,2,)</f>
        <v>6959.17264573991</v>
      </c>
      <c r="AJ403" t="str">
        <f t="shared" si="26"/>
        <v>Above salary</v>
      </c>
      <c r="AK403" t="str">
        <f t="shared" si="27"/>
        <v>Medium Risk</v>
      </c>
    </row>
    <row r="404" spans="1:37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533</v>
      </c>
      <c r="J404">
        <v>2</v>
      </c>
      <c r="K404" t="s">
        <v>39</v>
      </c>
      <c r="L404">
        <v>83</v>
      </c>
      <c r="M404">
        <v>3</v>
      </c>
      <c r="N404">
        <v>2</v>
      </c>
      <c r="O404" t="s">
        <v>40</v>
      </c>
      <c r="P404">
        <v>3</v>
      </c>
      <c r="Q404" t="s">
        <v>41</v>
      </c>
      <c r="R404" s="3">
        <v>6577</v>
      </c>
      <c r="S404">
        <v>19558</v>
      </c>
      <c r="T404">
        <v>0</v>
      </c>
      <c r="U404" t="s">
        <v>43</v>
      </c>
      <c r="V404" s="2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tr">
        <f t="shared" si="24"/>
        <v>26-35</v>
      </c>
      <c r="AH404" t="str">
        <f t="shared" si="25"/>
        <v>Mid</v>
      </c>
      <c r="AI404" s="1">
        <f>VLOOKUP(E404,Lookup_Tables!$A$3:$B$5,2,)</f>
        <v>6959.17264573991</v>
      </c>
      <c r="AJ404" t="str">
        <f t="shared" si="26"/>
        <v>Below salary</v>
      </c>
      <c r="AK404" t="str">
        <f t="shared" si="27"/>
        <v>Low Risk</v>
      </c>
    </row>
    <row r="405" spans="1:37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534</v>
      </c>
      <c r="J405">
        <v>2</v>
      </c>
      <c r="K405" t="s">
        <v>46</v>
      </c>
      <c r="L405">
        <v>49</v>
      </c>
      <c r="M405">
        <v>4</v>
      </c>
      <c r="N405">
        <v>3</v>
      </c>
      <c r="O405" t="s">
        <v>40</v>
      </c>
      <c r="P405">
        <v>1</v>
      </c>
      <c r="Q405" t="s">
        <v>48</v>
      </c>
      <c r="R405" s="3">
        <v>8392</v>
      </c>
      <c r="S405">
        <v>19566</v>
      </c>
      <c r="T405">
        <v>1</v>
      </c>
      <c r="U405" t="s">
        <v>43</v>
      </c>
      <c r="V405" s="2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tr">
        <f t="shared" si="24"/>
        <v>36-45</v>
      </c>
      <c r="AH405" t="str">
        <f t="shared" si="25"/>
        <v>High</v>
      </c>
      <c r="AI405" s="1">
        <f>VLOOKUP(E405,Lookup_Tables!$A$3:$B$5,2,)</f>
        <v>6959.17264573991</v>
      </c>
      <c r="AJ405" t="str">
        <f t="shared" si="26"/>
        <v>Above salary</v>
      </c>
      <c r="AK405" t="str">
        <f t="shared" si="27"/>
        <v>Medium Risk</v>
      </c>
    </row>
    <row r="406" spans="1:37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536</v>
      </c>
      <c r="J406">
        <v>3</v>
      </c>
      <c r="K406" t="s">
        <v>46</v>
      </c>
      <c r="L406">
        <v>79</v>
      </c>
      <c r="M406">
        <v>3</v>
      </c>
      <c r="N406">
        <v>2</v>
      </c>
      <c r="O406" t="s">
        <v>50</v>
      </c>
      <c r="P406">
        <v>1</v>
      </c>
      <c r="Q406" t="s">
        <v>52</v>
      </c>
      <c r="R406" s="3">
        <v>4558</v>
      </c>
      <c r="S406">
        <v>13535</v>
      </c>
      <c r="T406">
        <v>1</v>
      </c>
      <c r="U406" t="s">
        <v>43</v>
      </c>
      <c r="V406" s="2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tr">
        <f t="shared" si="24"/>
        <v>26-35</v>
      </c>
      <c r="AH406" t="str">
        <f t="shared" si="25"/>
        <v>Mid</v>
      </c>
      <c r="AI406" s="1">
        <f>VLOOKUP(E406,Lookup_Tables!$A$3:$B$5,2,)</f>
        <v>6281.2528616024974</v>
      </c>
      <c r="AJ406" t="str">
        <f t="shared" si="26"/>
        <v>Below salary</v>
      </c>
      <c r="AK406" t="str">
        <f t="shared" si="27"/>
        <v>Medium Risk</v>
      </c>
    </row>
    <row r="407" spans="1:37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538</v>
      </c>
      <c r="J407">
        <v>1</v>
      </c>
      <c r="K407" t="s">
        <v>46</v>
      </c>
      <c r="L407">
        <v>91</v>
      </c>
      <c r="M407">
        <v>3</v>
      </c>
      <c r="N407">
        <v>1</v>
      </c>
      <c r="O407" t="s">
        <v>50</v>
      </c>
      <c r="P407">
        <v>1</v>
      </c>
      <c r="Q407" t="s">
        <v>48</v>
      </c>
      <c r="R407" s="3">
        <v>4031</v>
      </c>
      <c r="S407">
        <v>9396</v>
      </c>
      <c r="T407">
        <v>5</v>
      </c>
      <c r="U407" t="s">
        <v>43</v>
      </c>
      <c r="V407" s="2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tr">
        <f t="shared" si="24"/>
        <v>18-25</v>
      </c>
      <c r="AH407" t="str">
        <f t="shared" si="25"/>
        <v>Mid</v>
      </c>
      <c r="AI407" s="1">
        <f>VLOOKUP(E407,Lookup_Tables!$A$3:$B$5,2,)</f>
        <v>6281.2528616024974</v>
      </c>
      <c r="AJ407" t="str">
        <f t="shared" si="26"/>
        <v>Below salary</v>
      </c>
      <c r="AK407" t="str">
        <f t="shared" si="27"/>
        <v>Medium Risk</v>
      </c>
    </row>
    <row r="408" spans="1:37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543</v>
      </c>
      <c r="J408">
        <v>4</v>
      </c>
      <c r="K408" t="s">
        <v>46</v>
      </c>
      <c r="L408">
        <v>39</v>
      </c>
      <c r="M408">
        <v>2</v>
      </c>
      <c r="N408">
        <v>3</v>
      </c>
      <c r="O408" t="s">
        <v>53</v>
      </c>
      <c r="P408">
        <v>3</v>
      </c>
      <c r="Q408" t="s">
        <v>48</v>
      </c>
      <c r="R408" s="3">
        <v>7969</v>
      </c>
      <c r="S408">
        <v>19609</v>
      </c>
      <c r="T408">
        <v>2</v>
      </c>
      <c r="U408" t="s">
        <v>35</v>
      </c>
      <c r="V408" s="2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tr">
        <f t="shared" si="24"/>
        <v>46+</v>
      </c>
      <c r="AH408" t="str">
        <f t="shared" si="25"/>
        <v>High</v>
      </c>
      <c r="AI408" s="1">
        <f>VLOOKUP(E408,Lookup_Tables!$A$3:$B$5,2,)</f>
        <v>6281.2528616024974</v>
      </c>
      <c r="AJ408" t="str">
        <f t="shared" si="26"/>
        <v>Above salary</v>
      </c>
      <c r="AK408" t="str">
        <f t="shared" si="27"/>
        <v>Medium Risk</v>
      </c>
    </row>
    <row r="409" spans="1:37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46</v>
      </c>
      <c r="L409">
        <v>69</v>
      </c>
      <c r="M409">
        <v>3</v>
      </c>
      <c r="N409">
        <v>1</v>
      </c>
      <c r="O409" t="s">
        <v>47</v>
      </c>
      <c r="P409">
        <v>4</v>
      </c>
      <c r="Q409" t="s">
        <v>48</v>
      </c>
      <c r="R409" s="3">
        <v>2654</v>
      </c>
      <c r="S409">
        <v>9655</v>
      </c>
      <c r="T409">
        <v>3</v>
      </c>
      <c r="U409" t="s">
        <v>43</v>
      </c>
      <c r="V409" s="2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tr">
        <f t="shared" si="24"/>
        <v>36-45</v>
      </c>
      <c r="AH409" t="str">
        <f t="shared" si="25"/>
        <v>Low</v>
      </c>
      <c r="AI409" s="1">
        <f>VLOOKUP(E409,Lookup_Tables!$A$3:$B$5,2,)</f>
        <v>6281.2528616024974</v>
      </c>
      <c r="AJ409" t="str">
        <f t="shared" si="26"/>
        <v>Below salary</v>
      </c>
      <c r="AK409" t="str">
        <f t="shared" si="27"/>
        <v>Low Risk</v>
      </c>
    </row>
    <row r="410" spans="1:37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30</v>
      </c>
      <c r="M410">
        <v>3</v>
      </c>
      <c r="N410">
        <v>4</v>
      </c>
      <c r="O410" t="s">
        <v>56</v>
      </c>
      <c r="P410">
        <v>4</v>
      </c>
      <c r="Q410" t="s">
        <v>48</v>
      </c>
      <c r="R410" s="3">
        <v>16555</v>
      </c>
      <c r="S410">
        <v>10310</v>
      </c>
      <c r="T410">
        <v>2</v>
      </c>
      <c r="U410" t="s">
        <v>43</v>
      </c>
      <c r="V410" s="2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tr">
        <f t="shared" si="24"/>
        <v>46+</v>
      </c>
      <c r="AH410" t="str">
        <f t="shared" si="25"/>
        <v>Very High</v>
      </c>
      <c r="AI410" s="1">
        <f>VLOOKUP(E410,Lookup_Tables!$A$3:$B$5,2,)</f>
        <v>6281.2528616024974</v>
      </c>
      <c r="AJ410" t="str">
        <f t="shared" si="26"/>
        <v>Above salary</v>
      </c>
      <c r="AK410" t="str">
        <f t="shared" si="27"/>
        <v>Low Risk</v>
      </c>
    </row>
    <row r="411" spans="1:37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92</v>
      </c>
      <c r="M411">
        <v>3</v>
      </c>
      <c r="N411">
        <v>2</v>
      </c>
      <c r="O411" t="s">
        <v>47</v>
      </c>
      <c r="P411">
        <v>3</v>
      </c>
      <c r="Q411" t="s">
        <v>52</v>
      </c>
      <c r="R411" s="3">
        <v>4556</v>
      </c>
      <c r="S411">
        <v>12932</v>
      </c>
      <c r="T411">
        <v>2</v>
      </c>
      <c r="U411" t="s">
        <v>43</v>
      </c>
      <c r="V411" s="2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tr">
        <f t="shared" si="24"/>
        <v>36-45</v>
      </c>
      <c r="AH411" t="str">
        <f t="shared" si="25"/>
        <v>Mid</v>
      </c>
      <c r="AI411" s="1">
        <f>VLOOKUP(E411,Lookup_Tables!$A$3:$B$5,2,)</f>
        <v>6281.2528616024974</v>
      </c>
      <c r="AJ411" t="str">
        <f t="shared" si="26"/>
        <v>Below salary</v>
      </c>
      <c r="AK411" t="str">
        <f t="shared" si="27"/>
        <v>Low Risk</v>
      </c>
    </row>
    <row r="412" spans="1:37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43</v>
      </c>
      <c r="M412">
        <v>1</v>
      </c>
      <c r="N412">
        <v>2</v>
      </c>
      <c r="O412" t="s">
        <v>53</v>
      </c>
      <c r="P412">
        <v>4</v>
      </c>
      <c r="Q412" t="s">
        <v>41</v>
      </c>
      <c r="R412" s="3">
        <v>6091</v>
      </c>
      <c r="S412">
        <v>24793</v>
      </c>
      <c r="T412">
        <v>2</v>
      </c>
      <c r="U412" t="s">
        <v>43</v>
      </c>
      <c r="V412" s="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tr">
        <f t="shared" si="24"/>
        <v>26-35</v>
      </c>
      <c r="AH412" t="str">
        <f t="shared" si="25"/>
        <v>Mid</v>
      </c>
      <c r="AI412" s="1">
        <f>VLOOKUP(E412,Lookup_Tables!$A$3:$B$5,2,)</f>
        <v>6281.2528616024974</v>
      </c>
      <c r="AJ412" t="str">
        <f t="shared" si="26"/>
        <v>Below salary</v>
      </c>
      <c r="AK412" t="str">
        <f t="shared" si="27"/>
        <v>Low Risk</v>
      </c>
    </row>
    <row r="413" spans="1:37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41</v>
      </c>
      <c r="M413">
        <v>3</v>
      </c>
      <c r="N413">
        <v>5</v>
      </c>
      <c r="O413" t="s">
        <v>56</v>
      </c>
      <c r="P413">
        <v>1</v>
      </c>
      <c r="Q413" t="s">
        <v>48</v>
      </c>
      <c r="R413" s="3">
        <v>19566</v>
      </c>
      <c r="S413">
        <v>3854</v>
      </c>
      <c r="T413">
        <v>5</v>
      </c>
      <c r="U413" t="s">
        <v>43</v>
      </c>
      <c r="V413" s="2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tr">
        <f t="shared" si="24"/>
        <v>46+</v>
      </c>
      <c r="AH413" t="str">
        <f t="shared" si="25"/>
        <v>Very High</v>
      </c>
      <c r="AI413" s="1">
        <f>VLOOKUP(E413,Lookup_Tables!$A$3:$B$5,2,)</f>
        <v>6281.2528616024974</v>
      </c>
      <c r="AJ413" t="str">
        <f t="shared" si="26"/>
        <v>Above salary</v>
      </c>
      <c r="AK413" t="str">
        <f t="shared" si="27"/>
        <v>Medium Risk</v>
      </c>
    </row>
    <row r="414" spans="1:37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550</v>
      </c>
      <c r="J414">
        <v>3</v>
      </c>
      <c r="K414" t="s">
        <v>39</v>
      </c>
      <c r="L414">
        <v>87</v>
      </c>
      <c r="M414">
        <v>3</v>
      </c>
      <c r="N414">
        <v>2</v>
      </c>
      <c r="O414" t="s">
        <v>53</v>
      </c>
      <c r="P414">
        <v>3</v>
      </c>
      <c r="Q414" t="s">
        <v>52</v>
      </c>
      <c r="R414" s="3">
        <v>4810</v>
      </c>
      <c r="S414">
        <v>26314</v>
      </c>
      <c r="T414">
        <v>2</v>
      </c>
      <c r="U414" t="s">
        <v>43</v>
      </c>
      <c r="V414" s="2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tr">
        <f t="shared" si="24"/>
        <v>46+</v>
      </c>
      <c r="AH414" t="str">
        <f t="shared" si="25"/>
        <v>Mid</v>
      </c>
      <c r="AI414" s="1">
        <f>VLOOKUP(E414,Lookup_Tables!$A$3:$B$5,2,)</f>
        <v>6281.2528616024974</v>
      </c>
      <c r="AJ414" t="str">
        <f t="shared" si="26"/>
        <v>Below salary</v>
      </c>
      <c r="AK414" t="str">
        <f t="shared" si="27"/>
        <v>Low Risk</v>
      </c>
    </row>
    <row r="415" spans="1:37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551</v>
      </c>
      <c r="J415">
        <v>4</v>
      </c>
      <c r="K415" t="s">
        <v>39</v>
      </c>
      <c r="L415">
        <v>88</v>
      </c>
      <c r="M415">
        <v>2</v>
      </c>
      <c r="N415">
        <v>2</v>
      </c>
      <c r="O415" t="s">
        <v>54</v>
      </c>
      <c r="P415">
        <v>4</v>
      </c>
      <c r="Q415" t="s">
        <v>48</v>
      </c>
      <c r="R415" s="3">
        <v>4523</v>
      </c>
      <c r="S415">
        <v>4386</v>
      </c>
      <c r="T415">
        <v>0</v>
      </c>
      <c r="U415" t="s">
        <v>43</v>
      </c>
      <c r="V415" s="2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tr">
        <f t="shared" si="24"/>
        <v>36-45</v>
      </c>
      <c r="AH415" t="str">
        <f t="shared" si="25"/>
        <v>Mid</v>
      </c>
      <c r="AI415" s="1">
        <f>VLOOKUP(E415,Lookup_Tables!$A$3:$B$5,2,)</f>
        <v>6281.2528616024974</v>
      </c>
      <c r="AJ415" t="str">
        <f t="shared" si="26"/>
        <v>Below salary</v>
      </c>
      <c r="AK415" t="str">
        <f t="shared" si="27"/>
        <v>Low Risk</v>
      </c>
    </row>
    <row r="416" spans="1:37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554</v>
      </c>
      <c r="J416">
        <v>1</v>
      </c>
      <c r="K416" t="s">
        <v>39</v>
      </c>
      <c r="L416">
        <v>62</v>
      </c>
      <c r="M416">
        <v>3</v>
      </c>
      <c r="N416">
        <v>1</v>
      </c>
      <c r="O416" t="s">
        <v>57</v>
      </c>
      <c r="P416">
        <v>2</v>
      </c>
      <c r="Q416" t="s">
        <v>41</v>
      </c>
      <c r="R416" s="3">
        <v>3202</v>
      </c>
      <c r="S416">
        <v>21972</v>
      </c>
      <c r="T416">
        <v>1</v>
      </c>
      <c r="U416" t="s">
        <v>35</v>
      </c>
      <c r="V416" s="2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tr">
        <f t="shared" si="24"/>
        <v>18-25</v>
      </c>
      <c r="AH416" t="str">
        <f t="shared" si="25"/>
        <v>Mid</v>
      </c>
      <c r="AI416" s="1">
        <f>VLOOKUP(E416,Lookup_Tables!$A$3:$B$5,2,)</f>
        <v>6959.17264573991</v>
      </c>
      <c r="AJ416" t="str">
        <f t="shared" si="26"/>
        <v>Below salary</v>
      </c>
      <c r="AK416" t="str">
        <f t="shared" si="27"/>
        <v>High Risk</v>
      </c>
    </row>
    <row r="417" spans="1:37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555</v>
      </c>
      <c r="J417">
        <v>4</v>
      </c>
      <c r="K417" t="s">
        <v>39</v>
      </c>
      <c r="L417">
        <v>33</v>
      </c>
      <c r="M417">
        <v>1</v>
      </c>
      <c r="N417">
        <v>1</v>
      </c>
      <c r="O417" t="s">
        <v>57</v>
      </c>
      <c r="P417">
        <v>3</v>
      </c>
      <c r="Q417" t="s">
        <v>52</v>
      </c>
      <c r="R417" s="3">
        <v>2351</v>
      </c>
      <c r="S417">
        <v>12253</v>
      </c>
      <c r="T417">
        <v>0</v>
      </c>
      <c r="U417" t="s">
        <v>43</v>
      </c>
      <c r="V417" s="2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tr">
        <f t="shared" si="24"/>
        <v>26-35</v>
      </c>
      <c r="AH417" t="str">
        <f t="shared" si="25"/>
        <v>Low</v>
      </c>
      <c r="AI417" s="1">
        <f>VLOOKUP(E417,Lookup_Tables!$A$3:$B$5,2,)</f>
        <v>6959.17264573991</v>
      </c>
      <c r="AJ417" t="str">
        <f t="shared" si="26"/>
        <v>Below salary</v>
      </c>
      <c r="AK417" t="str">
        <f t="shared" si="27"/>
        <v>Low Risk</v>
      </c>
    </row>
    <row r="418" spans="1:37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46</v>
      </c>
      <c r="L418">
        <v>42</v>
      </c>
      <c r="M418">
        <v>3</v>
      </c>
      <c r="N418">
        <v>1</v>
      </c>
      <c r="O418" t="s">
        <v>50</v>
      </c>
      <c r="P418">
        <v>4</v>
      </c>
      <c r="Q418" t="s">
        <v>48</v>
      </c>
      <c r="R418" s="3">
        <v>1702</v>
      </c>
      <c r="S418">
        <v>12106</v>
      </c>
      <c r="T418">
        <v>1</v>
      </c>
      <c r="U418" t="s">
        <v>35</v>
      </c>
      <c r="V418" s="2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tr">
        <f t="shared" si="24"/>
        <v>36-45</v>
      </c>
      <c r="AH418" t="str">
        <f t="shared" si="25"/>
        <v>Low</v>
      </c>
      <c r="AI418" s="1">
        <f>VLOOKUP(E418,Lookup_Tables!$A$3:$B$5,2,)</f>
        <v>6281.2528616024974</v>
      </c>
      <c r="AJ418" t="str">
        <f t="shared" si="26"/>
        <v>Below salary</v>
      </c>
      <c r="AK418" t="str">
        <f t="shared" si="27"/>
        <v>Medium Risk</v>
      </c>
    </row>
    <row r="419" spans="1:37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79</v>
      </c>
      <c r="M419">
        <v>3</v>
      </c>
      <c r="N419">
        <v>5</v>
      </c>
      <c r="O419" t="s">
        <v>56</v>
      </c>
      <c r="P419">
        <v>3</v>
      </c>
      <c r="Q419" t="s">
        <v>48</v>
      </c>
      <c r="R419" s="3">
        <v>18041</v>
      </c>
      <c r="S419">
        <v>13022</v>
      </c>
      <c r="T419">
        <v>0</v>
      </c>
      <c r="U419" t="s">
        <v>43</v>
      </c>
      <c r="V419" s="2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tr">
        <f t="shared" si="24"/>
        <v>36-45</v>
      </c>
      <c r="AH419" t="str">
        <f t="shared" si="25"/>
        <v>Very High</v>
      </c>
      <c r="AI419" s="1">
        <f>VLOOKUP(E419,Lookup_Tables!$A$3:$B$5,2,)</f>
        <v>6959.17264573991</v>
      </c>
      <c r="AJ419" t="str">
        <f t="shared" si="26"/>
        <v>Above salary</v>
      </c>
      <c r="AK419" t="str">
        <f t="shared" si="27"/>
        <v>Low Risk</v>
      </c>
    </row>
    <row r="420" spans="1:37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90</v>
      </c>
      <c r="M420">
        <v>3</v>
      </c>
      <c r="N420">
        <v>1</v>
      </c>
      <c r="O420" t="s">
        <v>47</v>
      </c>
      <c r="P420">
        <v>4</v>
      </c>
      <c r="Q420" t="s">
        <v>52</v>
      </c>
      <c r="R420" s="3">
        <v>2886</v>
      </c>
      <c r="S420">
        <v>3032</v>
      </c>
      <c r="T420">
        <v>1</v>
      </c>
      <c r="U420" t="s">
        <v>43</v>
      </c>
      <c r="V420" s="2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tr">
        <f t="shared" si="24"/>
        <v>26-35</v>
      </c>
      <c r="AH420" t="str">
        <f t="shared" si="25"/>
        <v>Low</v>
      </c>
      <c r="AI420" s="1">
        <f>VLOOKUP(E420,Lookup_Tables!$A$3:$B$5,2,)</f>
        <v>6281.2528616024974</v>
      </c>
      <c r="AJ420" t="str">
        <f t="shared" si="26"/>
        <v>Below salary</v>
      </c>
      <c r="AK420" t="str">
        <f t="shared" si="27"/>
        <v>Low Risk</v>
      </c>
    </row>
    <row r="421" spans="1:37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46</v>
      </c>
      <c r="L421">
        <v>53</v>
      </c>
      <c r="M421">
        <v>3</v>
      </c>
      <c r="N421">
        <v>1</v>
      </c>
      <c r="O421" t="s">
        <v>50</v>
      </c>
      <c r="P421">
        <v>4</v>
      </c>
      <c r="Q421" t="s">
        <v>48</v>
      </c>
      <c r="R421" s="3">
        <v>2097</v>
      </c>
      <c r="S421">
        <v>16734</v>
      </c>
      <c r="T421">
        <v>4</v>
      </c>
      <c r="U421" t="s">
        <v>43</v>
      </c>
      <c r="V421" s="2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tr">
        <f t="shared" si="24"/>
        <v>26-35</v>
      </c>
      <c r="AH421" t="str">
        <f t="shared" si="25"/>
        <v>Low</v>
      </c>
      <c r="AI421" s="1">
        <f>VLOOKUP(E421,Lookup_Tables!$A$3:$B$5,2,)</f>
        <v>6281.2528616024974</v>
      </c>
      <c r="AJ421" t="str">
        <f t="shared" si="26"/>
        <v>Below salary</v>
      </c>
      <c r="AK421" t="str">
        <f t="shared" si="27"/>
        <v>Low Risk</v>
      </c>
    </row>
    <row r="422" spans="1:37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564</v>
      </c>
      <c r="J422">
        <v>2</v>
      </c>
      <c r="K422" t="s">
        <v>46</v>
      </c>
      <c r="L422">
        <v>93</v>
      </c>
      <c r="M422">
        <v>2</v>
      </c>
      <c r="N422">
        <v>3</v>
      </c>
      <c r="O422" t="s">
        <v>58</v>
      </c>
      <c r="P422">
        <v>3</v>
      </c>
      <c r="Q422" t="s">
        <v>48</v>
      </c>
      <c r="R422" s="3">
        <v>11935</v>
      </c>
      <c r="S422">
        <v>21526</v>
      </c>
      <c r="T422">
        <v>1</v>
      </c>
      <c r="U422" t="s">
        <v>43</v>
      </c>
      <c r="V422" s="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tr">
        <f t="shared" si="24"/>
        <v>26-35</v>
      </c>
      <c r="AH422" t="str">
        <f t="shared" si="25"/>
        <v>High</v>
      </c>
      <c r="AI422" s="1">
        <f>VLOOKUP(E422,Lookup_Tables!$A$3:$B$5,2,)</f>
        <v>6281.2528616024974</v>
      </c>
      <c r="AJ422" t="str">
        <f t="shared" si="26"/>
        <v>Above salary</v>
      </c>
      <c r="AK422" t="str">
        <f t="shared" si="27"/>
        <v>Low Risk</v>
      </c>
    </row>
    <row r="423" spans="1:37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565</v>
      </c>
      <c r="J423">
        <v>3</v>
      </c>
      <c r="K423" t="s">
        <v>39</v>
      </c>
      <c r="L423">
        <v>71</v>
      </c>
      <c r="M423">
        <v>2</v>
      </c>
      <c r="N423">
        <v>1</v>
      </c>
      <c r="O423" t="s">
        <v>47</v>
      </c>
      <c r="P423">
        <v>2</v>
      </c>
      <c r="Q423" t="s">
        <v>48</v>
      </c>
      <c r="R423" s="3">
        <v>2546</v>
      </c>
      <c r="S423">
        <v>18300</v>
      </c>
      <c r="T423">
        <v>5</v>
      </c>
      <c r="U423" t="s">
        <v>43</v>
      </c>
      <c r="V423" s="2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tr">
        <f t="shared" si="24"/>
        <v>26-35</v>
      </c>
      <c r="AH423" t="str">
        <f t="shared" si="25"/>
        <v>Low</v>
      </c>
      <c r="AI423" s="1">
        <f>VLOOKUP(E423,Lookup_Tables!$A$3:$B$5,2,)</f>
        <v>6281.2528616024974</v>
      </c>
      <c r="AJ423" t="str">
        <f t="shared" si="26"/>
        <v>Below salary</v>
      </c>
      <c r="AK423" t="str">
        <f t="shared" si="27"/>
        <v>Medium Risk</v>
      </c>
    </row>
    <row r="424" spans="1:37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566</v>
      </c>
      <c r="J424">
        <v>1</v>
      </c>
      <c r="K424" t="s">
        <v>46</v>
      </c>
      <c r="L424">
        <v>52</v>
      </c>
      <c r="M424">
        <v>2</v>
      </c>
      <c r="N424">
        <v>1</v>
      </c>
      <c r="O424" t="s">
        <v>61</v>
      </c>
      <c r="P424">
        <v>4</v>
      </c>
      <c r="Q424" t="s">
        <v>41</v>
      </c>
      <c r="R424" s="3">
        <v>2564</v>
      </c>
      <c r="S424">
        <v>18437</v>
      </c>
      <c r="T424">
        <v>1</v>
      </c>
      <c r="U424" t="s">
        <v>43</v>
      </c>
      <c r="V424" s="2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tr">
        <f t="shared" si="24"/>
        <v>18-25</v>
      </c>
      <c r="AH424" t="str">
        <f t="shared" si="25"/>
        <v>Low</v>
      </c>
      <c r="AI424" s="1">
        <f>VLOOKUP(E424,Lookup_Tables!$A$3:$B$5,2,)</f>
        <v>6654.5079365079364</v>
      </c>
      <c r="AJ424" t="str">
        <f t="shared" si="26"/>
        <v>Below salary</v>
      </c>
      <c r="AK424" t="str">
        <f t="shared" si="27"/>
        <v>Low Risk</v>
      </c>
    </row>
    <row r="425" spans="1:37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567</v>
      </c>
      <c r="J425">
        <v>3</v>
      </c>
      <c r="K425" t="s">
        <v>39</v>
      </c>
      <c r="L425">
        <v>69</v>
      </c>
      <c r="M425">
        <v>3</v>
      </c>
      <c r="N425">
        <v>3</v>
      </c>
      <c r="O425" t="s">
        <v>40</v>
      </c>
      <c r="P425">
        <v>1</v>
      </c>
      <c r="Q425" t="s">
        <v>48</v>
      </c>
      <c r="R425" s="3">
        <v>8412</v>
      </c>
      <c r="S425">
        <v>2890</v>
      </c>
      <c r="T425">
        <v>0</v>
      </c>
      <c r="U425" t="s">
        <v>43</v>
      </c>
      <c r="V425" s="2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tr">
        <f t="shared" si="24"/>
        <v>26-35</v>
      </c>
      <c r="AH425" t="str">
        <f t="shared" si="25"/>
        <v>High</v>
      </c>
      <c r="AI425" s="1">
        <f>VLOOKUP(E425,Lookup_Tables!$A$3:$B$5,2,)</f>
        <v>6959.17264573991</v>
      </c>
      <c r="AJ425" t="str">
        <f t="shared" si="26"/>
        <v>Above salary</v>
      </c>
      <c r="AK425" t="str">
        <f t="shared" si="27"/>
        <v>Medium Risk</v>
      </c>
    </row>
    <row r="426" spans="1:37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568</v>
      </c>
      <c r="J426">
        <v>1</v>
      </c>
      <c r="K426" t="s">
        <v>46</v>
      </c>
      <c r="L426">
        <v>56</v>
      </c>
      <c r="M426">
        <v>2</v>
      </c>
      <c r="N426">
        <v>4</v>
      </c>
      <c r="O426" t="s">
        <v>56</v>
      </c>
      <c r="P426">
        <v>4</v>
      </c>
      <c r="Q426" t="s">
        <v>52</v>
      </c>
      <c r="R426" s="3">
        <v>14118</v>
      </c>
      <c r="S426">
        <v>22102</v>
      </c>
      <c r="T426">
        <v>3</v>
      </c>
      <c r="U426" t="s">
        <v>43</v>
      </c>
      <c r="V426" s="2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tr">
        <f t="shared" si="24"/>
        <v>46+</v>
      </c>
      <c r="AH426" t="str">
        <f t="shared" si="25"/>
        <v>Very High</v>
      </c>
      <c r="AI426" s="1">
        <f>VLOOKUP(E426,Lookup_Tables!$A$3:$B$5,2,)</f>
        <v>6959.17264573991</v>
      </c>
      <c r="AJ426" t="str">
        <f t="shared" si="26"/>
        <v>Above salary</v>
      </c>
      <c r="AK426" t="str">
        <f t="shared" si="27"/>
        <v>Low Risk</v>
      </c>
    </row>
    <row r="427" spans="1:37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46</v>
      </c>
      <c r="L427">
        <v>88</v>
      </c>
      <c r="M427">
        <v>2</v>
      </c>
      <c r="N427">
        <v>4</v>
      </c>
      <c r="O427" t="s">
        <v>56</v>
      </c>
      <c r="P427">
        <v>3</v>
      </c>
      <c r="Q427" t="s">
        <v>48</v>
      </c>
      <c r="R427" s="3">
        <v>17046</v>
      </c>
      <c r="S427">
        <v>9314</v>
      </c>
      <c r="T427">
        <v>0</v>
      </c>
      <c r="U427" t="s">
        <v>43</v>
      </c>
      <c r="V427" s="2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tr">
        <f t="shared" si="24"/>
        <v>46+</v>
      </c>
      <c r="AH427" t="str">
        <f t="shared" si="25"/>
        <v>Very High</v>
      </c>
      <c r="AI427" s="1">
        <f>VLOOKUP(E427,Lookup_Tables!$A$3:$B$5,2,)</f>
        <v>6281.2528616024974</v>
      </c>
      <c r="AJ427" t="str">
        <f t="shared" si="26"/>
        <v>Above salary</v>
      </c>
      <c r="AK427" t="str">
        <f t="shared" si="27"/>
        <v>Low Risk</v>
      </c>
    </row>
    <row r="428" spans="1:37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571</v>
      </c>
      <c r="J428">
        <v>3</v>
      </c>
      <c r="K428" t="s">
        <v>39</v>
      </c>
      <c r="L428">
        <v>49</v>
      </c>
      <c r="M428">
        <v>3</v>
      </c>
      <c r="N428">
        <v>1</v>
      </c>
      <c r="O428" t="s">
        <v>50</v>
      </c>
      <c r="P428">
        <v>4</v>
      </c>
      <c r="Q428" t="s">
        <v>41</v>
      </c>
      <c r="R428" s="3">
        <v>2564</v>
      </c>
      <c r="S428">
        <v>7181</v>
      </c>
      <c r="T428">
        <v>0</v>
      </c>
      <c r="U428" t="s">
        <v>43</v>
      </c>
      <c r="V428" s="2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tr">
        <f t="shared" si="24"/>
        <v>26-35</v>
      </c>
      <c r="AH428" t="str">
        <f t="shared" si="25"/>
        <v>Low</v>
      </c>
      <c r="AI428" s="1">
        <f>VLOOKUP(E428,Lookup_Tables!$A$3:$B$5,2,)</f>
        <v>6281.2528616024974</v>
      </c>
      <c r="AJ428" t="str">
        <f t="shared" si="26"/>
        <v>Below salary</v>
      </c>
      <c r="AK428" t="str">
        <f t="shared" si="27"/>
        <v>Low Risk</v>
      </c>
    </row>
    <row r="429" spans="1:37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573</v>
      </c>
      <c r="J429">
        <v>3</v>
      </c>
      <c r="K429" t="s">
        <v>39</v>
      </c>
      <c r="L429">
        <v>80</v>
      </c>
      <c r="M429">
        <v>2</v>
      </c>
      <c r="N429">
        <v>3</v>
      </c>
      <c r="O429" t="s">
        <v>40</v>
      </c>
      <c r="P429">
        <v>1</v>
      </c>
      <c r="Q429" t="s">
        <v>48</v>
      </c>
      <c r="R429" s="3">
        <v>10266</v>
      </c>
      <c r="S429">
        <v>2845</v>
      </c>
      <c r="T429">
        <v>4</v>
      </c>
      <c r="U429" t="s">
        <v>43</v>
      </c>
      <c r="V429" s="2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tr">
        <f t="shared" si="24"/>
        <v>46+</v>
      </c>
      <c r="AH429" t="str">
        <f t="shared" si="25"/>
        <v>High</v>
      </c>
      <c r="AI429" s="1">
        <f>VLOOKUP(E429,Lookup_Tables!$A$3:$B$5,2,)</f>
        <v>6959.17264573991</v>
      </c>
      <c r="AJ429" t="str">
        <f t="shared" si="26"/>
        <v>Above salary</v>
      </c>
      <c r="AK429" t="str">
        <f t="shared" si="27"/>
        <v>Medium Risk</v>
      </c>
    </row>
    <row r="430" spans="1:37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574</v>
      </c>
      <c r="J430">
        <v>1</v>
      </c>
      <c r="K430" t="s">
        <v>39</v>
      </c>
      <c r="L430">
        <v>65</v>
      </c>
      <c r="M430">
        <v>3</v>
      </c>
      <c r="N430">
        <v>2</v>
      </c>
      <c r="O430" t="s">
        <v>53</v>
      </c>
      <c r="P430">
        <v>4</v>
      </c>
      <c r="Q430" t="s">
        <v>52</v>
      </c>
      <c r="R430" s="3">
        <v>5070</v>
      </c>
      <c r="S430">
        <v>7389</v>
      </c>
      <c r="T430">
        <v>5</v>
      </c>
      <c r="U430" t="s">
        <v>43</v>
      </c>
      <c r="V430" s="2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tr">
        <f t="shared" si="24"/>
        <v>46+</v>
      </c>
      <c r="AH430" t="str">
        <f t="shared" si="25"/>
        <v>Mid</v>
      </c>
      <c r="AI430" s="1">
        <f>VLOOKUP(E430,Lookup_Tables!$A$3:$B$5,2,)</f>
        <v>6281.2528616024974</v>
      </c>
      <c r="AJ430" t="str">
        <f t="shared" si="26"/>
        <v>Below salary</v>
      </c>
      <c r="AK430" t="str">
        <f t="shared" si="27"/>
        <v>Low Risk</v>
      </c>
    </row>
    <row r="431" spans="1:37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46</v>
      </c>
      <c r="L431">
        <v>51</v>
      </c>
      <c r="M431">
        <v>3</v>
      </c>
      <c r="N431">
        <v>4</v>
      </c>
      <c r="O431" t="s">
        <v>58</v>
      </c>
      <c r="P431">
        <v>3</v>
      </c>
      <c r="Q431" t="s">
        <v>48</v>
      </c>
      <c r="R431" s="3">
        <v>17861</v>
      </c>
      <c r="S431">
        <v>2288</v>
      </c>
      <c r="T431">
        <v>6</v>
      </c>
      <c r="U431" t="s">
        <v>43</v>
      </c>
      <c r="V431" s="2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tr">
        <f t="shared" si="24"/>
        <v>46+</v>
      </c>
      <c r="AH431" t="str">
        <f t="shared" si="25"/>
        <v>Very High</v>
      </c>
      <c r="AI431" s="1">
        <f>VLOOKUP(E431,Lookup_Tables!$A$3:$B$5,2,)</f>
        <v>6281.2528616024974</v>
      </c>
      <c r="AJ431" t="str">
        <f t="shared" si="26"/>
        <v>Above salary</v>
      </c>
      <c r="AK431" t="str">
        <f t="shared" si="27"/>
        <v>Low Risk</v>
      </c>
    </row>
    <row r="432" spans="1:37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46</v>
      </c>
      <c r="L432">
        <v>46</v>
      </c>
      <c r="M432">
        <v>1</v>
      </c>
      <c r="N432">
        <v>1</v>
      </c>
      <c r="O432" t="s">
        <v>50</v>
      </c>
      <c r="P432">
        <v>3</v>
      </c>
      <c r="Q432" t="s">
        <v>41</v>
      </c>
      <c r="R432" s="3">
        <v>4230</v>
      </c>
      <c r="S432">
        <v>19225</v>
      </c>
      <c r="T432">
        <v>0</v>
      </c>
      <c r="U432" t="s">
        <v>43</v>
      </c>
      <c r="V432" s="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tr">
        <f t="shared" si="24"/>
        <v>26-35</v>
      </c>
      <c r="AH432" t="str">
        <f t="shared" si="25"/>
        <v>Mid</v>
      </c>
      <c r="AI432" s="1">
        <f>VLOOKUP(E432,Lookup_Tables!$A$3:$B$5,2,)</f>
        <v>6281.2528616024974</v>
      </c>
      <c r="AJ432" t="str">
        <f t="shared" si="26"/>
        <v>Below salary</v>
      </c>
      <c r="AK432" t="str">
        <f t="shared" si="27"/>
        <v>Low Risk</v>
      </c>
    </row>
    <row r="433" spans="1:37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42</v>
      </c>
      <c r="M433">
        <v>3</v>
      </c>
      <c r="N433">
        <v>2</v>
      </c>
      <c r="O433" t="s">
        <v>50</v>
      </c>
      <c r="P433">
        <v>3</v>
      </c>
      <c r="Q433" t="s">
        <v>41</v>
      </c>
      <c r="R433" s="3">
        <v>3780</v>
      </c>
      <c r="S433">
        <v>23428</v>
      </c>
      <c r="T433">
        <v>7</v>
      </c>
      <c r="U433" t="s">
        <v>43</v>
      </c>
      <c r="V433" s="2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tr">
        <f t="shared" si="24"/>
        <v>46+</v>
      </c>
      <c r="AH433" t="str">
        <f t="shared" si="25"/>
        <v>Mid</v>
      </c>
      <c r="AI433" s="1">
        <f>VLOOKUP(E433,Lookup_Tables!$A$3:$B$5,2,)</f>
        <v>6281.2528616024974</v>
      </c>
      <c r="AJ433" t="str">
        <f t="shared" si="26"/>
        <v>Below salary</v>
      </c>
      <c r="AK433" t="str">
        <f t="shared" si="27"/>
        <v>Low Risk</v>
      </c>
    </row>
    <row r="434" spans="1:37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46</v>
      </c>
      <c r="L434">
        <v>62</v>
      </c>
      <c r="M434">
        <v>2</v>
      </c>
      <c r="N434">
        <v>1</v>
      </c>
      <c r="O434" t="s">
        <v>47</v>
      </c>
      <c r="P434">
        <v>3</v>
      </c>
      <c r="Q434" t="s">
        <v>52</v>
      </c>
      <c r="R434" s="3">
        <v>2768</v>
      </c>
      <c r="S434">
        <v>8416</v>
      </c>
      <c r="T434">
        <v>3</v>
      </c>
      <c r="U434" t="s">
        <v>43</v>
      </c>
      <c r="V434" s="2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tr">
        <f t="shared" si="24"/>
        <v>26-35</v>
      </c>
      <c r="AH434" t="str">
        <f t="shared" si="25"/>
        <v>Low</v>
      </c>
      <c r="AI434" s="1">
        <f>VLOOKUP(E434,Lookup_Tables!$A$3:$B$5,2,)</f>
        <v>6281.2528616024974</v>
      </c>
      <c r="AJ434" t="str">
        <f t="shared" si="26"/>
        <v>Below salary</v>
      </c>
      <c r="AK434" t="str">
        <f t="shared" si="27"/>
        <v>Low Risk</v>
      </c>
    </row>
    <row r="435" spans="1:37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580</v>
      </c>
      <c r="J435">
        <v>3</v>
      </c>
      <c r="K435" t="s">
        <v>39</v>
      </c>
      <c r="L435">
        <v>94</v>
      </c>
      <c r="M435">
        <v>2</v>
      </c>
      <c r="N435">
        <v>3</v>
      </c>
      <c r="O435" t="s">
        <v>40</v>
      </c>
      <c r="P435">
        <v>4</v>
      </c>
      <c r="Q435" t="s">
        <v>48</v>
      </c>
      <c r="R435" s="3">
        <v>9071</v>
      </c>
      <c r="S435">
        <v>11563</v>
      </c>
      <c r="T435">
        <v>2</v>
      </c>
      <c r="U435" t="s">
        <v>35</v>
      </c>
      <c r="V435" s="2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tr">
        <f t="shared" si="24"/>
        <v>46+</v>
      </c>
      <c r="AH435" t="str">
        <f t="shared" si="25"/>
        <v>High</v>
      </c>
      <c r="AI435" s="1">
        <f>VLOOKUP(E435,Lookup_Tables!$A$3:$B$5,2,)</f>
        <v>6959.17264573991</v>
      </c>
      <c r="AJ435" t="str">
        <f t="shared" si="26"/>
        <v>Above salary</v>
      </c>
      <c r="AK435" t="str">
        <f t="shared" si="27"/>
        <v>Medium Risk</v>
      </c>
    </row>
    <row r="436" spans="1:37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46</v>
      </c>
      <c r="L436">
        <v>33</v>
      </c>
      <c r="M436">
        <v>3</v>
      </c>
      <c r="N436">
        <v>3</v>
      </c>
      <c r="O436" t="s">
        <v>53</v>
      </c>
      <c r="P436">
        <v>2</v>
      </c>
      <c r="Q436" t="s">
        <v>52</v>
      </c>
      <c r="R436" s="3">
        <v>10648</v>
      </c>
      <c r="S436">
        <v>14394</v>
      </c>
      <c r="T436">
        <v>1</v>
      </c>
      <c r="U436" t="s">
        <v>43</v>
      </c>
      <c r="V436" s="2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tr">
        <f t="shared" si="24"/>
        <v>26-35</v>
      </c>
      <c r="AH436" t="str">
        <f t="shared" si="25"/>
        <v>High</v>
      </c>
      <c r="AI436" s="1">
        <f>VLOOKUP(E436,Lookup_Tables!$A$3:$B$5,2,)</f>
        <v>6281.2528616024974</v>
      </c>
      <c r="AJ436" t="str">
        <f t="shared" si="26"/>
        <v>Above salary</v>
      </c>
      <c r="AK436" t="str">
        <f t="shared" si="27"/>
        <v>Medium Risk</v>
      </c>
    </row>
    <row r="437" spans="1:37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582</v>
      </c>
      <c r="J437">
        <v>2</v>
      </c>
      <c r="K437" t="s">
        <v>46</v>
      </c>
      <c r="L437">
        <v>56</v>
      </c>
      <c r="M437">
        <v>3</v>
      </c>
      <c r="N437">
        <v>3</v>
      </c>
      <c r="O437" t="s">
        <v>56</v>
      </c>
      <c r="P437">
        <v>3</v>
      </c>
      <c r="Q437" t="s">
        <v>48</v>
      </c>
      <c r="R437" s="3">
        <v>13610</v>
      </c>
      <c r="S437">
        <v>24619</v>
      </c>
      <c r="T437">
        <v>7</v>
      </c>
      <c r="U437" t="s">
        <v>35</v>
      </c>
      <c r="V437" s="2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tr">
        <f t="shared" si="24"/>
        <v>26-35</v>
      </c>
      <c r="AH437" t="str">
        <f t="shared" si="25"/>
        <v>Very High</v>
      </c>
      <c r="AI437" s="1">
        <f>VLOOKUP(E437,Lookup_Tables!$A$3:$B$5,2,)</f>
        <v>6281.2528616024974</v>
      </c>
      <c r="AJ437" t="str">
        <f t="shared" si="26"/>
        <v>Above salary</v>
      </c>
      <c r="AK437" t="str">
        <f t="shared" si="27"/>
        <v>Medium Risk</v>
      </c>
    </row>
    <row r="438" spans="1:37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584</v>
      </c>
      <c r="J438">
        <v>1</v>
      </c>
      <c r="K438" t="s">
        <v>46</v>
      </c>
      <c r="L438">
        <v>38</v>
      </c>
      <c r="M438">
        <v>1</v>
      </c>
      <c r="N438">
        <v>1</v>
      </c>
      <c r="O438" t="s">
        <v>50</v>
      </c>
      <c r="P438">
        <v>4</v>
      </c>
      <c r="Q438" t="s">
        <v>52</v>
      </c>
      <c r="R438" s="3">
        <v>3408</v>
      </c>
      <c r="S438">
        <v>6705</v>
      </c>
      <c r="T438">
        <v>7</v>
      </c>
      <c r="U438" t="s">
        <v>43</v>
      </c>
      <c r="V438" s="2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tr">
        <f t="shared" si="24"/>
        <v>26-35</v>
      </c>
      <c r="AH438" t="str">
        <f t="shared" si="25"/>
        <v>Mid</v>
      </c>
      <c r="AI438" s="1">
        <f>VLOOKUP(E438,Lookup_Tables!$A$3:$B$5,2,)</f>
        <v>6281.2528616024974</v>
      </c>
      <c r="AJ438" t="str">
        <f t="shared" si="26"/>
        <v>Below salary</v>
      </c>
      <c r="AK438" t="str">
        <f t="shared" si="27"/>
        <v>Low Risk</v>
      </c>
    </row>
    <row r="439" spans="1:37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585</v>
      </c>
      <c r="J439">
        <v>4</v>
      </c>
      <c r="K439" t="s">
        <v>46</v>
      </c>
      <c r="L439">
        <v>57</v>
      </c>
      <c r="M439">
        <v>3</v>
      </c>
      <c r="N439">
        <v>1</v>
      </c>
      <c r="O439" t="s">
        <v>57</v>
      </c>
      <c r="P439">
        <v>2</v>
      </c>
      <c r="Q439" t="s">
        <v>41</v>
      </c>
      <c r="R439" s="3">
        <v>2983</v>
      </c>
      <c r="S439">
        <v>18398</v>
      </c>
      <c r="T439">
        <v>0</v>
      </c>
      <c r="U439" t="s">
        <v>43</v>
      </c>
      <c r="V439" s="2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tr">
        <f t="shared" si="24"/>
        <v>26-35</v>
      </c>
      <c r="AH439" t="str">
        <f t="shared" si="25"/>
        <v>Low</v>
      </c>
      <c r="AI439" s="1">
        <f>VLOOKUP(E439,Lookup_Tables!$A$3:$B$5,2,)</f>
        <v>6959.17264573991</v>
      </c>
      <c r="AJ439" t="str">
        <f t="shared" si="26"/>
        <v>Below salary</v>
      </c>
      <c r="AK439" t="str">
        <f t="shared" si="27"/>
        <v>Medium Risk</v>
      </c>
    </row>
    <row r="440" spans="1:37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46</v>
      </c>
      <c r="L440">
        <v>72</v>
      </c>
      <c r="M440">
        <v>3</v>
      </c>
      <c r="N440">
        <v>3</v>
      </c>
      <c r="O440" t="s">
        <v>54</v>
      </c>
      <c r="P440">
        <v>3</v>
      </c>
      <c r="Q440" t="s">
        <v>48</v>
      </c>
      <c r="R440" s="3">
        <v>7632</v>
      </c>
      <c r="S440">
        <v>14295</v>
      </c>
      <c r="T440">
        <v>4</v>
      </c>
      <c r="U440" t="s">
        <v>35</v>
      </c>
      <c r="V440" s="2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tr">
        <f t="shared" si="24"/>
        <v>26-35</v>
      </c>
      <c r="AH440" t="str">
        <f t="shared" si="25"/>
        <v>High</v>
      </c>
      <c r="AI440" s="1">
        <f>VLOOKUP(E440,Lookup_Tables!$A$3:$B$5,2,)</f>
        <v>6281.2528616024974</v>
      </c>
      <c r="AJ440" t="str">
        <f t="shared" si="26"/>
        <v>Above salary</v>
      </c>
      <c r="AK440" t="str">
        <f t="shared" si="27"/>
        <v>Medium Risk</v>
      </c>
    </row>
    <row r="441" spans="1:37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46</v>
      </c>
      <c r="L441">
        <v>66</v>
      </c>
      <c r="M441">
        <v>3</v>
      </c>
      <c r="N441">
        <v>3</v>
      </c>
      <c r="O441" t="s">
        <v>54</v>
      </c>
      <c r="P441">
        <v>3</v>
      </c>
      <c r="Q441" t="s">
        <v>48</v>
      </c>
      <c r="R441" s="3">
        <v>9824</v>
      </c>
      <c r="S441">
        <v>22908</v>
      </c>
      <c r="T441">
        <v>3</v>
      </c>
      <c r="U441" t="s">
        <v>43</v>
      </c>
      <c r="V441" s="2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tr">
        <f t="shared" si="24"/>
        <v>26-35</v>
      </c>
      <c r="AH441" t="str">
        <f t="shared" si="25"/>
        <v>High</v>
      </c>
      <c r="AI441" s="1">
        <f>VLOOKUP(E441,Lookup_Tables!$A$3:$B$5,2,)</f>
        <v>6281.2528616024974</v>
      </c>
      <c r="AJ441" t="str">
        <f t="shared" si="26"/>
        <v>Above salary</v>
      </c>
      <c r="AK441" t="str">
        <f t="shared" si="27"/>
        <v>Low Risk</v>
      </c>
    </row>
    <row r="442" spans="1:37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590</v>
      </c>
      <c r="J442">
        <v>2</v>
      </c>
      <c r="K442" t="s">
        <v>39</v>
      </c>
      <c r="L442">
        <v>43</v>
      </c>
      <c r="M442">
        <v>3</v>
      </c>
      <c r="N442">
        <v>3</v>
      </c>
      <c r="O442" t="s">
        <v>61</v>
      </c>
      <c r="P442">
        <v>1</v>
      </c>
      <c r="Q442" t="s">
        <v>52</v>
      </c>
      <c r="R442" s="3">
        <v>9950</v>
      </c>
      <c r="S442">
        <v>11533</v>
      </c>
      <c r="T442">
        <v>9</v>
      </c>
      <c r="U442" t="s">
        <v>35</v>
      </c>
      <c r="V442" s="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tr">
        <f t="shared" si="24"/>
        <v>26-35</v>
      </c>
      <c r="AH442" t="str">
        <f t="shared" si="25"/>
        <v>High</v>
      </c>
      <c r="AI442" s="1">
        <f>VLOOKUP(E442,Lookup_Tables!$A$3:$B$5,2,)</f>
        <v>6654.5079365079364</v>
      </c>
      <c r="AJ442" t="str">
        <f t="shared" si="26"/>
        <v>Above salary</v>
      </c>
      <c r="AK442" t="str">
        <f t="shared" si="27"/>
        <v>High Risk</v>
      </c>
    </row>
    <row r="443" spans="1:37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t="s">
        <v>46</v>
      </c>
      <c r="L443">
        <v>97</v>
      </c>
      <c r="M443">
        <v>3</v>
      </c>
      <c r="N443">
        <v>1</v>
      </c>
      <c r="O443" t="s">
        <v>50</v>
      </c>
      <c r="P443">
        <v>3</v>
      </c>
      <c r="Q443" t="s">
        <v>48</v>
      </c>
      <c r="R443" s="3">
        <v>2093</v>
      </c>
      <c r="S443">
        <v>9260</v>
      </c>
      <c r="T443">
        <v>4</v>
      </c>
      <c r="U443" t="s">
        <v>43</v>
      </c>
      <c r="V443" s="2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tr">
        <f t="shared" si="24"/>
        <v>36-45</v>
      </c>
      <c r="AH443" t="str">
        <f t="shared" si="25"/>
        <v>Low</v>
      </c>
      <c r="AI443" s="1">
        <f>VLOOKUP(E443,Lookup_Tables!$A$3:$B$5,2,)</f>
        <v>6281.2528616024974</v>
      </c>
      <c r="AJ443" t="str">
        <f t="shared" si="26"/>
        <v>Below salary</v>
      </c>
      <c r="AK443" t="str">
        <f t="shared" si="27"/>
        <v>Low Risk</v>
      </c>
    </row>
    <row r="444" spans="1:37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592</v>
      </c>
      <c r="J444">
        <v>2</v>
      </c>
      <c r="K444" t="s">
        <v>46</v>
      </c>
      <c r="L444">
        <v>32</v>
      </c>
      <c r="M444">
        <v>3</v>
      </c>
      <c r="N444">
        <v>3</v>
      </c>
      <c r="O444" t="s">
        <v>40</v>
      </c>
      <c r="P444">
        <v>4</v>
      </c>
      <c r="Q444" t="s">
        <v>41</v>
      </c>
      <c r="R444" s="3">
        <v>9980</v>
      </c>
      <c r="S444">
        <v>15318</v>
      </c>
      <c r="T444">
        <v>1</v>
      </c>
      <c r="U444" t="s">
        <v>43</v>
      </c>
      <c r="V444" s="2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tr">
        <f t="shared" si="24"/>
        <v>36-45</v>
      </c>
      <c r="AH444" t="str">
        <f t="shared" si="25"/>
        <v>High</v>
      </c>
      <c r="AI444" s="1">
        <f>VLOOKUP(E444,Lookup_Tables!$A$3:$B$5,2,)</f>
        <v>6959.17264573991</v>
      </c>
      <c r="AJ444" t="str">
        <f t="shared" si="26"/>
        <v>Above salary</v>
      </c>
      <c r="AK444" t="str">
        <f t="shared" si="27"/>
        <v>Low Risk</v>
      </c>
    </row>
    <row r="445" spans="1:37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593</v>
      </c>
      <c r="J445">
        <v>3</v>
      </c>
      <c r="K445" t="s">
        <v>46</v>
      </c>
      <c r="L445">
        <v>99</v>
      </c>
      <c r="M445">
        <v>2</v>
      </c>
      <c r="N445">
        <v>1</v>
      </c>
      <c r="O445" t="s">
        <v>50</v>
      </c>
      <c r="P445">
        <v>3</v>
      </c>
      <c r="Q445" t="s">
        <v>41</v>
      </c>
      <c r="R445" s="3">
        <v>3894</v>
      </c>
      <c r="S445">
        <v>9129</v>
      </c>
      <c r="T445">
        <v>5</v>
      </c>
      <c r="U445" t="s">
        <v>43</v>
      </c>
      <c r="V445" s="2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tr">
        <f t="shared" si="24"/>
        <v>18-25</v>
      </c>
      <c r="AH445" t="str">
        <f t="shared" si="25"/>
        <v>Mid</v>
      </c>
      <c r="AI445" s="1">
        <f>VLOOKUP(E445,Lookup_Tables!$A$3:$B$5,2,)</f>
        <v>6281.2528616024974</v>
      </c>
      <c r="AJ445" t="str">
        <f t="shared" si="26"/>
        <v>Below salary</v>
      </c>
      <c r="AK445" t="str">
        <f t="shared" si="27"/>
        <v>Low Risk</v>
      </c>
    </row>
    <row r="446" spans="1:37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595</v>
      </c>
      <c r="J446">
        <v>2</v>
      </c>
      <c r="K446" t="s">
        <v>39</v>
      </c>
      <c r="L446">
        <v>37</v>
      </c>
      <c r="M446">
        <v>3</v>
      </c>
      <c r="N446">
        <v>2</v>
      </c>
      <c r="O446" t="s">
        <v>40</v>
      </c>
      <c r="P446">
        <v>4</v>
      </c>
      <c r="Q446" t="s">
        <v>48</v>
      </c>
      <c r="R446" s="3">
        <v>4051</v>
      </c>
      <c r="S446">
        <v>19658</v>
      </c>
      <c r="T446">
        <v>2</v>
      </c>
      <c r="U446" t="s">
        <v>43</v>
      </c>
      <c r="V446" s="2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tr">
        <f t="shared" si="24"/>
        <v>46+</v>
      </c>
      <c r="AH446" t="str">
        <f t="shared" si="25"/>
        <v>Mid</v>
      </c>
      <c r="AI446" s="1">
        <f>VLOOKUP(E446,Lookup_Tables!$A$3:$B$5,2,)</f>
        <v>6959.17264573991</v>
      </c>
      <c r="AJ446" t="str">
        <f t="shared" si="26"/>
        <v>Below salary</v>
      </c>
      <c r="AK446" t="str">
        <f t="shared" si="27"/>
        <v>Low Risk</v>
      </c>
    </row>
    <row r="447" spans="1:37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83</v>
      </c>
      <c r="M447">
        <v>3</v>
      </c>
      <c r="N447">
        <v>4</v>
      </c>
      <c r="O447" t="s">
        <v>56</v>
      </c>
      <c r="P447">
        <v>2</v>
      </c>
      <c r="Q447" t="s">
        <v>41</v>
      </c>
      <c r="R447" s="3">
        <v>16835</v>
      </c>
      <c r="S447">
        <v>9873</v>
      </c>
      <c r="T447">
        <v>3</v>
      </c>
      <c r="U447" t="s">
        <v>43</v>
      </c>
      <c r="V447" s="2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tr">
        <f t="shared" si="24"/>
        <v>46+</v>
      </c>
      <c r="AH447" t="str">
        <f t="shared" si="25"/>
        <v>Very High</v>
      </c>
      <c r="AI447" s="1">
        <f>VLOOKUP(E447,Lookup_Tables!$A$3:$B$5,2,)</f>
        <v>6959.17264573991</v>
      </c>
      <c r="AJ447" t="str">
        <f t="shared" si="26"/>
        <v>Above salary</v>
      </c>
      <c r="AK447" t="str">
        <f t="shared" si="27"/>
        <v>Medium Risk</v>
      </c>
    </row>
    <row r="448" spans="1:37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46</v>
      </c>
      <c r="L448">
        <v>56</v>
      </c>
      <c r="M448">
        <v>3</v>
      </c>
      <c r="N448">
        <v>2</v>
      </c>
      <c r="O448" t="s">
        <v>40</v>
      </c>
      <c r="P448">
        <v>4</v>
      </c>
      <c r="Q448" t="s">
        <v>41</v>
      </c>
      <c r="R448" s="3">
        <v>6230</v>
      </c>
      <c r="S448">
        <v>13430</v>
      </c>
      <c r="T448">
        <v>7</v>
      </c>
      <c r="U448" t="s">
        <v>43</v>
      </c>
      <c r="V448" s="2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tr">
        <f t="shared" si="24"/>
        <v>36-45</v>
      </c>
      <c r="AH448" t="str">
        <f t="shared" si="25"/>
        <v>Mid</v>
      </c>
      <c r="AI448" s="1">
        <f>VLOOKUP(E448,Lookup_Tables!$A$3:$B$5,2,)</f>
        <v>6959.17264573991</v>
      </c>
      <c r="AJ448" t="str">
        <f t="shared" si="26"/>
        <v>Below salary</v>
      </c>
      <c r="AK448" t="str">
        <f t="shared" si="27"/>
        <v>Low Risk</v>
      </c>
    </row>
    <row r="449" spans="1:37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600</v>
      </c>
      <c r="J449">
        <v>2</v>
      </c>
      <c r="K449" t="s">
        <v>46</v>
      </c>
      <c r="L449">
        <v>85</v>
      </c>
      <c r="M449">
        <v>3</v>
      </c>
      <c r="N449">
        <v>2</v>
      </c>
      <c r="O449" t="s">
        <v>40</v>
      </c>
      <c r="P449">
        <v>3</v>
      </c>
      <c r="Q449" t="s">
        <v>48</v>
      </c>
      <c r="R449" s="3">
        <v>4717</v>
      </c>
      <c r="S449">
        <v>18659</v>
      </c>
      <c r="T449">
        <v>9</v>
      </c>
      <c r="U449" t="s">
        <v>43</v>
      </c>
      <c r="V449" s="2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tr">
        <f t="shared" si="24"/>
        <v>26-35</v>
      </c>
      <c r="AH449" t="str">
        <f t="shared" si="25"/>
        <v>Mid</v>
      </c>
      <c r="AI449" s="1">
        <f>VLOOKUP(E449,Lookup_Tables!$A$3:$B$5,2,)</f>
        <v>6959.17264573991</v>
      </c>
      <c r="AJ449" t="str">
        <f t="shared" si="26"/>
        <v>Below salary</v>
      </c>
      <c r="AK449" t="str">
        <f t="shared" si="27"/>
        <v>Low Risk</v>
      </c>
    </row>
    <row r="450" spans="1:37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75</v>
      </c>
      <c r="M450">
        <v>3</v>
      </c>
      <c r="N450">
        <v>4</v>
      </c>
      <c r="O450" t="s">
        <v>53</v>
      </c>
      <c r="P450">
        <v>3</v>
      </c>
      <c r="Q450" t="s">
        <v>41</v>
      </c>
      <c r="R450" s="3">
        <v>13237</v>
      </c>
      <c r="S450">
        <v>20364</v>
      </c>
      <c r="T450">
        <v>7</v>
      </c>
      <c r="U450" t="s">
        <v>43</v>
      </c>
      <c r="V450" s="2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tr">
        <f t="shared" ref="AG450:AG513" si="28">IF(A450&lt;=25,"18-25",IF(A450&lt;= 35, "26-35",IF(A450&lt;=45, "36-45","46+")))</f>
        <v>36-45</v>
      </c>
      <c r="AH450" t="str">
        <f t="shared" ref="AH450:AH513" si="29">IF(R450&lt;3000,"Low",IF(R450&lt;7000,"Mid", IF(R450&lt;12000, "High", "Very High")))</f>
        <v>Very High</v>
      </c>
      <c r="AI450" s="1">
        <f>VLOOKUP(E450,Lookup_Tables!$A$3:$B$5,2,)</f>
        <v>6281.2528616024974</v>
      </c>
      <c r="AJ450" t="str">
        <f t="shared" ref="AJ450:AJ513" si="30">IF(R450&gt;AI450, "Above salary","Below salary")</f>
        <v>Above salary</v>
      </c>
      <c r="AK450" t="str">
        <f t="shared" si="27"/>
        <v>Low Risk</v>
      </c>
    </row>
    <row r="451" spans="1:37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48</v>
      </c>
      <c r="M451">
        <v>3</v>
      </c>
      <c r="N451">
        <v>1</v>
      </c>
      <c r="O451" t="s">
        <v>50</v>
      </c>
      <c r="P451">
        <v>3</v>
      </c>
      <c r="Q451" t="s">
        <v>48</v>
      </c>
      <c r="R451" s="3">
        <v>3755</v>
      </c>
      <c r="S451">
        <v>17872</v>
      </c>
      <c r="T451">
        <v>1</v>
      </c>
      <c r="U451" t="s">
        <v>43</v>
      </c>
      <c r="V451" s="2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tr">
        <f t="shared" si="28"/>
        <v>36-45</v>
      </c>
      <c r="AH451" t="str">
        <f t="shared" si="29"/>
        <v>Mid</v>
      </c>
      <c r="AI451" s="1">
        <f>VLOOKUP(E451,Lookup_Tables!$A$3:$B$5,2,)</f>
        <v>6281.2528616024974</v>
      </c>
      <c r="AJ451" t="str">
        <f t="shared" si="30"/>
        <v>Below salary</v>
      </c>
      <c r="AK451" t="str">
        <f t="shared" ref="AK451:AK514" si="31">IF(AND(P451&lt;=2,U451="Yes"),"High Risk",IF(OR(P451&lt;=2,U451="Yes"),"Medium Risk","Low Risk"))</f>
        <v>Low Risk</v>
      </c>
    </row>
    <row r="452" spans="1:37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46</v>
      </c>
      <c r="L452">
        <v>77</v>
      </c>
      <c r="M452">
        <v>3</v>
      </c>
      <c r="N452">
        <v>2</v>
      </c>
      <c r="O452" t="s">
        <v>40</v>
      </c>
      <c r="P452">
        <v>4</v>
      </c>
      <c r="Q452" t="s">
        <v>41</v>
      </c>
      <c r="R452" s="3">
        <v>6582</v>
      </c>
      <c r="S452">
        <v>8346</v>
      </c>
      <c r="T452">
        <v>4</v>
      </c>
      <c r="U452" t="s">
        <v>35</v>
      </c>
      <c r="V452" s="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tr">
        <f t="shared" si="28"/>
        <v>26-35</v>
      </c>
      <c r="AH452" t="str">
        <f t="shared" si="29"/>
        <v>Mid</v>
      </c>
      <c r="AI452" s="1">
        <f>VLOOKUP(E452,Lookup_Tables!$A$3:$B$5,2,)</f>
        <v>6959.17264573991</v>
      </c>
      <c r="AJ452" t="str">
        <f t="shared" si="30"/>
        <v>Below salary</v>
      </c>
      <c r="AK452" t="str">
        <f t="shared" si="31"/>
        <v>Medium Risk</v>
      </c>
    </row>
    <row r="453" spans="1:37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605</v>
      </c>
      <c r="J453">
        <v>4</v>
      </c>
      <c r="K453" t="s">
        <v>46</v>
      </c>
      <c r="L453">
        <v>56</v>
      </c>
      <c r="M453">
        <v>3</v>
      </c>
      <c r="N453">
        <v>3</v>
      </c>
      <c r="O453" t="s">
        <v>53</v>
      </c>
      <c r="P453">
        <v>1</v>
      </c>
      <c r="Q453" t="s">
        <v>48</v>
      </c>
      <c r="R453" s="3">
        <v>7406</v>
      </c>
      <c r="S453">
        <v>6950</v>
      </c>
      <c r="T453">
        <v>1</v>
      </c>
      <c r="U453" t="s">
        <v>35</v>
      </c>
      <c r="V453" s="2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tr">
        <f t="shared" si="28"/>
        <v>36-45</v>
      </c>
      <c r="AH453" t="str">
        <f t="shared" si="29"/>
        <v>High</v>
      </c>
      <c r="AI453" s="1">
        <f>VLOOKUP(E453,Lookup_Tables!$A$3:$B$5,2,)</f>
        <v>6281.2528616024974</v>
      </c>
      <c r="AJ453" t="str">
        <f t="shared" si="30"/>
        <v>Above salary</v>
      </c>
      <c r="AK453" t="str">
        <f t="shared" si="31"/>
        <v>High Risk</v>
      </c>
    </row>
    <row r="454" spans="1:37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606</v>
      </c>
      <c r="J454">
        <v>4</v>
      </c>
      <c r="K454" t="s">
        <v>46</v>
      </c>
      <c r="L454">
        <v>61</v>
      </c>
      <c r="M454">
        <v>3</v>
      </c>
      <c r="N454">
        <v>2</v>
      </c>
      <c r="O454" t="s">
        <v>40</v>
      </c>
      <c r="P454">
        <v>2</v>
      </c>
      <c r="Q454" t="s">
        <v>48</v>
      </c>
      <c r="R454" s="3">
        <v>4805</v>
      </c>
      <c r="S454">
        <v>16177</v>
      </c>
      <c r="T454">
        <v>0</v>
      </c>
      <c r="U454" t="s">
        <v>43</v>
      </c>
      <c r="V454" s="2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tr">
        <f t="shared" si="28"/>
        <v>36-45</v>
      </c>
      <c r="AH454" t="str">
        <f t="shared" si="29"/>
        <v>Mid</v>
      </c>
      <c r="AI454" s="1">
        <f>VLOOKUP(E454,Lookup_Tables!$A$3:$B$5,2,)</f>
        <v>6959.17264573991</v>
      </c>
      <c r="AJ454" t="str">
        <f t="shared" si="30"/>
        <v>Below salary</v>
      </c>
      <c r="AK454" t="str">
        <f t="shared" si="31"/>
        <v>Medium Risk</v>
      </c>
    </row>
    <row r="455" spans="1:37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58</v>
      </c>
      <c r="M455">
        <v>3</v>
      </c>
      <c r="N455">
        <v>1</v>
      </c>
      <c r="O455" t="s">
        <v>61</v>
      </c>
      <c r="P455">
        <v>3</v>
      </c>
      <c r="Q455" t="s">
        <v>52</v>
      </c>
      <c r="R455" s="3">
        <v>2741</v>
      </c>
      <c r="S455">
        <v>22808</v>
      </c>
      <c r="T455">
        <v>0</v>
      </c>
      <c r="U455" t="s">
        <v>35</v>
      </c>
      <c r="V455" s="2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tr">
        <f t="shared" si="28"/>
        <v>26-35</v>
      </c>
      <c r="AH455" t="str">
        <f t="shared" si="29"/>
        <v>Low</v>
      </c>
      <c r="AI455" s="1">
        <f>VLOOKUP(E455,Lookup_Tables!$A$3:$B$5,2,)</f>
        <v>6654.5079365079364</v>
      </c>
      <c r="AJ455" t="str">
        <f t="shared" si="30"/>
        <v>Below salary</v>
      </c>
      <c r="AK455" t="str">
        <f t="shared" si="31"/>
        <v>Medium Risk</v>
      </c>
    </row>
    <row r="456" spans="1:37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611</v>
      </c>
      <c r="J456">
        <v>4</v>
      </c>
      <c r="K456" t="s">
        <v>46</v>
      </c>
      <c r="L456">
        <v>34</v>
      </c>
      <c r="M456">
        <v>3</v>
      </c>
      <c r="N456">
        <v>2</v>
      </c>
      <c r="O456" t="s">
        <v>53</v>
      </c>
      <c r="P456">
        <v>4</v>
      </c>
      <c r="Q456" t="s">
        <v>52</v>
      </c>
      <c r="R456" s="3">
        <v>4262</v>
      </c>
      <c r="S456">
        <v>22645</v>
      </c>
      <c r="T456">
        <v>4</v>
      </c>
      <c r="U456" t="s">
        <v>43</v>
      </c>
      <c r="V456" s="2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tr">
        <f t="shared" si="28"/>
        <v>26-35</v>
      </c>
      <c r="AH456" t="str">
        <f t="shared" si="29"/>
        <v>Mid</v>
      </c>
      <c r="AI456" s="1">
        <f>VLOOKUP(E456,Lookup_Tables!$A$3:$B$5,2,)</f>
        <v>6281.2528616024974</v>
      </c>
      <c r="AJ456" t="str">
        <f t="shared" si="30"/>
        <v>Below salary</v>
      </c>
      <c r="AK456" t="str">
        <f t="shared" si="31"/>
        <v>Low Risk</v>
      </c>
    </row>
    <row r="457" spans="1:37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612</v>
      </c>
      <c r="J457">
        <v>1</v>
      </c>
      <c r="K457" t="s">
        <v>39</v>
      </c>
      <c r="L457">
        <v>95</v>
      </c>
      <c r="M457">
        <v>4</v>
      </c>
      <c r="N457">
        <v>4</v>
      </c>
      <c r="O457" t="s">
        <v>58</v>
      </c>
      <c r="P457">
        <v>3</v>
      </c>
      <c r="Q457" t="s">
        <v>52</v>
      </c>
      <c r="R457" s="3">
        <v>16184</v>
      </c>
      <c r="S457">
        <v>22578</v>
      </c>
      <c r="T457">
        <v>4</v>
      </c>
      <c r="U457" t="s">
        <v>43</v>
      </c>
      <c r="V457" s="2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tr">
        <f t="shared" si="28"/>
        <v>26-35</v>
      </c>
      <c r="AH457" t="str">
        <f t="shared" si="29"/>
        <v>Very High</v>
      </c>
      <c r="AI457" s="1">
        <f>VLOOKUP(E457,Lookup_Tables!$A$3:$B$5,2,)</f>
        <v>6281.2528616024974</v>
      </c>
      <c r="AJ457" t="str">
        <f t="shared" si="30"/>
        <v>Above salary</v>
      </c>
      <c r="AK457" t="str">
        <f t="shared" si="31"/>
        <v>Low Risk</v>
      </c>
    </row>
    <row r="458" spans="1:37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46</v>
      </c>
      <c r="L458">
        <v>44</v>
      </c>
      <c r="M458">
        <v>2</v>
      </c>
      <c r="N458">
        <v>3</v>
      </c>
      <c r="O458" t="s">
        <v>56</v>
      </c>
      <c r="P458">
        <v>4</v>
      </c>
      <c r="Q458" t="s">
        <v>52</v>
      </c>
      <c r="R458" s="3">
        <v>11557</v>
      </c>
      <c r="S458">
        <v>25291</v>
      </c>
      <c r="T458">
        <v>9</v>
      </c>
      <c r="U458" t="s">
        <v>43</v>
      </c>
      <c r="V458" s="2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tr">
        <f t="shared" si="28"/>
        <v>26-35</v>
      </c>
      <c r="AH458" t="str">
        <f t="shared" si="29"/>
        <v>High</v>
      </c>
      <c r="AI458" s="1">
        <f>VLOOKUP(E458,Lookup_Tables!$A$3:$B$5,2,)</f>
        <v>6959.17264573991</v>
      </c>
      <c r="AJ458" t="str">
        <f t="shared" si="30"/>
        <v>Above salary</v>
      </c>
      <c r="AK458" t="str">
        <f t="shared" si="31"/>
        <v>Low Risk</v>
      </c>
    </row>
    <row r="459" spans="1:37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614</v>
      </c>
      <c r="J459">
        <v>2</v>
      </c>
      <c r="K459" t="s">
        <v>46</v>
      </c>
      <c r="L459">
        <v>69</v>
      </c>
      <c r="M459">
        <v>3</v>
      </c>
      <c r="N459">
        <v>1</v>
      </c>
      <c r="O459" t="s">
        <v>57</v>
      </c>
      <c r="P459">
        <v>2</v>
      </c>
      <c r="Q459" t="s">
        <v>41</v>
      </c>
      <c r="R459" s="3">
        <v>1878</v>
      </c>
      <c r="S459">
        <v>8059</v>
      </c>
      <c r="T459">
        <v>1</v>
      </c>
      <c r="U459" t="s">
        <v>35</v>
      </c>
      <c r="V459" s="2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tr">
        <f t="shared" si="28"/>
        <v>18-25</v>
      </c>
      <c r="AH459" t="str">
        <f t="shared" si="29"/>
        <v>Low</v>
      </c>
      <c r="AI459" s="1">
        <f>VLOOKUP(E459,Lookup_Tables!$A$3:$B$5,2,)</f>
        <v>6959.17264573991</v>
      </c>
      <c r="AJ459" t="str">
        <f t="shared" si="30"/>
        <v>Below salary</v>
      </c>
      <c r="AK459" t="str">
        <f t="shared" si="31"/>
        <v>High Risk</v>
      </c>
    </row>
    <row r="460" spans="1:37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615</v>
      </c>
      <c r="J460">
        <v>3</v>
      </c>
      <c r="K460" t="s">
        <v>46</v>
      </c>
      <c r="L460">
        <v>58</v>
      </c>
      <c r="M460">
        <v>1</v>
      </c>
      <c r="N460">
        <v>3</v>
      </c>
      <c r="O460" t="s">
        <v>40</v>
      </c>
      <c r="P460">
        <v>1</v>
      </c>
      <c r="Q460" t="s">
        <v>52</v>
      </c>
      <c r="R460" s="3">
        <v>10932</v>
      </c>
      <c r="S460">
        <v>11373</v>
      </c>
      <c r="T460">
        <v>3</v>
      </c>
      <c r="U460" t="s">
        <v>43</v>
      </c>
      <c r="V460" s="2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tr">
        <f t="shared" si="28"/>
        <v>36-45</v>
      </c>
      <c r="AH460" t="str">
        <f t="shared" si="29"/>
        <v>High</v>
      </c>
      <c r="AI460" s="1">
        <f>VLOOKUP(E460,Lookup_Tables!$A$3:$B$5,2,)</f>
        <v>6959.17264573991</v>
      </c>
      <c r="AJ460" t="str">
        <f t="shared" si="30"/>
        <v>Above salary</v>
      </c>
      <c r="AK460" t="str">
        <f t="shared" si="31"/>
        <v>Medium Risk</v>
      </c>
    </row>
    <row r="461" spans="1:37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t="s">
        <v>39</v>
      </c>
      <c r="L461">
        <v>62</v>
      </c>
      <c r="M461">
        <v>2</v>
      </c>
      <c r="N461">
        <v>2</v>
      </c>
      <c r="O461" t="s">
        <v>54</v>
      </c>
      <c r="P461">
        <v>3</v>
      </c>
      <c r="Q461" t="s">
        <v>41</v>
      </c>
      <c r="R461" s="3">
        <v>6811</v>
      </c>
      <c r="S461">
        <v>2112</v>
      </c>
      <c r="T461">
        <v>2</v>
      </c>
      <c r="U461" t="s">
        <v>35</v>
      </c>
      <c r="V461" s="2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tr">
        <f t="shared" si="28"/>
        <v>36-45</v>
      </c>
      <c r="AH461" t="str">
        <f t="shared" si="29"/>
        <v>Mid</v>
      </c>
      <c r="AI461" s="1">
        <f>VLOOKUP(E461,Lookup_Tables!$A$3:$B$5,2,)</f>
        <v>6281.2528616024974</v>
      </c>
      <c r="AJ461" t="str">
        <f t="shared" si="30"/>
        <v>Above salary</v>
      </c>
      <c r="AK461" t="str">
        <f t="shared" si="31"/>
        <v>Medium Risk</v>
      </c>
    </row>
    <row r="462" spans="1:37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618</v>
      </c>
      <c r="J462">
        <v>1</v>
      </c>
      <c r="K462" t="s">
        <v>46</v>
      </c>
      <c r="L462">
        <v>45</v>
      </c>
      <c r="M462">
        <v>3</v>
      </c>
      <c r="N462">
        <v>2</v>
      </c>
      <c r="O462" t="s">
        <v>40</v>
      </c>
      <c r="P462">
        <v>3</v>
      </c>
      <c r="Q462" t="s">
        <v>52</v>
      </c>
      <c r="R462" s="3">
        <v>4306</v>
      </c>
      <c r="S462">
        <v>4267</v>
      </c>
      <c r="T462">
        <v>5</v>
      </c>
      <c r="U462" t="s">
        <v>43</v>
      </c>
      <c r="V462" s="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tr">
        <f t="shared" si="28"/>
        <v>26-35</v>
      </c>
      <c r="AH462" t="str">
        <f t="shared" si="29"/>
        <v>Mid</v>
      </c>
      <c r="AI462" s="1">
        <f>VLOOKUP(E462,Lookup_Tables!$A$3:$B$5,2,)</f>
        <v>6959.17264573991</v>
      </c>
      <c r="AJ462" t="str">
        <f t="shared" si="30"/>
        <v>Below salary</v>
      </c>
      <c r="AK462" t="str">
        <f t="shared" si="31"/>
        <v>Low Risk</v>
      </c>
    </row>
    <row r="463" spans="1:37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620</v>
      </c>
      <c r="J463">
        <v>1</v>
      </c>
      <c r="K463" t="s">
        <v>39</v>
      </c>
      <c r="L463">
        <v>80</v>
      </c>
      <c r="M463">
        <v>3</v>
      </c>
      <c r="N463">
        <v>2</v>
      </c>
      <c r="O463" t="s">
        <v>40</v>
      </c>
      <c r="P463">
        <v>3</v>
      </c>
      <c r="Q463" t="s">
        <v>41</v>
      </c>
      <c r="R463" s="3">
        <v>4859</v>
      </c>
      <c r="S463">
        <v>6698</v>
      </c>
      <c r="T463">
        <v>1</v>
      </c>
      <c r="U463" t="s">
        <v>43</v>
      </c>
      <c r="V463" s="2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tr">
        <f t="shared" si="28"/>
        <v>26-35</v>
      </c>
      <c r="AH463" t="str">
        <f t="shared" si="29"/>
        <v>Mid</v>
      </c>
      <c r="AI463" s="1">
        <f>VLOOKUP(E463,Lookup_Tables!$A$3:$B$5,2,)</f>
        <v>6959.17264573991</v>
      </c>
      <c r="AJ463" t="str">
        <f t="shared" si="30"/>
        <v>Below salary</v>
      </c>
      <c r="AK463" t="str">
        <f t="shared" si="31"/>
        <v>Low Risk</v>
      </c>
    </row>
    <row r="464" spans="1:37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46</v>
      </c>
      <c r="L464">
        <v>74</v>
      </c>
      <c r="M464">
        <v>4</v>
      </c>
      <c r="N464">
        <v>2</v>
      </c>
      <c r="O464" t="s">
        <v>40</v>
      </c>
      <c r="P464">
        <v>4</v>
      </c>
      <c r="Q464" t="s">
        <v>41</v>
      </c>
      <c r="R464" s="3">
        <v>5337</v>
      </c>
      <c r="S464">
        <v>19921</v>
      </c>
      <c r="T464">
        <v>1</v>
      </c>
      <c r="U464" t="s">
        <v>43</v>
      </c>
      <c r="V464" s="2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tr">
        <f t="shared" si="28"/>
        <v>26-35</v>
      </c>
      <c r="AH464" t="str">
        <f t="shared" si="29"/>
        <v>Mid</v>
      </c>
      <c r="AI464" s="1">
        <f>VLOOKUP(E464,Lookup_Tables!$A$3:$B$5,2,)</f>
        <v>6959.17264573991</v>
      </c>
      <c r="AJ464" t="str">
        <f t="shared" si="30"/>
        <v>Below salary</v>
      </c>
      <c r="AK464" t="str">
        <f t="shared" si="31"/>
        <v>Low Risk</v>
      </c>
    </row>
    <row r="465" spans="1:37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622</v>
      </c>
      <c r="J465">
        <v>3</v>
      </c>
      <c r="K465" t="s">
        <v>46</v>
      </c>
      <c r="L465">
        <v>66</v>
      </c>
      <c r="M465">
        <v>1</v>
      </c>
      <c r="N465">
        <v>1</v>
      </c>
      <c r="O465" t="s">
        <v>50</v>
      </c>
      <c r="P465">
        <v>4</v>
      </c>
      <c r="Q465" t="s">
        <v>41</v>
      </c>
      <c r="R465" s="3">
        <v>2340</v>
      </c>
      <c r="S465">
        <v>23213</v>
      </c>
      <c r="T465">
        <v>1</v>
      </c>
      <c r="U465" t="s">
        <v>35</v>
      </c>
      <c r="V465" s="2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tr">
        <f t="shared" si="28"/>
        <v>26-35</v>
      </c>
      <c r="AH465" t="str">
        <f t="shared" si="29"/>
        <v>Low</v>
      </c>
      <c r="AI465" s="1">
        <f>VLOOKUP(E465,Lookup_Tables!$A$3:$B$5,2,)</f>
        <v>6281.2528616024974</v>
      </c>
      <c r="AJ465" t="str">
        <f t="shared" si="30"/>
        <v>Below salary</v>
      </c>
      <c r="AK465" t="str">
        <f t="shared" si="31"/>
        <v>Medium Risk</v>
      </c>
    </row>
    <row r="466" spans="1:37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623</v>
      </c>
      <c r="J466">
        <v>2</v>
      </c>
      <c r="K466" t="s">
        <v>39</v>
      </c>
      <c r="L466">
        <v>59</v>
      </c>
      <c r="M466">
        <v>3</v>
      </c>
      <c r="N466">
        <v>3</v>
      </c>
      <c r="O466" t="s">
        <v>53</v>
      </c>
      <c r="P466">
        <v>4</v>
      </c>
      <c r="Q466" t="s">
        <v>41</v>
      </c>
      <c r="R466" s="3">
        <v>7491</v>
      </c>
      <c r="S466">
        <v>23848</v>
      </c>
      <c r="T466">
        <v>4</v>
      </c>
      <c r="U466" t="s">
        <v>43</v>
      </c>
      <c r="V466" s="2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tr">
        <f t="shared" si="28"/>
        <v>36-45</v>
      </c>
      <c r="AH466" t="str">
        <f t="shared" si="29"/>
        <v>High</v>
      </c>
      <c r="AI466" s="1">
        <f>VLOOKUP(E466,Lookup_Tables!$A$3:$B$5,2,)</f>
        <v>6281.2528616024974</v>
      </c>
      <c r="AJ466" t="str">
        <f t="shared" si="30"/>
        <v>Above salary</v>
      </c>
      <c r="AK466" t="str">
        <f t="shared" si="31"/>
        <v>Low Risk</v>
      </c>
    </row>
    <row r="467" spans="1:37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624</v>
      </c>
      <c r="J467">
        <v>1</v>
      </c>
      <c r="K467" t="s">
        <v>39</v>
      </c>
      <c r="L467">
        <v>86</v>
      </c>
      <c r="M467">
        <v>3</v>
      </c>
      <c r="N467">
        <v>3</v>
      </c>
      <c r="O467" t="s">
        <v>54</v>
      </c>
      <c r="P467">
        <v>3</v>
      </c>
      <c r="Q467" t="s">
        <v>48</v>
      </c>
      <c r="R467" s="3">
        <v>10527</v>
      </c>
      <c r="S467">
        <v>8984</v>
      </c>
      <c r="T467">
        <v>5</v>
      </c>
      <c r="U467" t="s">
        <v>43</v>
      </c>
      <c r="V467" s="2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tr">
        <f t="shared" si="28"/>
        <v>46+</v>
      </c>
      <c r="AH467" t="str">
        <f t="shared" si="29"/>
        <v>High</v>
      </c>
      <c r="AI467" s="1">
        <f>VLOOKUP(E467,Lookup_Tables!$A$3:$B$5,2,)</f>
        <v>6281.2528616024974</v>
      </c>
      <c r="AJ467" t="str">
        <f t="shared" si="30"/>
        <v>Above salary</v>
      </c>
      <c r="AK467" t="str">
        <f t="shared" si="31"/>
        <v>Low Risk</v>
      </c>
    </row>
    <row r="468" spans="1:37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91</v>
      </c>
      <c r="M468">
        <v>3</v>
      </c>
      <c r="N468">
        <v>4</v>
      </c>
      <c r="O468" t="s">
        <v>56</v>
      </c>
      <c r="P468">
        <v>1</v>
      </c>
      <c r="Q468" t="s">
        <v>48</v>
      </c>
      <c r="R468" s="3">
        <v>16595</v>
      </c>
      <c r="S468">
        <v>5626</v>
      </c>
      <c r="T468">
        <v>7</v>
      </c>
      <c r="U468" t="s">
        <v>43</v>
      </c>
      <c r="V468" s="2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tr">
        <f t="shared" si="28"/>
        <v>36-45</v>
      </c>
      <c r="AH468" t="str">
        <f t="shared" si="29"/>
        <v>Very High</v>
      </c>
      <c r="AI468" s="1">
        <f>VLOOKUP(E468,Lookup_Tables!$A$3:$B$5,2,)</f>
        <v>6959.17264573991</v>
      </c>
      <c r="AJ468" t="str">
        <f t="shared" si="30"/>
        <v>Above salary</v>
      </c>
      <c r="AK468" t="str">
        <f t="shared" si="31"/>
        <v>Medium Risk</v>
      </c>
    </row>
    <row r="469" spans="1:37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626</v>
      </c>
      <c r="J469">
        <v>1</v>
      </c>
      <c r="K469" t="s">
        <v>46</v>
      </c>
      <c r="L469">
        <v>69</v>
      </c>
      <c r="M469">
        <v>3</v>
      </c>
      <c r="N469">
        <v>3</v>
      </c>
      <c r="O469" t="s">
        <v>40</v>
      </c>
      <c r="P469">
        <v>2</v>
      </c>
      <c r="Q469" t="s">
        <v>52</v>
      </c>
      <c r="R469" s="3">
        <v>8834</v>
      </c>
      <c r="S469">
        <v>24666</v>
      </c>
      <c r="T469">
        <v>1</v>
      </c>
      <c r="U469" t="s">
        <v>43</v>
      </c>
      <c r="V469" s="2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tr">
        <f t="shared" si="28"/>
        <v>36-45</v>
      </c>
      <c r="AH469" t="str">
        <f t="shared" si="29"/>
        <v>High</v>
      </c>
      <c r="AI469" s="1">
        <f>VLOOKUP(E469,Lookup_Tables!$A$3:$B$5,2,)</f>
        <v>6959.17264573991</v>
      </c>
      <c r="AJ469" t="str">
        <f t="shared" si="30"/>
        <v>Above salary</v>
      </c>
      <c r="AK469" t="str">
        <f t="shared" si="31"/>
        <v>Medium Risk</v>
      </c>
    </row>
    <row r="470" spans="1:37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630</v>
      </c>
      <c r="J470">
        <v>4</v>
      </c>
      <c r="K470" t="s">
        <v>46</v>
      </c>
      <c r="L470">
        <v>78</v>
      </c>
      <c r="M470">
        <v>3</v>
      </c>
      <c r="N470">
        <v>2</v>
      </c>
      <c r="O470" t="s">
        <v>47</v>
      </c>
      <c r="P470">
        <v>1</v>
      </c>
      <c r="Q470" t="s">
        <v>52</v>
      </c>
      <c r="R470" s="3">
        <v>5577</v>
      </c>
      <c r="S470">
        <v>22087</v>
      </c>
      <c r="T470">
        <v>3</v>
      </c>
      <c r="U470" t="s">
        <v>35</v>
      </c>
      <c r="V470" s="2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tr">
        <f t="shared" si="28"/>
        <v>46+</v>
      </c>
      <c r="AH470" t="str">
        <f t="shared" si="29"/>
        <v>Mid</v>
      </c>
      <c r="AI470" s="1">
        <f>VLOOKUP(E470,Lookup_Tables!$A$3:$B$5,2,)</f>
        <v>6281.2528616024974</v>
      </c>
      <c r="AJ470" t="str">
        <f t="shared" si="30"/>
        <v>Below salary</v>
      </c>
      <c r="AK470" t="str">
        <f t="shared" si="31"/>
        <v>High Risk</v>
      </c>
    </row>
    <row r="471" spans="1:37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631</v>
      </c>
      <c r="J471">
        <v>4</v>
      </c>
      <c r="K471" t="s">
        <v>46</v>
      </c>
      <c r="L471">
        <v>60</v>
      </c>
      <c r="M471">
        <v>4</v>
      </c>
      <c r="N471">
        <v>2</v>
      </c>
      <c r="O471" t="s">
        <v>40</v>
      </c>
      <c r="P471">
        <v>3</v>
      </c>
      <c r="Q471" t="s">
        <v>48</v>
      </c>
      <c r="R471" s="3">
        <v>4707</v>
      </c>
      <c r="S471">
        <v>23914</v>
      </c>
      <c r="T471">
        <v>8</v>
      </c>
      <c r="U471" t="s">
        <v>43</v>
      </c>
      <c r="V471" s="2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tr">
        <f t="shared" si="28"/>
        <v>26-35</v>
      </c>
      <c r="AH471" t="str">
        <f t="shared" si="29"/>
        <v>Mid</v>
      </c>
      <c r="AI471" s="1">
        <f>VLOOKUP(E471,Lookup_Tables!$A$3:$B$5,2,)</f>
        <v>6959.17264573991</v>
      </c>
      <c r="AJ471" t="str">
        <f t="shared" si="30"/>
        <v>Below salary</v>
      </c>
      <c r="AK471" t="str">
        <f t="shared" si="31"/>
        <v>Low Risk</v>
      </c>
    </row>
    <row r="472" spans="1:37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632</v>
      </c>
      <c r="J472">
        <v>4</v>
      </c>
      <c r="K472" t="s">
        <v>46</v>
      </c>
      <c r="L472">
        <v>38</v>
      </c>
      <c r="M472">
        <v>3</v>
      </c>
      <c r="N472">
        <v>1</v>
      </c>
      <c r="O472" t="s">
        <v>57</v>
      </c>
      <c r="P472">
        <v>4</v>
      </c>
      <c r="Q472" t="s">
        <v>48</v>
      </c>
      <c r="R472" s="3">
        <v>2400</v>
      </c>
      <c r="S472">
        <v>5530</v>
      </c>
      <c r="T472">
        <v>0</v>
      </c>
      <c r="U472" t="s">
        <v>43</v>
      </c>
      <c r="V472" s="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tr">
        <f t="shared" si="28"/>
        <v>18-25</v>
      </c>
      <c r="AH472" t="str">
        <f t="shared" si="29"/>
        <v>Low</v>
      </c>
      <c r="AI472" s="1">
        <f>VLOOKUP(E472,Lookup_Tables!$A$3:$B$5,2,)</f>
        <v>6959.17264573991</v>
      </c>
      <c r="AJ472" t="str">
        <f t="shared" si="30"/>
        <v>Below salary</v>
      </c>
      <c r="AK472" t="str">
        <f t="shared" si="31"/>
        <v>Low Risk</v>
      </c>
    </row>
    <row r="473" spans="1:37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634</v>
      </c>
      <c r="J473">
        <v>3</v>
      </c>
      <c r="K473" t="s">
        <v>39</v>
      </c>
      <c r="L473">
        <v>76</v>
      </c>
      <c r="M473">
        <v>3</v>
      </c>
      <c r="N473">
        <v>2</v>
      </c>
      <c r="O473" t="s">
        <v>54</v>
      </c>
      <c r="P473">
        <v>3</v>
      </c>
      <c r="Q473" t="s">
        <v>48</v>
      </c>
      <c r="R473" s="3">
        <v>9824</v>
      </c>
      <c r="S473">
        <v>22174</v>
      </c>
      <c r="T473">
        <v>3</v>
      </c>
      <c r="U473" t="s">
        <v>43</v>
      </c>
      <c r="V473" s="2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tr">
        <f t="shared" si="28"/>
        <v>36-45</v>
      </c>
      <c r="AH473" t="str">
        <f t="shared" si="29"/>
        <v>High</v>
      </c>
      <c r="AI473" s="1">
        <f>VLOOKUP(E473,Lookup_Tables!$A$3:$B$5,2,)</f>
        <v>6281.2528616024974</v>
      </c>
      <c r="AJ473" t="str">
        <f t="shared" si="30"/>
        <v>Above salary</v>
      </c>
      <c r="AK473" t="str">
        <f t="shared" si="31"/>
        <v>Low Risk</v>
      </c>
    </row>
    <row r="474" spans="1:37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65</v>
      </c>
      <c r="M474">
        <v>3</v>
      </c>
      <c r="N474">
        <v>2</v>
      </c>
      <c r="O474" t="s">
        <v>53</v>
      </c>
      <c r="P474">
        <v>2</v>
      </c>
      <c r="Q474" t="s">
        <v>48</v>
      </c>
      <c r="R474" s="3">
        <v>6447</v>
      </c>
      <c r="S474">
        <v>15701</v>
      </c>
      <c r="T474">
        <v>6</v>
      </c>
      <c r="U474" t="s">
        <v>43</v>
      </c>
      <c r="V474" s="2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tr">
        <f t="shared" si="28"/>
        <v>36-45</v>
      </c>
      <c r="AH474" t="str">
        <f t="shared" si="29"/>
        <v>Mid</v>
      </c>
      <c r="AI474" s="1">
        <f>VLOOKUP(E474,Lookup_Tables!$A$3:$B$5,2,)</f>
        <v>6281.2528616024974</v>
      </c>
      <c r="AJ474" t="str">
        <f t="shared" si="30"/>
        <v>Above salary</v>
      </c>
      <c r="AK474" t="str">
        <f t="shared" si="31"/>
        <v>Medium Risk</v>
      </c>
    </row>
    <row r="475" spans="1:37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46</v>
      </c>
      <c r="L475">
        <v>58</v>
      </c>
      <c r="M475">
        <v>2</v>
      </c>
      <c r="N475">
        <v>5</v>
      </c>
      <c r="O475" t="s">
        <v>58</v>
      </c>
      <c r="P475">
        <v>3</v>
      </c>
      <c r="Q475" t="s">
        <v>52</v>
      </c>
      <c r="R475" s="3">
        <v>19502</v>
      </c>
      <c r="S475">
        <v>2125</v>
      </c>
      <c r="T475">
        <v>1</v>
      </c>
      <c r="U475" t="s">
        <v>35</v>
      </c>
      <c r="V475" s="2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tr">
        <f t="shared" si="28"/>
        <v>46+</v>
      </c>
      <c r="AH475" t="str">
        <f t="shared" si="29"/>
        <v>Very High</v>
      </c>
      <c r="AI475" s="1">
        <f>VLOOKUP(E475,Lookup_Tables!$A$3:$B$5,2,)</f>
        <v>6281.2528616024974</v>
      </c>
      <c r="AJ475" t="str">
        <f t="shared" si="30"/>
        <v>Above salary</v>
      </c>
      <c r="AK475" t="str">
        <f t="shared" si="31"/>
        <v>Medium Risk</v>
      </c>
    </row>
    <row r="476" spans="1:37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639</v>
      </c>
      <c r="J476">
        <v>2</v>
      </c>
      <c r="K476" t="s">
        <v>46</v>
      </c>
      <c r="L476">
        <v>89</v>
      </c>
      <c r="M476">
        <v>4</v>
      </c>
      <c r="N476">
        <v>1</v>
      </c>
      <c r="O476" t="s">
        <v>47</v>
      </c>
      <c r="P476">
        <v>4</v>
      </c>
      <c r="Q476" t="s">
        <v>48</v>
      </c>
      <c r="R476" s="3">
        <v>2725</v>
      </c>
      <c r="S476">
        <v>21630</v>
      </c>
      <c r="T476">
        <v>1</v>
      </c>
      <c r="U476" t="s">
        <v>35</v>
      </c>
      <c r="V476" s="2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tr">
        <f t="shared" si="28"/>
        <v>18-25</v>
      </c>
      <c r="AH476" t="str">
        <f t="shared" si="29"/>
        <v>Low</v>
      </c>
      <c r="AI476" s="1">
        <f>VLOOKUP(E476,Lookup_Tables!$A$3:$B$5,2,)</f>
        <v>6281.2528616024974</v>
      </c>
      <c r="AJ476" t="str">
        <f t="shared" si="30"/>
        <v>Below salary</v>
      </c>
      <c r="AK476" t="str">
        <f t="shared" si="31"/>
        <v>Medium Risk</v>
      </c>
    </row>
    <row r="477" spans="1:37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641</v>
      </c>
      <c r="J477">
        <v>1</v>
      </c>
      <c r="K477" t="s">
        <v>46</v>
      </c>
      <c r="L477">
        <v>66</v>
      </c>
      <c r="M477">
        <v>3</v>
      </c>
      <c r="N477">
        <v>2</v>
      </c>
      <c r="O477" t="s">
        <v>40</v>
      </c>
      <c r="P477">
        <v>2</v>
      </c>
      <c r="Q477" t="s">
        <v>48</v>
      </c>
      <c r="R477" s="3">
        <v>6272</v>
      </c>
      <c r="S477">
        <v>7428</v>
      </c>
      <c r="T477">
        <v>1</v>
      </c>
      <c r="U477" t="s">
        <v>43</v>
      </c>
      <c r="V477" s="2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tr">
        <f t="shared" si="28"/>
        <v>26-35</v>
      </c>
      <c r="AH477" t="str">
        <f t="shared" si="29"/>
        <v>Mid</v>
      </c>
      <c r="AI477" s="1">
        <f>VLOOKUP(E477,Lookup_Tables!$A$3:$B$5,2,)</f>
        <v>6959.17264573991</v>
      </c>
      <c r="AJ477" t="str">
        <f t="shared" si="30"/>
        <v>Below salary</v>
      </c>
      <c r="AK477" t="str">
        <f t="shared" si="31"/>
        <v>Medium Risk</v>
      </c>
    </row>
    <row r="478" spans="1:37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t="s">
        <v>46</v>
      </c>
      <c r="L478">
        <v>94</v>
      </c>
      <c r="M478">
        <v>2</v>
      </c>
      <c r="N478">
        <v>1</v>
      </c>
      <c r="O478" t="s">
        <v>50</v>
      </c>
      <c r="P478">
        <v>2</v>
      </c>
      <c r="Q478" t="s">
        <v>48</v>
      </c>
      <c r="R478" s="3">
        <v>2127</v>
      </c>
      <c r="S478">
        <v>9100</v>
      </c>
      <c r="T478">
        <v>1</v>
      </c>
      <c r="U478" t="s">
        <v>43</v>
      </c>
      <c r="V478" s="2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tr">
        <f t="shared" si="28"/>
        <v>18-25</v>
      </c>
      <c r="AH478" t="str">
        <f t="shared" si="29"/>
        <v>Low</v>
      </c>
      <c r="AI478" s="1">
        <f>VLOOKUP(E478,Lookup_Tables!$A$3:$B$5,2,)</f>
        <v>6281.2528616024974</v>
      </c>
      <c r="AJ478" t="str">
        <f t="shared" si="30"/>
        <v>Below salary</v>
      </c>
      <c r="AK478" t="str">
        <f t="shared" si="31"/>
        <v>Medium Risk</v>
      </c>
    </row>
    <row r="479" spans="1:37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644</v>
      </c>
      <c r="J479">
        <v>1</v>
      </c>
      <c r="K479" t="s">
        <v>46</v>
      </c>
      <c r="L479">
        <v>99</v>
      </c>
      <c r="M479">
        <v>3</v>
      </c>
      <c r="N479">
        <v>5</v>
      </c>
      <c r="O479" t="s">
        <v>56</v>
      </c>
      <c r="P479">
        <v>2</v>
      </c>
      <c r="Q479" t="s">
        <v>48</v>
      </c>
      <c r="R479" s="3">
        <v>18200</v>
      </c>
      <c r="S479">
        <v>7999</v>
      </c>
      <c r="T479">
        <v>1</v>
      </c>
      <c r="U479" t="s">
        <v>43</v>
      </c>
      <c r="V479" s="2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tr">
        <f t="shared" si="28"/>
        <v>46+</v>
      </c>
      <c r="AH479" t="str">
        <f t="shared" si="29"/>
        <v>Very High</v>
      </c>
      <c r="AI479" s="1">
        <f>VLOOKUP(E479,Lookup_Tables!$A$3:$B$5,2,)</f>
        <v>6654.5079365079364</v>
      </c>
      <c r="AJ479" t="str">
        <f t="shared" si="30"/>
        <v>Above salary</v>
      </c>
      <c r="AK479" t="str">
        <f t="shared" si="31"/>
        <v>Medium Risk</v>
      </c>
    </row>
    <row r="480" spans="1:37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645</v>
      </c>
      <c r="J480">
        <v>2</v>
      </c>
      <c r="K480" t="s">
        <v>46</v>
      </c>
      <c r="L480">
        <v>40</v>
      </c>
      <c r="M480">
        <v>3</v>
      </c>
      <c r="N480">
        <v>1</v>
      </c>
      <c r="O480" t="s">
        <v>57</v>
      </c>
      <c r="P480">
        <v>3</v>
      </c>
      <c r="Q480" t="s">
        <v>48</v>
      </c>
      <c r="R480" s="3">
        <v>2096</v>
      </c>
      <c r="S480">
        <v>26376</v>
      </c>
      <c r="T480">
        <v>1</v>
      </c>
      <c r="U480" t="s">
        <v>43</v>
      </c>
      <c r="V480" s="2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tr">
        <f t="shared" si="28"/>
        <v>18-25</v>
      </c>
      <c r="AH480" t="str">
        <f t="shared" si="29"/>
        <v>Low</v>
      </c>
      <c r="AI480" s="1">
        <f>VLOOKUP(E480,Lookup_Tables!$A$3:$B$5,2,)</f>
        <v>6959.17264573991</v>
      </c>
      <c r="AJ480" t="str">
        <f t="shared" si="30"/>
        <v>Below salary</v>
      </c>
      <c r="AK480" t="str">
        <f t="shared" si="31"/>
        <v>Low Risk</v>
      </c>
    </row>
    <row r="481" spans="1:37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55</v>
      </c>
      <c r="M481">
        <v>3</v>
      </c>
      <c r="N481">
        <v>1</v>
      </c>
      <c r="O481" t="s">
        <v>50</v>
      </c>
      <c r="P481">
        <v>3</v>
      </c>
      <c r="Q481" t="s">
        <v>48</v>
      </c>
      <c r="R481" s="3">
        <v>2886</v>
      </c>
      <c r="S481">
        <v>14168</v>
      </c>
      <c r="T481">
        <v>1</v>
      </c>
      <c r="U481" t="s">
        <v>35</v>
      </c>
      <c r="V481" s="2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tr">
        <f t="shared" si="28"/>
        <v>18-25</v>
      </c>
      <c r="AH481" t="str">
        <f t="shared" si="29"/>
        <v>Low</v>
      </c>
      <c r="AI481" s="1">
        <f>VLOOKUP(E481,Lookup_Tables!$A$3:$B$5,2,)</f>
        <v>6281.2528616024974</v>
      </c>
      <c r="AJ481" t="str">
        <f t="shared" si="30"/>
        <v>Below salary</v>
      </c>
      <c r="AK481" t="str">
        <f t="shared" si="31"/>
        <v>Medium Risk</v>
      </c>
    </row>
    <row r="482" spans="1:37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46</v>
      </c>
      <c r="L482">
        <v>74</v>
      </c>
      <c r="M482">
        <v>2</v>
      </c>
      <c r="N482">
        <v>1</v>
      </c>
      <c r="O482" t="s">
        <v>57</v>
      </c>
      <c r="P482">
        <v>1</v>
      </c>
      <c r="Q482" t="s">
        <v>48</v>
      </c>
      <c r="R482" s="3">
        <v>2033</v>
      </c>
      <c r="S482">
        <v>14470</v>
      </c>
      <c r="T482">
        <v>1</v>
      </c>
      <c r="U482" t="s">
        <v>43</v>
      </c>
      <c r="V482" s="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tr">
        <f t="shared" si="28"/>
        <v>26-35</v>
      </c>
      <c r="AH482" t="str">
        <f t="shared" si="29"/>
        <v>Low</v>
      </c>
      <c r="AI482" s="1">
        <f>VLOOKUP(E482,Lookup_Tables!$A$3:$B$5,2,)</f>
        <v>6959.17264573991</v>
      </c>
      <c r="AJ482" t="str">
        <f t="shared" si="30"/>
        <v>Below salary</v>
      </c>
      <c r="AK482" t="str">
        <f t="shared" si="31"/>
        <v>Medium Risk</v>
      </c>
    </row>
    <row r="483" spans="1:37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46</v>
      </c>
      <c r="L483">
        <v>83</v>
      </c>
      <c r="M483">
        <v>2</v>
      </c>
      <c r="N483">
        <v>1</v>
      </c>
      <c r="O483" t="s">
        <v>47</v>
      </c>
      <c r="P483">
        <v>4</v>
      </c>
      <c r="Q483" t="s">
        <v>48</v>
      </c>
      <c r="R483" s="3">
        <v>3622</v>
      </c>
      <c r="S483">
        <v>22794</v>
      </c>
      <c r="T483">
        <v>1</v>
      </c>
      <c r="U483" t="s">
        <v>35</v>
      </c>
      <c r="V483" s="2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tr">
        <f t="shared" si="28"/>
        <v>26-35</v>
      </c>
      <c r="AH483" t="str">
        <f t="shared" si="29"/>
        <v>Mid</v>
      </c>
      <c r="AI483" s="1">
        <f>VLOOKUP(E483,Lookup_Tables!$A$3:$B$5,2,)</f>
        <v>6281.2528616024974</v>
      </c>
      <c r="AJ483" t="str">
        <f t="shared" si="30"/>
        <v>Below salary</v>
      </c>
      <c r="AK483" t="str">
        <f t="shared" si="31"/>
        <v>Medium Risk</v>
      </c>
    </row>
    <row r="484" spans="1:37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650</v>
      </c>
      <c r="J484">
        <v>2</v>
      </c>
      <c r="K484" t="s">
        <v>46</v>
      </c>
      <c r="L484">
        <v>46</v>
      </c>
      <c r="M484">
        <v>3</v>
      </c>
      <c r="N484">
        <v>2</v>
      </c>
      <c r="O484" t="s">
        <v>40</v>
      </c>
      <c r="P484">
        <v>1</v>
      </c>
      <c r="Q484" t="s">
        <v>52</v>
      </c>
      <c r="R484" s="3">
        <v>4233</v>
      </c>
      <c r="S484">
        <v>11512</v>
      </c>
      <c r="T484">
        <v>2</v>
      </c>
      <c r="U484" t="s">
        <v>43</v>
      </c>
      <c r="V484" s="2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tr">
        <f t="shared" si="28"/>
        <v>26-35</v>
      </c>
      <c r="AH484" t="str">
        <f t="shared" si="29"/>
        <v>Mid</v>
      </c>
      <c r="AI484" s="1">
        <f>VLOOKUP(E484,Lookup_Tables!$A$3:$B$5,2,)</f>
        <v>6959.17264573991</v>
      </c>
      <c r="AJ484" t="str">
        <f t="shared" si="30"/>
        <v>Below salary</v>
      </c>
      <c r="AK484" t="str">
        <f t="shared" si="31"/>
        <v>Medium Risk</v>
      </c>
    </row>
    <row r="485" spans="1:37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t="s">
        <v>46</v>
      </c>
      <c r="L485">
        <v>54</v>
      </c>
      <c r="M485">
        <v>2</v>
      </c>
      <c r="N485">
        <v>2</v>
      </c>
      <c r="O485" t="s">
        <v>50</v>
      </c>
      <c r="P485">
        <v>4</v>
      </c>
      <c r="Q485" t="s">
        <v>41</v>
      </c>
      <c r="R485" s="3">
        <v>3681</v>
      </c>
      <c r="S485">
        <v>14004</v>
      </c>
      <c r="T485">
        <v>4</v>
      </c>
      <c r="U485" t="s">
        <v>43</v>
      </c>
      <c r="V485" s="2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tr">
        <f t="shared" si="28"/>
        <v>26-35</v>
      </c>
      <c r="AH485" t="str">
        <f t="shared" si="29"/>
        <v>Mid</v>
      </c>
      <c r="AI485" s="1">
        <f>VLOOKUP(E485,Lookup_Tables!$A$3:$B$5,2,)</f>
        <v>6281.2528616024974</v>
      </c>
      <c r="AJ485" t="str">
        <f t="shared" si="30"/>
        <v>Below salary</v>
      </c>
      <c r="AK485" t="str">
        <f t="shared" si="31"/>
        <v>Low Risk</v>
      </c>
    </row>
    <row r="486" spans="1:37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653</v>
      </c>
      <c r="J486">
        <v>1</v>
      </c>
      <c r="K486" t="s">
        <v>46</v>
      </c>
      <c r="L486">
        <v>66</v>
      </c>
      <c r="M486">
        <v>4</v>
      </c>
      <c r="N486">
        <v>2</v>
      </c>
      <c r="O486" t="s">
        <v>40</v>
      </c>
      <c r="P486">
        <v>4</v>
      </c>
      <c r="Q486" t="s">
        <v>52</v>
      </c>
      <c r="R486" s="3">
        <v>5460</v>
      </c>
      <c r="S486">
        <v>6219</v>
      </c>
      <c r="T486">
        <v>4</v>
      </c>
      <c r="U486" t="s">
        <v>43</v>
      </c>
      <c r="V486" s="2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tr">
        <f t="shared" si="28"/>
        <v>26-35</v>
      </c>
      <c r="AH486" t="str">
        <f t="shared" si="29"/>
        <v>Mid</v>
      </c>
      <c r="AI486" s="1">
        <f>VLOOKUP(E486,Lookup_Tables!$A$3:$B$5,2,)</f>
        <v>6959.17264573991</v>
      </c>
      <c r="AJ486" t="str">
        <f t="shared" si="30"/>
        <v>Below salary</v>
      </c>
      <c r="AK486" t="str">
        <f t="shared" si="31"/>
        <v>Low Risk</v>
      </c>
    </row>
    <row r="487" spans="1:37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655</v>
      </c>
      <c r="J487">
        <v>1</v>
      </c>
      <c r="K487" t="s">
        <v>39</v>
      </c>
      <c r="L487">
        <v>66</v>
      </c>
      <c r="M487">
        <v>2</v>
      </c>
      <c r="N487">
        <v>1</v>
      </c>
      <c r="O487" t="s">
        <v>47</v>
      </c>
      <c r="P487">
        <v>3</v>
      </c>
      <c r="Q487" t="s">
        <v>52</v>
      </c>
      <c r="R487" s="3">
        <v>2187</v>
      </c>
      <c r="S487">
        <v>5013</v>
      </c>
      <c r="T487">
        <v>0</v>
      </c>
      <c r="U487" t="s">
        <v>43</v>
      </c>
      <c r="V487" s="2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tr">
        <f t="shared" si="28"/>
        <v>26-35</v>
      </c>
      <c r="AH487" t="str">
        <f t="shared" si="29"/>
        <v>Low</v>
      </c>
      <c r="AI487" s="1">
        <f>VLOOKUP(E487,Lookup_Tables!$A$3:$B$5,2,)</f>
        <v>6281.2528616024974</v>
      </c>
      <c r="AJ487" t="str">
        <f t="shared" si="30"/>
        <v>Below salary</v>
      </c>
      <c r="AK487" t="str">
        <f t="shared" si="31"/>
        <v>Low Risk</v>
      </c>
    </row>
    <row r="488" spans="1:37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656</v>
      </c>
      <c r="J488">
        <v>4</v>
      </c>
      <c r="K488" t="s">
        <v>46</v>
      </c>
      <c r="L488">
        <v>75</v>
      </c>
      <c r="M488">
        <v>3</v>
      </c>
      <c r="N488">
        <v>2</v>
      </c>
      <c r="O488" t="s">
        <v>40</v>
      </c>
      <c r="P488">
        <v>3</v>
      </c>
      <c r="Q488" t="s">
        <v>48</v>
      </c>
      <c r="R488" s="3">
        <v>9602</v>
      </c>
      <c r="S488">
        <v>3010</v>
      </c>
      <c r="T488">
        <v>4</v>
      </c>
      <c r="U488" t="s">
        <v>35</v>
      </c>
      <c r="V488" s="2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tr">
        <f t="shared" si="28"/>
        <v>36-45</v>
      </c>
      <c r="AH488" t="str">
        <f t="shared" si="29"/>
        <v>High</v>
      </c>
      <c r="AI488" s="1">
        <f>VLOOKUP(E488,Lookup_Tables!$A$3:$B$5,2,)</f>
        <v>6959.17264573991</v>
      </c>
      <c r="AJ488" t="str">
        <f t="shared" si="30"/>
        <v>Above salary</v>
      </c>
      <c r="AK488" t="str">
        <f t="shared" si="31"/>
        <v>Medium Risk</v>
      </c>
    </row>
    <row r="489" spans="1:37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83</v>
      </c>
      <c r="M489">
        <v>2</v>
      </c>
      <c r="N489">
        <v>1</v>
      </c>
      <c r="O489" t="s">
        <v>47</v>
      </c>
      <c r="P489">
        <v>2</v>
      </c>
      <c r="Q489" t="s">
        <v>41</v>
      </c>
      <c r="R489" s="3">
        <v>2836</v>
      </c>
      <c r="S489">
        <v>11757</v>
      </c>
      <c r="T489">
        <v>1</v>
      </c>
      <c r="U489" t="s">
        <v>43</v>
      </c>
      <c r="V489" s="2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tr">
        <f t="shared" si="28"/>
        <v>18-25</v>
      </c>
      <c r="AH489" t="str">
        <f t="shared" si="29"/>
        <v>Low</v>
      </c>
      <c r="AI489" s="1">
        <f>VLOOKUP(E489,Lookup_Tables!$A$3:$B$5,2,)</f>
        <v>6281.2528616024974</v>
      </c>
      <c r="AJ489" t="str">
        <f t="shared" si="30"/>
        <v>Below salary</v>
      </c>
      <c r="AK489" t="str">
        <f t="shared" si="31"/>
        <v>Medium Risk</v>
      </c>
    </row>
    <row r="490" spans="1:37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81</v>
      </c>
      <c r="M490">
        <v>3</v>
      </c>
      <c r="N490">
        <v>2</v>
      </c>
      <c r="O490" t="s">
        <v>54</v>
      </c>
      <c r="P490">
        <v>4</v>
      </c>
      <c r="Q490" t="s">
        <v>48</v>
      </c>
      <c r="R490" s="3">
        <v>4089</v>
      </c>
      <c r="S490">
        <v>5718</v>
      </c>
      <c r="T490">
        <v>1</v>
      </c>
      <c r="U490" t="s">
        <v>43</v>
      </c>
      <c r="V490" s="2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tr">
        <f t="shared" si="28"/>
        <v>36-45</v>
      </c>
      <c r="AH490" t="str">
        <f t="shared" si="29"/>
        <v>Mid</v>
      </c>
      <c r="AI490" s="1">
        <f>VLOOKUP(E490,Lookup_Tables!$A$3:$B$5,2,)</f>
        <v>6281.2528616024974</v>
      </c>
      <c r="AJ490" t="str">
        <f t="shared" si="30"/>
        <v>Below salary</v>
      </c>
      <c r="AK490" t="str">
        <f t="shared" si="31"/>
        <v>Low Risk</v>
      </c>
    </row>
    <row r="491" spans="1:37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t="s">
        <v>46</v>
      </c>
      <c r="L491">
        <v>50</v>
      </c>
      <c r="M491">
        <v>2</v>
      </c>
      <c r="N491">
        <v>4</v>
      </c>
      <c r="O491" t="s">
        <v>58</v>
      </c>
      <c r="P491">
        <v>4</v>
      </c>
      <c r="Q491" t="s">
        <v>52</v>
      </c>
      <c r="R491" s="3">
        <v>16627</v>
      </c>
      <c r="S491">
        <v>2671</v>
      </c>
      <c r="T491">
        <v>4</v>
      </c>
      <c r="U491" t="s">
        <v>35</v>
      </c>
      <c r="V491" s="2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tr">
        <f t="shared" si="28"/>
        <v>36-45</v>
      </c>
      <c r="AH491" t="str">
        <f t="shared" si="29"/>
        <v>Very High</v>
      </c>
      <c r="AI491" s="1">
        <f>VLOOKUP(E491,Lookup_Tables!$A$3:$B$5,2,)</f>
        <v>6281.2528616024974</v>
      </c>
      <c r="AJ491" t="str">
        <f t="shared" si="30"/>
        <v>Above salary</v>
      </c>
      <c r="AK491" t="str">
        <f t="shared" si="31"/>
        <v>Medium Risk</v>
      </c>
    </row>
    <row r="492" spans="1:37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43</v>
      </c>
      <c r="M492">
        <v>3</v>
      </c>
      <c r="N492">
        <v>1</v>
      </c>
      <c r="O492" t="s">
        <v>47</v>
      </c>
      <c r="P492">
        <v>1</v>
      </c>
      <c r="Q492" t="s">
        <v>41</v>
      </c>
      <c r="R492" s="3">
        <v>2619</v>
      </c>
      <c r="S492">
        <v>14561</v>
      </c>
      <c r="T492">
        <v>3</v>
      </c>
      <c r="U492" t="s">
        <v>43</v>
      </c>
      <c r="V492" s="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tr">
        <f t="shared" si="28"/>
        <v>36-45</v>
      </c>
      <c r="AH492" t="str">
        <f t="shared" si="29"/>
        <v>Low</v>
      </c>
      <c r="AI492" s="1">
        <f>VLOOKUP(E492,Lookup_Tables!$A$3:$B$5,2,)</f>
        <v>6281.2528616024974</v>
      </c>
      <c r="AJ492" t="str">
        <f t="shared" si="30"/>
        <v>Below salary</v>
      </c>
      <c r="AK492" t="str">
        <f t="shared" si="31"/>
        <v>Medium Risk</v>
      </c>
    </row>
    <row r="493" spans="1:37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663</v>
      </c>
      <c r="J493">
        <v>4</v>
      </c>
      <c r="K493" t="s">
        <v>46</v>
      </c>
      <c r="L493">
        <v>72</v>
      </c>
      <c r="M493">
        <v>3</v>
      </c>
      <c r="N493">
        <v>2</v>
      </c>
      <c r="O493" t="s">
        <v>50</v>
      </c>
      <c r="P493">
        <v>3</v>
      </c>
      <c r="Q493" t="s">
        <v>52</v>
      </c>
      <c r="R493" s="3">
        <v>5679</v>
      </c>
      <c r="S493">
        <v>19627</v>
      </c>
      <c r="T493">
        <v>3</v>
      </c>
      <c r="U493" t="s">
        <v>35</v>
      </c>
      <c r="V493" s="2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tr">
        <f t="shared" si="28"/>
        <v>36-45</v>
      </c>
      <c r="AH493" t="str">
        <f t="shared" si="29"/>
        <v>Mid</v>
      </c>
      <c r="AI493" s="1">
        <f>VLOOKUP(E493,Lookup_Tables!$A$3:$B$5,2,)</f>
        <v>6281.2528616024974</v>
      </c>
      <c r="AJ493" t="str">
        <f t="shared" si="30"/>
        <v>Below salary</v>
      </c>
      <c r="AK493" t="str">
        <f t="shared" si="31"/>
        <v>Medium Risk</v>
      </c>
    </row>
    <row r="494" spans="1:37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40</v>
      </c>
      <c r="M494">
        <v>2</v>
      </c>
      <c r="N494">
        <v>4</v>
      </c>
      <c r="O494" t="s">
        <v>56</v>
      </c>
      <c r="P494">
        <v>1</v>
      </c>
      <c r="Q494" t="s">
        <v>48</v>
      </c>
      <c r="R494" s="3">
        <v>15402</v>
      </c>
      <c r="S494">
        <v>17997</v>
      </c>
      <c r="T494">
        <v>7</v>
      </c>
      <c r="U494" t="s">
        <v>43</v>
      </c>
      <c r="V494" s="2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tr">
        <f t="shared" si="28"/>
        <v>46+</v>
      </c>
      <c r="AH494" t="str">
        <f t="shared" si="29"/>
        <v>Very High</v>
      </c>
      <c r="AI494" s="1">
        <f>VLOOKUP(E494,Lookup_Tables!$A$3:$B$5,2,)</f>
        <v>6281.2528616024974</v>
      </c>
      <c r="AJ494" t="str">
        <f t="shared" si="30"/>
        <v>Above salary</v>
      </c>
      <c r="AK494" t="str">
        <f t="shared" si="31"/>
        <v>Medium Risk</v>
      </c>
    </row>
    <row r="495" spans="1:37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50</v>
      </c>
      <c r="M495">
        <v>2</v>
      </c>
      <c r="N495">
        <v>2</v>
      </c>
      <c r="O495" t="s">
        <v>61</v>
      </c>
      <c r="P495">
        <v>3</v>
      </c>
      <c r="Q495" t="s">
        <v>41</v>
      </c>
      <c r="R495" s="3">
        <v>5985</v>
      </c>
      <c r="S495">
        <v>26894</v>
      </c>
      <c r="T495">
        <v>4</v>
      </c>
      <c r="U495" t="s">
        <v>43</v>
      </c>
      <c r="V495" s="2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tr">
        <f t="shared" si="28"/>
        <v>36-45</v>
      </c>
      <c r="AH495" t="str">
        <f t="shared" si="29"/>
        <v>Mid</v>
      </c>
      <c r="AI495" s="1">
        <f>VLOOKUP(E495,Lookup_Tables!$A$3:$B$5,2,)</f>
        <v>6654.5079365079364</v>
      </c>
      <c r="AJ495" t="str">
        <f t="shared" si="30"/>
        <v>Below salary</v>
      </c>
      <c r="AK495" t="str">
        <f t="shared" si="31"/>
        <v>Low Risk</v>
      </c>
    </row>
    <row r="496" spans="1:37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666</v>
      </c>
      <c r="J496">
        <v>3</v>
      </c>
      <c r="K496" t="s">
        <v>39</v>
      </c>
      <c r="L496">
        <v>31</v>
      </c>
      <c r="M496">
        <v>3</v>
      </c>
      <c r="N496">
        <v>1</v>
      </c>
      <c r="O496" t="s">
        <v>57</v>
      </c>
      <c r="P496">
        <v>3</v>
      </c>
      <c r="Q496" t="s">
        <v>52</v>
      </c>
      <c r="R496" s="3">
        <v>2579</v>
      </c>
      <c r="S496">
        <v>2912</v>
      </c>
      <c r="T496">
        <v>1</v>
      </c>
      <c r="U496" t="s">
        <v>35</v>
      </c>
      <c r="V496" s="2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tr">
        <f t="shared" si="28"/>
        <v>26-35</v>
      </c>
      <c r="AH496" t="str">
        <f t="shared" si="29"/>
        <v>Low</v>
      </c>
      <c r="AI496" s="1">
        <f>VLOOKUP(E496,Lookup_Tables!$A$3:$B$5,2,)</f>
        <v>6959.17264573991</v>
      </c>
      <c r="AJ496" t="str">
        <f t="shared" si="30"/>
        <v>Below salary</v>
      </c>
      <c r="AK496" t="str">
        <f t="shared" si="31"/>
        <v>Medium Risk</v>
      </c>
    </row>
    <row r="497" spans="1:37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667</v>
      </c>
      <c r="J497">
        <v>3</v>
      </c>
      <c r="K497" t="s">
        <v>46</v>
      </c>
      <c r="L497">
        <v>85</v>
      </c>
      <c r="M497">
        <v>3</v>
      </c>
      <c r="N497">
        <v>1</v>
      </c>
      <c r="O497" t="s">
        <v>57</v>
      </c>
      <c r="P497">
        <v>1</v>
      </c>
      <c r="Q497" t="s">
        <v>52</v>
      </c>
      <c r="R497" s="3">
        <v>3041</v>
      </c>
      <c r="S497">
        <v>16346</v>
      </c>
      <c r="T497">
        <v>0</v>
      </c>
      <c r="U497" t="s">
        <v>43</v>
      </c>
      <c r="V497" s="2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tr">
        <f t="shared" si="28"/>
        <v>26-35</v>
      </c>
      <c r="AH497" t="str">
        <f t="shared" si="29"/>
        <v>Mid</v>
      </c>
      <c r="AI497" s="1">
        <f>VLOOKUP(E497,Lookup_Tables!$A$3:$B$5,2,)</f>
        <v>6959.17264573991</v>
      </c>
      <c r="AJ497" t="str">
        <f t="shared" si="30"/>
        <v>Below salary</v>
      </c>
      <c r="AK497" t="str">
        <f t="shared" si="31"/>
        <v>Medium Risk</v>
      </c>
    </row>
    <row r="498" spans="1:37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669</v>
      </c>
      <c r="J498">
        <v>3</v>
      </c>
      <c r="K498" t="s">
        <v>46</v>
      </c>
      <c r="L498">
        <v>49</v>
      </c>
      <c r="M498">
        <v>3</v>
      </c>
      <c r="N498">
        <v>1</v>
      </c>
      <c r="O498" t="s">
        <v>57</v>
      </c>
      <c r="P498">
        <v>3</v>
      </c>
      <c r="Q498" t="s">
        <v>41</v>
      </c>
      <c r="R498" s="3">
        <v>3447</v>
      </c>
      <c r="S498">
        <v>24444</v>
      </c>
      <c r="T498">
        <v>1</v>
      </c>
      <c r="U498" t="s">
        <v>43</v>
      </c>
      <c r="V498" s="2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tr">
        <f t="shared" si="28"/>
        <v>18-25</v>
      </c>
      <c r="AH498" t="str">
        <f t="shared" si="29"/>
        <v>Mid</v>
      </c>
      <c r="AI498" s="1">
        <f>VLOOKUP(E498,Lookup_Tables!$A$3:$B$5,2,)</f>
        <v>6959.17264573991</v>
      </c>
      <c r="AJ498" t="str">
        <f t="shared" si="30"/>
        <v>Below salary</v>
      </c>
      <c r="AK498" t="str">
        <f t="shared" si="31"/>
        <v>Low Risk</v>
      </c>
    </row>
    <row r="499" spans="1:37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t="s">
        <v>46</v>
      </c>
      <c r="L499">
        <v>35</v>
      </c>
      <c r="M499">
        <v>3</v>
      </c>
      <c r="N499">
        <v>5</v>
      </c>
      <c r="O499" t="s">
        <v>56</v>
      </c>
      <c r="P499">
        <v>4</v>
      </c>
      <c r="Q499" t="s">
        <v>48</v>
      </c>
      <c r="R499" s="3">
        <v>19513</v>
      </c>
      <c r="S499">
        <v>9358</v>
      </c>
      <c r="T499">
        <v>4</v>
      </c>
      <c r="U499" t="s">
        <v>35</v>
      </c>
      <c r="V499" s="2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tr">
        <f t="shared" si="28"/>
        <v>36-45</v>
      </c>
      <c r="AH499" t="str">
        <f t="shared" si="29"/>
        <v>Very High</v>
      </c>
      <c r="AI499" s="1">
        <f>VLOOKUP(E499,Lookup_Tables!$A$3:$B$5,2,)</f>
        <v>6281.2528616024974</v>
      </c>
      <c r="AJ499" t="str">
        <f t="shared" si="30"/>
        <v>Above salary</v>
      </c>
      <c r="AK499" t="str">
        <f t="shared" si="31"/>
        <v>Medium Risk</v>
      </c>
    </row>
    <row r="500" spans="1:37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675</v>
      </c>
      <c r="J500">
        <v>1</v>
      </c>
      <c r="K500" t="s">
        <v>46</v>
      </c>
      <c r="L500">
        <v>69</v>
      </c>
      <c r="M500">
        <v>3</v>
      </c>
      <c r="N500">
        <v>1</v>
      </c>
      <c r="O500" t="s">
        <v>47</v>
      </c>
      <c r="P500">
        <v>3</v>
      </c>
      <c r="Q500" t="s">
        <v>48</v>
      </c>
      <c r="R500" s="3">
        <v>2773</v>
      </c>
      <c r="S500">
        <v>12145</v>
      </c>
      <c r="T500">
        <v>0</v>
      </c>
      <c r="U500" t="s">
        <v>43</v>
      </c>
      <c r="V500" s="2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tr">
        <f t="shared" si="28"/>
        <v>18-25</v>
      </c>
      <c r="AH500" t="str">
        <f t="shared" si="29"/>
        <v>Low</v>
      </c>
      <c r="AI500" s="1">
        <f>VLOOKUP(E500,Lookup_Tables!$A$3:$B$5,2,)</f>
        <v>6281.2528616024974</v>
      </c>
      <c r="AJ500" t="str">
        <f t="shared" si="30"/>
        <v>Below salary</v>
      </c>
      <c r="AK500" t="str">
        <f t="shared" si="31"/>
        <v>Low Risk</v>
      </c>
    </row>
    <row r="501" spans="1:37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677</v>
      </c>
      <c r="J501">
        <v>3</v>
      </c>
      <c r="K501" t="s">
        <v>46</v>
      </c>
      <c r="L501">
        <v>39</v>
      </c>
      <c r="M501">
        <v>3</v>
      </c>
      <c r="N501">
        <v>2</v>
      </c>
      <c r="O501" t="s">
        <v>40</v>
      </c>
      <c r="P501">
        <v>3</v>
      </c>
      <c r="Q501" t="s">
        <v>52</v>
      </c>
      <c r="R501" s="3">
        <v>7104</v>
      </c>
      <c r="S501">
        <v>20431</v>
      </c>
      <c r="T501">
        <v>0</v>
      </c>
      <c r="U501" t="s">
        <v>43</v>
      </c>
      <c r="V501" s="2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tr">
        <f t="shared" si="28"/>
        <v>26-35</v>
      </c>
      <c r="AH501" t="str">
        <f t="shared" si="29"/>
        <v>High</v>
      </c>
      <c r="AI501" s="1">
        <f>VLOOKUP(E501,Lookup_Tables!$A$3:$B$5,2,)</f>
        <v>6959.17264573991</v>
      </c>
      <c r="AJ501" t="str">
        <f t="shared" si="30"/>
        <v>Above salary</v>
      </c>
      <c r="AK501" t="str">
        <f t="shared" si="31"/>
        <v>Low Risk</v>
      </c>
    </row>
    <row r="502" spans="1:37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92</v>
      </c>
      <c r="M502">
        <v>3</v>
      </c>
      <c r="N502">
        <v>2</v>
      </c>
      <c r="O502" t="s">
        <v>47</v>
      </c>
      <c r="P502">
        <v>4</v>
      </c>
      <c r="Q502" t="s">
        <v>48</v>
      </c>
      <c r="R502" s="3">
        <v>6322</v>
      </c>
      <c r="S502">
        <v>18089</v>
      </c>
      <c r="T502">
        <v>1</v>
      </c>
      <c r="U502" t="s">
        <v>35</v>
      </c>
      <c r="V502" s="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tr">
        <f t="shared" si="28"/>
        <v>26-35</v>
      </c>
      <c r="AH502" t="str">
        <f t="shared" si="29"/>
        <v>Mid</v>
      </c>
      <c r="AI502" s="1">
        <f>VLOOKUP(E502,Lookup_Tables!$A$3:$B$5,2,)</f>
        <v>6281.2528616024974</v>
      </c>
      <c r="AJ502" t="str">
        <f t="shared" si="30"/>
        <v>Above salary</v>
      </c>
      <c r="AK502" t="str">
        <f t="shared" si="31"/>
        <v>Medium Risk</v>
      </c>
    </row>
    <row r="503" spans="1:37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680</v>
      </c>
      <c r="J503">
        <v>3</v>
      </c>
      <c r="K503" t="s">
        <v>39</v>
      </c>
      <c r="L503">
        <v>71</v>
      </c>
      <c r="M503">
        <v>3</v>
      </c>
      <c r="N503">
        <v>1</v>
      </c>
      <c r="O503" t="s">
        <v>47</v>
      </c>
      <c r="P503">
        <v>3</v>
      </c>
      <c r="Q503" t="s">
        <v>52</v>
      </c>
      <c r="R503" s="3">
        <v>2083</v>
      </c>
      <c r="S503">
        <v>22653</v>
      </c>
      <c r="T503">
        <v>1</v>
      </c>
      <c r="U503" t="s">
        <v>43</v>
      </c>
      <c r="V503" s="2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tr">
        <f t="shared" si="28"/>
        <v>26-35</v>
      </c>
      <c r="AH503" t="str">
        <f t="shared" si="29"/>
        <v>Low</v>
      </c>
      <c r="AI503" s="1">
        <f>VLOOKUP(E503,Lookup_Tables!$A$3:$B$5,2,)</f>
        <v>6281.2528616024974</v>
      </c>
      <c r="AJ503" t="str">
        <f t="shared" si="30"/>
        <v>Below salary</v>
      </c>
      <c r="AK503" t="str">
        <f t="shared" si="31"/>
        <v>Low Risk</v>
      </c>
    </row>
    <row r="504" spans="1:37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682</v>
      </c>
      <c r="J504">
        <v>4</v>
      </c>
      <c r="K504" t="s">
        <v>39</v>
      </c>
      <c r="L504">
        <v>34</v>
      </c>
      <c r="M504">
        <v>3</v>
      </c>
      <c r="N504">
        <v>2</v>
      </c>
      <c r="O504" t="s">
        <v>40</v>
      </c>
      <c r="P504">
        <v>1</v>
      </c>
      <c r="Q504" t="s">
        <v>41</v>
      </c>
      <c r="R504" s="3">
        <v>8381</v>
      </c>
      <c r="S504">
        <v>7507</v>
      </c>
      <c r="T504">
        <v>7</v>
      </c>
      <c r="U504" t="s">
        <v>43</v>
      </c>
      <c r="V504" s="2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tr">
        <f t="shared" si="28"/>
        <v>46+</v>
      </c>
      <c r="AH504" t="str">
        <f t="shared" si="29"/>
        <v>High</v>
      </c>
      <c r="AI504" s="1">
        <f>VLOOKUP(E504,Lookup_Tables!$A$3:$B$5,2,)</f>
        <v>6959.17264573991</v>
      </c>
      <c r="AJ504" t="str">
        <f t="shared" si="30"/>
        <v>Above salary</v>
      </c>
      <c r="AK504" t="str">
        <f t="shared" si="31"/>
        <v>Medium Risk</v>
      </c>
    </row>
    <row r="505" spans="1:37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46</v>
      </c>
      <c r="L505">
        <v>42</v>
      </c>
      <c r="M505">
        <v>3</v>
      </c>
      <c r="N505">
        <v>1</v>
      </c>
      <c r="O505" t="s">
        <v>47</v>
      </c>
      <c r="P505">
        <v>4</v>
      </c>
      <c r="Q505" t="s">
        <v>48</v>
      </c>
      <c r="R505" s="3">
        <v>2691</v>
      </c>
      <c r="S505">
        <v>7660</v>
      </c>
      <c r="T505">
        <v>1</v>
      </c>
      <c r="U505" t="s">
        <v>43</v>
      </c>
      <c r="V505" s="2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tr">
        <f t="shared" si="28"/>
        <v>26-35</v>
      </c>
      <c r="AH505" t="str">
        <f t="shared" si="29"/>
        <v>Low</v>
      </c>
      <c r="AI505" s="1">
        <f>VLOOKUP(E505,Lookup_Tables!$A$3:$B$5,2,)</f>
        <v>6281.2528616024974</v>
      </c>
      <c r="AJ505" t="str">
        <f t="shared" si="30"/>
        <v>Below salary</v>
      </c>
      <c r="AK505" t="str">
        <f t="shared" si="31"/>
        <v>Low Risk</v>
      </c>
    </row>
    <row r="506" spans="1:37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100</v>
      </c>
      <c r="M506">
        <v>3</v>
      </c>
      <c r="N506">
        <v>2</v>
      </c>
      <c r="O506" t="s">
        <v>40</v>
      </c>
      <c r="P506">
        <v>1</v>
      </c>
      <c r="Q506" t="s">
        <v>48</v>
      </c>
      <c r="R506" s="3">
        <v>4286</v>
      </c>
      <c r="S506">
        <v>5630</v>
      </c>
      <c r="T506">
        <v>2</v>
      </c>
      <c r="U506" t="s">
        <v>43</v>
      </c>
      <c r="V506" s="2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tr">
        <f t="shared" si="28"/>
        <v>36-45</v>
      </c>
      <c r="AH506" t="str">
        <f t="shared" si="29"/>
        <v>Mid</v>
      </c>
      <c r="AI506" s="1">
        <f>VLOOKUP(E506,Lookup_Tables!$A$3:$B$5,2,)</f>
        <v>6959.17264573991</v>
      </c>
      <c r="AJ506" t="str">
        <f t="shared" si="30"/>
        <v>Below salary</v>
      </c>
      <c r="AK506" t="str">
        <f t="shared" si="31"/>
        <v>Medium Risk</v>
      </c>
    </row>
    <row r="507" spans="1:37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71</v>
      </c>
      <c r="M507">
        <v>3</v>
      </c>
      <c r="N507">
        <v>1</v>
      </c>
      <c r="O507" t="s">
        <v>50</v>
      </c>
      <c r="P507">
        <v>4</v>
      </c>
      <c r="Q507" t="s">
        <v>48</v>
      </c>
      <c r="R507" s="3">
        <v>2659</v>
      </c>
      <c r="S507">
        <v>17759</v>
      </c>
      <c r="T507">
        <v>1</v>
      </c>
      <c r="U507" t="s">
        <v>35</v>
      </c>
      <c r="V507" s="2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tr">
        <f t="shared" si="28"/>
        <v>26-35</v>
      </c>
      <c r="AH507" t="str">
        <f t="shared" si="29"/>
        <v>Low</v>
      </c>
      <c r="AI507" s="1">
        <f>VLOOKUP(E507,Lookup_Tables!$A$3:$B$5,2,)</f>
        <v>6281.2528616024974</v>
      </c>
      <c r="AJ507" t="str">
        <f t="shared" si="30"/>
        <v>Below salary</v>
      </c>
      <c r="AK507" t="str">
        <f t="shared" si="31"/>
        <v>Medium Risk</v>
      </c>
    </row>
    <row r="508" spans="1:37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t="s">
        <v>46</v>
      </c>
      <c r="L508">
        <v>36</v>
      </c>
      <c r="M508">
        <v>3</v>
      </c>
      <c r="N508">
        <v>3</v>
      </c>
      <c r="O508" t="s">
        <v>53</v>
      </c>
      <c r="P508">
        <v>3</v>
      </c>
      <c r="Q508" t="s">
        <v>48</v>
      </c>
      <c r="R508" s="3">
        <v>9434</v>
      </c>
      <c r="S508">
        <v>9606</v>
      </c>
      <c r="T508">
        <v>1</v>
      </c>
      <c r="U508" t="s">
        <v>43</v>
      </c>
      <c r="V508" s="2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tr">
        <f t="shared" si="28"/>
        <v>36-45</v>
      </c>
      <c r="AH508" t="str">
        <f t="shared" si="29"/>
        <v>High</v>
      </c>
      <c r="AI508" s="1">
        <f>VLOOKUP(E508,Lookup_Tables!$A$3:$B$5,2,)</f>
        <v>6281.2528616024974</v>
      </c>
      <c r="AJ508" t="str">
        <f t="shared" si="30"/>
        <v>Above salary</v>
      </c>
      <c r="AK508" t="str">
        <f t="shared" si="31"/>
        <v>Low Risk</v>
      </c>
    </row>
    <row r="509" spans="1:37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690</v>
      </c>
      <c r="J509">
        <v>2</v>
      </c>
      <c r="K509" t="s">
        <v>39</v>
      </c>
      <c r="L509">
        <v>62</v>
      </c>
      <c r="M509">
        <v>3</v>
      </c>
      <c r="N509">
        <v>2</v>
      </c>
      <c r="O509" t="s">
        <v>40</v>
      </c>
      <c r="P509">
        <v>3</v>
      </c>
      <c r="Q509" t="s">
        <v>48</v>
      </c>
      <c r="R509" s="3">
        <v>5561</v>
      </c>
      <c r="S509">
        <v>3487</v>
      </c>
      <c r="T509">
        <v>1</v>
      </c>
      <c r="U509" t="s">
        <v>43</v>
      </c>
      <c r="V509" s="2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tr">
        <f t="shared" si="28"/>
        <v>26-35</v>
      </c>
      <c r="AH509" t="str">
        <f t="shared" si="29"/>
        <v>Mid</v>
      </c>
      <c r="AI509" s="1">
        <f>VLOOKUP(E509,Lookup_Tables!$A$3:$B$5,2,)</f>
        <v>6959.17264573991</v>
      </c>
      <c r="AJ509" t="str">
        <f t="shared" si="30"/>
        <v>Below salary</v>
      </c>
      <c r="AK509" t="str">
        <f t="shared" si="31"/>
        <v>Low Risk</v>
      </c>
    </row>
    <row r="510" spans="1:37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46</v>
      </c>
      <c r="L510">
        <v>82</v>
      </c>
      <c r="M510">
        <v>1</v>
      </c>
      <c r="N510">
        <v>2</v>
      </c>
      <c r="O510" t="s">
        <v>47</v>
      </c>
      <c r="P510">
        <v>4</v>
      </c>
      <c r="Q510" t="s">
        <v>41</v>
      </c>
      <c r="R510" s="3">
        <v>6646</v>
      </c>
      <c r="S510">
        <v>19368</v>
      </c>
      <c r="T510">
        <v>1</v>
      </c>
      <c r="U510" t="s">
        <v>43</v>
      </c>
      <c r="V510" s="2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tr">
        <f t="shared" si="28"/>
        <v>26-35</v>
      </c>
      <c r="AH510" t="str">
        <f t="shared" si="29"/>
        <v>Mid</v>
      </c>
      <c r="AI510" s="1">
        <f>VLOOKUP(E510,Lookup_Tables!$A$3:$B$5,2,)</f>
        <v>6281.2528616024974</v>
      </c>
      <c r="AJ510" t="str">
        <f t="shared" si="30"/>
        <v>Above salary</v>
      </c>
      <c r="AK510" t="str">
        <f t="shared" si="31"/>
        <v>Low Risk</v>
      </c>
    </row>
    <row r="511" spans="1:37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46</v>
      </c>
      <c r="L511">
        <v>30</v>
      </c>
      <c r="M511">
        <v>3</v>
      </c>
      <c r="N511">
        <v>2</v>
      </c>
      <c r="O511" t="s">
        <v>54</v>
      </c>
      <c r="P511">
        <v>4</v>
      </c>
      <c r="Q511" t="s">
        <v>52</v>
      </c>
      <c r="R511" s="3">
        <v>7725</v>
      </c>
      <c r="S511">
        <v>5335</v>
      </c>
      <c r="T511">
        <v>3</v>
      </c>
      <c r="U511" t="s">
        <v>43</v>
      </c>
      <c r="V511" s="2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tr">
        <f t="shared" si="28"/>
        <v>26-35</v>
      </c>
      <c r="AH511" t="str">
        <f t="shared" si="29"/>
        <v>High</v>
      </c>
      <c r="AI511" s="1">
        <f>VLOOKUP(E511,Lookup_Tables!$A$3:$B$5,2,)</f>
        <v>6281.2528616024974</v>
      </c>
      <c r="AJ511" t="str">
        <f t="shared" si="30"/>
        <v>Above salary</v>
      </c>
      <c r="AK511" t="str">
        <f t="shared" si="31"/>
        <v>Low Risk</v>
      </c>
    </row>
    <row r="512" spans="1:37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698</v>
      </c>
      <c r="J512">
        <v>3</v>
      </c>
      <c r="K512" t="s">
        <v>46</v>
      </c>
      <c r="L512">
        <v>88</v>
      </c>
      <c r="M512">
        <v>3</v>
      </c>
      <c r="N512">
        <v>3</v>
      </c>
      <c r="O512" t="s">
        <v>61</v>
      </c>
      <c r="P512">
        <v>2</v>
      </c>
      <c r="Q512" t="s">
        <v>48</v>
      </c>
      <c r="R512" s="3">
        <v>10725</v>
      </c>
      <c r="S512">
        <v>6729</v>
      </c>
      <c r="T512">
        <v>2</v>
      </c>
      <c r="U512" t="s">
        <v>43</v>
      </c>
      <c r="V512" s="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tr">
        <f t="shared" si="28"/>
        <v>46+</v>
      </c>
      <c r="AH512" t="str">
        <f t="shared" si="29"/>
        <v>High</v>
      </c>
      <c r="AI512" s="1">
        <f>VLOOKUP(E512,Lookup_Tables!$A$3:$B$5,2,)</f>
        <v>6654.5079365079364</v>
      </c>
      <c r="AJ512" t="str">
        <f t="shared" si="30"/>
        <v>Above salary</v>
      </c>
      <c r="AK512" t="str">
        <f t="shared" si="31"/>
        <v>Medium Risk</v>
      </c>
    </row>
    <row r="513" spans="1:37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699</v>
      </c>
      <c r="J513">
        <v>2</v>
      </c>
      <c r="K513" t="s">
        <v>46</v>
      </c>
      <c r="L513">
        <v>48</v>
      </c>
      <c r="M513">
        <v>2</v>
      </c>
      <c r="N513">
        <v>2</v>
      </c>
      <c r="O513" t="s">
        <v>53</v>
      </c>
      <c r="P513">
        <v>2</v>
      </c>
      <c r="Q513" t="s">
        <v>52</v>
      </c>
      <c r="R513" s="3">
        <v>8847</v>
      </c>
      <c r="S513">
        <v>13934</v>
      </c>
      <c r="T513">
        <v>2</v>
      </c>
      <c r="U513" t="s">
        <v>35</v>
      </c>
      <c r="V513" s="2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tr">
        <f t="shared" si="28"/>
        <v>36-45</v>
      </c>
      <c r="AH513" t="str">
        <f t="shared" si="29"/>
        <v>High</v>
      </c>
      <c r="AI513" s="1">
        <f>VLOOKUP(E513,Lookup_Tables!$A$3:$B$5,2,)</f>
        <v>6281.2528616024974</v>
      </c>
      <c r="AJ513" t="str">
        <f t="shared" si="30"/>
        <v>Above salary</v>
      </c>
      <c r="AK513" t="str">
        <f t="shared" si="31"/>
        <v>High Risk</v>
      </c>
    </row>
    <row r="514" spans="1:37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700</v>
      </c>
      <c r="J514">
        <v>1</v>
      </c>
      <c r="K514" t="s">
        <v>46</v>
      </c>
      <c r="L514">
        <v>54</v>
      </c>
      <c r="M514">
        <v>2</v>
      </c>
      <c r="N514">
        <v>1</v>
      </c>
      <c r="O514" t="s">
        <v>47</v>
      </c>
      <c r="P514">
        <v>4</v>
      </c>
      <c r="Q514" t="s">
        <v>41</v>
      </c>
      <c r="R514" s="3">
        <v>2045</v>
      </c>
      <c r="S514">
        <v>15174</v>
      </c>
      <c r="T514">
        <v>0</v>
      </c>
      <c r="U514" t="s">
        <v>43</v>
      </c>
      <c r="V514" s="2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tr">
        <f t="shared" ref="AG514:AG577" si="32">IF(A514&lt;=25,"18-25",IF(A514&lt;= 35, "26-35",IF(A514&lt;=45, "36-45","46+")))</f>
        <v>26-35</v>
      </c>
      <c r="AH514" t="str">
        <f t="shared" ref="AH514:AH577" si="33">IF(R514&lt;3000,"Low",IF(R514&lt;7000,"Mid", IF(R514&lt;12000, "High", "Very High")))</f>
        <v>Low</v>
      </c>
      <c r="AI514" s="1">
        <f>VLOOKUP(E514,Lookup_Tables!$A$3:$B$5,2,)</f>
        <v>6281.2528616024974</v>
      </c>
      <c r="AJ514" t="str">
        <f t="shared" ref="AJ514:AJ577" si="34">IF(R514&gt;AI514, "Above salary","Below salary")</f>
        <v>Below salary</v>
      </c>
      <c r="AK514" t="str">
        <f t="shared" si="31"/>
        <v>Low Risk</v>
      </c>
    </row>
    <row r="515" spans="1:37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701</v>
      </c>
      <c r="J515">
        <v>4</v>
      </c>
      <c r="K515" t="s">
        <v>46</v>
      </c>
      <c r="L515">
        <v>32</v>
      </c>
      <c r="M515">
        <v>3</v>
      </c>
      <c r="N515">
        <v>1</v>
      </c>
      <c r="O515" t="s">
        <v>47</v>
      </c>
      <c r="P515">
        <v>3</v>
      </c>
      <c r="Q515" t="s">
        <v>41</v>
      </c>
      <c r="R515" s="3">
        <v>1009</v>
      </c>
      <c r="S515">
        <v>26999</v>
      </c>
      <c r="T515">
        <v>1</v>
      </c>
      <c r="U515" t="s">
        <v>35</v>
      </c>
      <c r="V515" s="2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tr">
        <f t="shared" si="32"/>
        <v>18-25</v>
      </c>
      <c r="AH515" t="str">
        <f t="shared" si="33"/>
        <v>Low</v>
      </c>
      <c r="AI515" s="1">
        <f>VLOOKUP(E515,Lookup_Tables!$A$3:$B$5,2,)</f>
        <v>6281.2528616024974</v>
      </c>
      <c r="AJ515" t="str">
        <f t="shared" si="34"/>
        <v>Below salary</v>
      </c>
      <c r="AK515" t="str">
        <f t="shared" ref="AK515:AK578" si="35">IF(AND(P515&lt;=2,U515="Yes"),"High Risk",IF(OR(P515&lt;=2,U515="Yes"),"Medium Risk","Low Risk"))</f>
        <v>Medium Risk</v>
      </c>
    </row>
    <row r="516" spans="1:37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46</v>
      </c>
      <c r="L516">
        <v>70</v>
      </c>
      <c r="M516">
        <v>3</v>
      </c>
      <c r="N516">
        <v>1</v>
      </c>
      <c r="O516" t="s">
        <v>47</v>
      </c>
      <c r="P516">
        <v>1</v>
      </c>
      <c r="Q516" t="s">
        <v>41</v>
      </c>
      <c r="R516" s="3">
        <v>3348</v>
      </c>
      <c r="S516">
        <v>3164</v>
      </c>
      <c r="T516">
        <v>1</v>
      </c>
      <c r="U516" t="s">
        <v>35</v>
      </c>
      <c r="V516" s="2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tr">
        <f t="shared" si="32"/>
        <v>26-35</v>
      </c>
      <c r="AH516" t="str">
        <f t="shared" si="33"/>
        <v>Mid</v>
      </c>
      <c r="AI516" s="1">
        <f>VLOOKUP(E516,Lookup_Tables!$A$3:$B$5,2,)</f>
        <v>6281.2528616024974</v>
      </c>
      <c r="AJ516" t="str">
        <f t="shared" si="34"/>
        <v>Below salary</v>
      </c>
      <c r="AK516" t="str">
        <f t="shared" si="35"/>
        <v>High Risk</v>
      </c>
    </row>
    <row r="517" spans="1:37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46</v>
      </c>
      <c r="L517">
        <v>41</v>
      </c>
      <c r="M517">
        <v>2</v>
      </c>
      <c r="N517">
        <v>1</v>
      </c>
      <c r="O517" t="s">
        <v>50</v>
      </c>
      <c r="P517">
        <v>3</v>
      </c>
      <c r="Q517" t="s">
        <v>48</v>
      </c>
      <c r="R517" s="3">
        <v>1281</v>
      </c>
      <c r="S517">
        <v>16900</v>
      </c>
      <c r="T517">
        <v>1</v>
      </c>
      <c r="U517" t="s">
        <v>43</v>
      </c>
      <c r="V517" s="2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tr">
        <f t="shared" si="32"/>
        <v>26-35</v>
      </c>
      <c r="AH517" t="str">
        <f t="shared" si="33"/>
        <v>Low</v>
      </c>
      <c r="AI517" s="1">
        <f>VLOOKUP(E517,Lookup_Tables!$A$3:$B$5,2,)</f>
        <v>6281.2528616024974</v>
      </c>
      <c r="AJ517" t="str">
        <f t="shared" si="34"/>
        <v>Below salary</v>
      </c>
      <c r="AK517" t="str">
        <f t="shared" si="35"/>
        <v>Low Risk</v>
      </c>
    </row>
    <row r="518" spans="1:37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705</v>
      </c>
      <c r="J518">
        <v>1</v>
      </c>
      <c r="K518" t="s">
        <v>46</v>
      </c>
      <c r="L518">
        <v>58</v>
      </c>
      <c r="M518">
        <v>4</v>
      </c>
      <c r="N518">
        <v>1</v>
      </c>
      <c r="O518" t="s">
        <v>47</v>
      </c>
      <c r="P518">
        <v>1</v>
      </c>
      <c r="Q518" t="s">
        <v>48</v>
      </c>
      <c r="R518" s="3">
        <v>2819</v>
      </c>
      <c r="S518">
        <v>8544</v>
      </c>
      <c r="T518">
        <v>2</v>
      </c>
      <c r="U518" t="s">
        <v>43</v>
      </c>
      <c r="V518" s="2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tr">
        <f t="shared" si="32"/>
        <v>18-25</v>
      </c>
      <c r="AH518" t="str">
        <f t="shared" si="33"/>
        <v>Low</v>
      </c>
      <c r="AI518" s="1">
        <f>VLOOKUP(E518,Lookup_Tables!$A$3:$B$5,2,)</f>
        <v>6281.2528616024974</v>
      </c>
      <c r="AJ518" t="str">
        <f t="shared" si="34"/>
        <v>Below salary</v>
      </c>
      <c r="AK518" t="str">
        <f t="shared" si="35"/>
        <v>Medium Risk</v>
      </c>
    </row>
    <row r="519" spans="1:37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46</v>
      </c>
      <c r="L519">
        <v>57</v>
      </c>
      <c r="M519">
        <v>4</v>
      </c>
      <c r="N519">
        <v>2</v>
      </c>
      <c r="O519" t="s">
        <v>40</v>
      </c>
      <c r="P519">
        <v>2</v>
      </c>
      <c r="Q519" t="s">
        <v>48</v>
      </c>
      <c r="R519" s="3">
        <v>4851</v>
      </c>
      <c r="S519">
        <v>15678</v>
      </c>
      <c r="T519">
        <v>0</v>
      </c>
      <c r="U519" t="s">
        <v>43</v>
      </c>
      <c r="V519" s="2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tr">
        <f t="shared" si="32"/>
        <v>18-25</v>
      </c>
      <c r="AH519" t="str">
        <f t="shared" si="33"/>
        <v>Mid</v>
      </c>
      <c r="AI519" s="1">
        <f>VLOOKUP(E519,Lookup_Tables!$A$3:$B$5,2,)</f>
        <v>6959.17264573991</v>
      </c>
      <c r="AJ519" t="str">
        <f t="shared" si="34"/>
        <v>Below salary</v>
      </c>
      <c r="AK519" t="str">
        <f t="shared" si="35"/>
        <v>Medium Risk</v>
      </c>
    </row>
    <row r="520" spans="1:37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709</v>
      </c>
      <c r="J520">
        <v>4</v>
      </c>
      <c r="K520" t="s">
        <v>39</v>
      </c>
      <c r="L520">
        <v>46</v>
      </c>
      <c r="M520">
        <v>2</v>
      </c>
      <c r="N520">
        <v>2</v>
      </c>
      <c r="O520" t="s">
        <v>40</v>
      </c>
      <c r="P520">
        <v>4</v>
      </c>
      <c r="Q520" t="s">
        <v>41</v>
      </c>
      <c r="R520" s="3">
        <v>4028</v>
      </c>
      <c r="S520">
        <v>7791</v>
      </c>
      <c r="T520">
        <v>0</v>
      </c>
      <c r="U520" t="s">
        <v>43</v>
      </c>
      <c r="V520" s="2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tr">
        <f t="shared" si="32"/>
        <v>36-45</v>
      </c>
      <c r="AH520" t="str">
        <f t="shared" si="33"/>
        <v>Mid</v>
      </c>
      <c r="AI520" s="1">
        <f>VLOOKUP(E520,Lookup_Tables!$A$3:$B$5,2,)</f>
        <v>6959.17264573991</v>
      </c>
      <c r="AJ520" t="str">
        <f t="shared" si="34"/>
        <v>Below salary</v>
      </c>
      <c r="AK520" t="str">
        <f t="shared" si="35"/>
        <v>Low Risk</v>
      </c>
    </row>
    <row r="521" spans="1:37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46</v>
      </c>
      <c r="L521">
        <v>76</v>
      </c>
      <c r="M521">
        <v>1</v>
      </c>
      <c r="N521">
        <v>1</v>
      </c>
      <c r="O521" t="s">
        <v>47</v>
      </c>
      <c r="P521">
        <v>4</v>
      </c>
      <c r="Q521" t="s">
        <v>52</v>
      </c>
      <c r="R521" s="3">
        <v>2720</v>
      </c>
      <c r="S521">
        <v>18959</v>
      </c>
      <c r="T521">
        <v>1</v>
      </c>
      <c r="U521" t="s">
        <v>43</v>
      </c>
      <c r="V521" s="2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tr">
        <f t="shared" si="32"/>
        <v>26-35</v>
      </c>
      <c r="AH521" t="str">
        <f t="shared" si="33"/>
        <v>Low</v>
      </c>
      <c r="AI521" s="1">
        <f>VLOOKUP(E521,Lookup_Tables!$A$3:$B$5,2,)</f>
        <v>6281.2528616024974</v>
      </c>
      <c r="AJ521" t="str">
        <f t="shared" si="34"/>
        <v>Below salary</v>
      </c>
      <c r="AK521" t="str">
        <f t="shared" si="35"/>
        <v>Low Risk</v>
      </c>
    </row>
    <row r="522" spans="1:37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712</v>
      </c>
      <c r="J522">
        <v>2</v>
      </c>
      <c r="K522" t="s">
        <v>46</v>
      </c>
      <c r="L522">
        <v>56</v>
      </c>
      <c r="M522">
        <v>4</v>
      </c>
      <c r="N522">
        <v>2</v>
      </c>
      <c r="O522" t="s">
        <v>40</v>
      </c>
      <c r="P522">
        <v>2</v>
      </c>
      <c r="Q522" t="s">
        <v>48</v>
      </c>
      <c r="R522" s="3">
        <v>8120</v>
      </c>
      <c r="S522">
        <v>18597</v>
      </c>
      <c r="T522">
        <v>3</v>
      </c>
      <c r="U522" t="s">
        <v>43</v>
      </c>
      <c r="V522" s="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tr">
        <f t="shared" si="32"/>
        <v>46+</v>
      </c>
      <c r="AH522" t="str">
        <f t="shared" si="33"/>
        <v>High</v>
      </c>
      <c r="AI522" s="1">
        <f>VLOOKUP(E522,Lookup_Tables!$A$3:$B$5,2,)</f>
        <v>6959.17264573991</v>
      </c>
      <c r="AJ522" t="str">
        <f t="shared" si="34"/>
        <v>Above salary</v>
      </c>
      <c r="AK522" t="str">
        <f t="shared" si="35"/>
        <v>Medium Risk</v>
      </c>
    </row>
    <row r="523" spans="1:37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714</v>
      </c>
      <c r="J523">
        <v>4</v>
      </c>
      <c r="K523" t="s">
        <v>39</v>
      </c>
      <c r="L523">
        <v>71</v>
      </c>
      <c r="M523">
        <v>4</v>
      </c>
      <c r="N523">
        <v>2</v>
      </c>
      <c r="O523" t="s">
        <v>40</v>
      </c>
      <c r="P523">
        <v>4</v>
      </c>
      <c r="Q523" t="s">
        <v>52</v>
      </c>
      <c r="R523" s="3">
        <v>4647</v>
      </c>
      <c r="S523">
        <v>16673</v>
      </c>
      <c r="T523">
        <v>1</v>
      </c>
      <c r="U523" t="s">
        <v>35</v>
      </c>
      <c r="V523" s="2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tr">
        <f t="shared" si="32"/>
        <v>26-35</v>
      </c>
      <c r="AH523" t="str">
        <f t="shared" si="33"/>
        <v>Mid</v>
      </c>
      <c r="AI523" s="1">
        <f>VLOOKUP(E523,Lookup_Tables!$A$3:$B$5,2,)</f>
        <v>6959.17264573991</v>
      </c>
      <c r="AJ523" t="str">
        <f t="shared" si="34"/>
        <v>Below salary</v>
      </c>
      <c r="AK523" t="str">
        <f t="shared" si="35"/>
        <v>Medium Risk</v>
      </c>
    </row>
    <row r="524" spans="1:37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46</v>
      </c>
      <c r="L524">
        <v>80</v>
      </c>
      <c r="M524">
        <v>4</v>
      </c>
      <c r="N524">
        <v>1</v>
      </c>
      <c r="O524" t="s">
        <v>47</v>
      </c>
      <c r="P524">
        <v>4</v>
      </c>
      <c r="Q524" t="s">
        <v>41</v>
      </c>
      <c r="R524" s="3">
        <v>4680</v>
      </c>
      <c r="S524">
        <v>15232</v>
      </c>
      <c r="T524">
        <v>3</v>
      </c>
      <c r="U524" t="s">
        <v>43</v>
      </c>
      <c r="V524" s="2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tr">
        <f t="shared" si="32"/>
        <v>36-45</v>
      </c>
      <c r="AH524" t="str">
        <f t="shared" si="33"/>
        <v>Mid</v>
      </c>
      <c r="AI524" s="1">
        <f>VLOOKUP(E524,Lookup_Tables!$A$3:$B$5,2,)</f>
        <v>6281.2528616024974</v>
      </c>
      <c r="AJ524" t="str">
        <f t="shared" si="34"/>
        <v>Below salary</v>
      </c>
      <c r="AK524" t="str">
        <f t="shared" si="35"/>
        <v>Low Risk</v>
      </c>
    </row>
    <row r="525" spans="1:37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716</v>
      </c>
      <c r="J525">
        <v>4</v>
      </c>
      <c r="K525" t="s">
        <v>46</v>
      </c>
      <c r="L525">
        <v>74</v>
      </c>
      <c r="M525">
        <v>4</v>
      </c>
      <c r="N525">
        <v>1</v>
      </c>
      <c r="O525" t="s">
        <v>50</v>
      </c>
      <c r="P525">
        <v>3</v>
      </c>
      <c r="Q525" t="s">
        <v>48</v>
      </c>
      <c r="R525" s="3">
        <v>3221</v>
      </c>
      <c r="S525">
        <v>3297</v>
      </c>
      <c r="T525">
        <v>1</v>
      </c>
      <c r="U525" t="s">
        <v>35</v>
      </c>
      <c r="V525" s="2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tr">
        <f t="shared" si="32"/>
        <v>46+</v>
      </c>
      <c r="AH525" t="str">
        <f t="shared" si="33"/>
        <v>Mid</v>
      </c>
      <c r="AI525" s="1">
        <f>VLOOKUP(E525,Lookup_Tables!$A$3:$B$5,2,)</f>
        <v>6281.2528616024974</v>
      </c>
      <c r="AJ525" t="str">
        <f t="shared" si="34"/>
        <v>Below salary</v>
      </c>
      <c r="AK525" t="str">
        <f t="shared" si="35"/>
        <v>Medium Risk</v>
      </c>
    </row>
    <row r="526" spans="1:37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717</v>
      </c>
      <c r="J526">
        <v>4</v>
      </c>
      <c r="K526" t="s">
        <v>39</v>
      </c>
      <c r="L526">
        <v>46</v>
      </c>
      <c r="M526">
        <v>2</v>
      </c>
      <c r="N526">
        <v>3</v>
      </c>
      <c r="O526" t="s">
        <v>54</v>
      </c>
      <c r="P526">
        <v>2</v>
      </c>
      <c r="Q526" t="s">
        <v>41</v>
      </c>
      <c r="R526" s="3">
        <v>8621</v>
      </c>
      <c r="S526">
        <v>17654</v>
      </c>
      <c r="T526">
        <v>1</v>
      </c>
      <c r="U526" t="s">
        <v>43</v>
      </c>
      <c r="V526" s="2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tr">
        <f t="shared" si="32"/>
        <v>26-35</v>
      </c>
      <c r="AH526" t="str">
        <f t="shared" si="33"/>
        <v>High</v>
      </c>
      <c r="AI526" s="1">
        <f>VLOOKUP(E526,Lookup_Tables!$A$3:$B$5,2,)</f>
        <v>6281.2528616024974</v>
      </c>
      <c r="AJ526" t="str">
        <f t="shared" si="34"/>
        <v>Above salary</v>
      </c>
      <c r="AK526" t="str">
        <f t="shared" si="35"/>
        <v>Medium Risk</v>
      </c>
    </row>
    <row r="527" spans="1:37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65</v>
      </c>
      <c r="M527">
        <v>3</v>
      </c>
      <c r="N527">
        <v>2</v>
      </c>
      <c r="O527" t="s">
        <v>40</v>
      </c>
      <c r="P527">
        <v>3</v>
      </c>
      <c r="Q527" t="s">
        <v>41</v>
      </c>
      <c r="R527" s="3">
        <v>4577</v>
      </c>
      <c r="S527">
        <v>24785</v>
      </c>
      <c r="T527">
        <v>9</v>
      </c>
      <c r="U527" t="s">
        <v>43</v>
      </c>
      <c r="V527" s="2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tr">
        <f t="shared" si="32"/>
        <v>18-25</v>
      </c>
      <c r="AH527" t="str">
        <f t="shared" si="33"/>
        <v>Mid</v>
      </c>
      <c r="AI527" s="1">
        <f>VLOOKUP(E527,Lookup_Tables!$A$3:$B$5,2,)</f>
        <v>6959.17264573991</v>
      </c>
      <c r="AJ527" t="str">
        <f t="shared" si="34"/>
        <v>Below salary</v>
      </c>
      <c r="AK527" t="str">
        <f t="shared" si="35"/>
        <v>Low Risk</v>
      </c>
    </row>
    <row r="528" spans="1:37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721</v>
      </c>
      <c r="J528">
        <v>4</v>
      </c>
      <c r="K528" t="s">
        <v>39</v>
      </c>
      <c r="L528">
        <v>80</v>
      </c>
      <c r="M528">
        <v>2</v>
      </c>
      <c r="N528">
        <v>2</v>
      </c>
      <c r="O528" t="s">
        <v>54</v>
      </c>
      <c r="P528">
        <v>3</v>
      </c>
      <c r="Q528" t="s">
        <v>41</v>
      </c>
      <c r="R528" s="3">
        <v>4553</v>
      </c>
      <c r="S528">
        <v>20978</v>
      </c>
      <c r="T528">
        <v>1</v>
      </c>
      <c r="U528" t="s">
        <v>43</v>
      </c>
      <c r="V528" s="2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tr">
        <f t="shared" si="32"/>
        <v>36-45</v>
      </c>
      <c r="AH528" t="str">
        <f t="shared" si="33"/>
        <v>Mid</v>
      </c>
      <c r="AI528" s="1">
        <f>VLOOKUP(E528,Lookup_Tables!$A$3:$B$5,2,)</f>
        <v>6281.2528616024974</v>
      </c>
      <c r="AJ528" t="str">
        <f t="shared" si="34"/>
        <v>Below salary</v>
      </c>
      <c r="AK528" t="str">
        <f t="shared" si="35"/>
        <v>Low Risk</v>
      </c>
    </row>
    <row r="529" spans="1:37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722</v>
      </c>
      <c r="J529">
        <v>4</v>
      </c>
      <c r="K529" t="s">
        <v>46</v>
      </c>
      <c r="L529">
        <v>55</v>
      </c>
      <c r="M529">
        <v>3</v>
      </c>
      <c r="N529">
        <v>2</v>
      </c>
      <c r="O529" t="s">
        <v>40</v>
      </c>
      <c r="P529">
        <v>4</v>
      </c>
      <c r="Q529" t="s">
        <v>41</v>
      </c>
      <c r="R529" s="3">
        <v>5396</v>
      </c>
      <c r="S529">
        <v>21703</v>
      </c>
      <c r="T529">
        <v>1</v>
      </c>
      <c r="U529" t="s">
        <v>43</v>
      </c>
      <c r="V529" s="2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tr">
        <f t="shared" si="32"/>
        <v>26-35</v>
      </c>
      <c r="AH529" t="str">
        <f t="shared" si="33"/>
        <v>Mid</v>
      </c>
      <c r="AI529" s="1">
        <f>VLOOKUP(E529,Lookup_Tables!$A$3:$B$5,2,)</f>
        <v>6959.17264573991</v>
      </c>
      <c r="AJ529" t="str">
        <f t="shared" si="34"/>
        <v>Below salary</v>
      </c>
      <c r="AK529" t="str">
        <f t="shared" si="35"/>
        <v>Low Risk</v>
      </c>
    </row>
    <row r="530" spans="1:37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723</v>
      </c>
      <c r="J530">
        <v>2</v>
      </c>
      <c r="K530" t="s">
        <v>46</v>
      </c>
      <c r="L530">
        <v>50</v>
      </c>
      <c r="M530">
        <v>3</v>
      </c>
      <c r="N530">
        <v>2</v>
      </c>
      <c r="O530" t="s">
        <v>40</v>
      </c>
      <c r="P530">
        <v>3</v>
      </c>
      <c r="Q530" t="s">
        <v>48</v>
      </c>
      <c r="R530" s="3">
        <v>6796</v>
      </c>
      <c r="S530">
        <v>23452</v>
      </c>
      <c r="T530">
        <v>3</v>
      </c>
      <c r="U530" t="s">
        <v>35</v>
      </c>
      <c r="V530" s="2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tr">
        <f t="shared" si="32"/>
        <v>46+</v>
      </c>
      <c r="AH530" t="str">
        <f t="shared" si="33"/>
        <v>Mid</v>
      </c>
      <c r="AI530" s="1">
        <f>VLOOKUP(E530,Lookup_Tables!$A$3:$B$5,2,)</f>
        <v>6959.17264573991</v>
      </c>
      <c r="AJ530" t="str">
        <f t="shared" si="34"/>
        <v>Below salary</v>
      </c>
      <c r="AK530" t="str">
        <f t="shared" si="35"/>
        <v>Medium Risk</v>
      </c>
    </row>
    <row r="531" spans="1:37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33</v>
      </c>
      <c r="M531">
        <v>4</v>
      </c>
      <c r="N531">
        <v>2</v>
      </c>
      <c r="O531" t="s">
        <v>54</v>
      </c>
      <c r="P531">
        <v>4</v>
      </c>
      <c r="Q531" t="s">
        <v>41</v>
      </c>
      <c r="R531" s="3">
        <v>7625</v>
      </c>
      <c r="S531">
        <v>19383</v>
      </c>
      <c r="T531">
        <v>0</v>
      </c>
      <c r="U531" t="s">
        <v>43</v>
      </c>
      <c r="V531" s="2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tr">
        <f t="shared" si="32"/>
        <v>36-45</v>
      </c>
      <c r="AH531" t="str">
        <f t="shared" si="33"/>
        <v>High</v>
      </c>
      <c r="AI531" s="1">
        <f>VLOOKUP(E531,Lookup_Tables!$A$3:$B$5,2,)</f>
        <v>6281.2528616024974</v>
      </c>
      <c r="AJ531" t="str">
        <f t="shared" si="34"/>
        <v>Above salary</v>
      </c>
      <c r="AK531" t="str">
        <f t="shared" si="35"/>
        <v>Low Risk</v>
      </c>
    </row>
    <row r="532" spans="1:37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68</v>
      </c>
      <c r="M532">
        <v>3</v>
      </c>
      <c r="N532">
        <v>3</v>
      </c>
      <c r="O532" t="s">
        <v>53</v>
      </c>
      <c r="P532">
        <v>1</v>
      </c>
      <c r="Q532" t="s">
        <v>48</v>
      </c>
      <c r="R532" s="3">
        <v>7412</v>
      </c>
      <c r="S532">
        <v>6009</v>
      </c>
      <c r="T532">
        <v>1</v>
      </c>
      <c r="U532" t="s">
        <v>43</v>
      </c>
      <c r="V532" s="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tr">
        <f t="shared" si="32"/>
        <v>26-35</v>
      </c>
      <c r="AH532" t="str">
        <f t="shared" si="33"/>
        <v>High</v>
      </c>
      <c r="AI532" s="1">
        <f>VLOOKUP(E532,Lookup_Tables!$A$3:$B$5,2,)</f>
        <v>6281.2528616024974</v>
      </c>
      <c r="AJ532" t="str">
        <f t="shared" si="34"/>
        <v>Above salary</v>
      </c>
      <c r="AK532" t="str">
        <f t="shared" si="35"/>
        <v>Medium Risk</v>
      </c>
    </row>
    <row r="533" spans="1:37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39</v>
      </c>
      <c r="M533">
        <v>3</v>
      </c>
      <c r="N533">
        <v>3</v>
      </c>
      <c r="O533" t="s">
        <v>58</v>
      </c>
      <c r="P533">
        <v>4</v>
      </c>
      <c r="Q533" t="s">
        <v>41</v>
      </c>
      <c r="R533" s="3">
        <v>11159</v>
      </c>
      <c r="S533">
        <v>19373</v>
      </c>
      <c r="T533">
        <v>3</v>
      </c>
      <c r="U533" t="s">
        <v>43</v>
      </c>
      <c r="V533" s="2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tr">
        <f t="shared" si="32"/>
        <v>26-35</v>
      </c>
      <c r="AH533" t="str">
        <f t="shared" si="33"/>
        <v>High</v>
      </c>
      <c r="AI533" s="1">
        <f>VLOOKUP(E533,Lookup_Tables!$A$3:$B$5,2,)</f>
        <v>6281.2528616024974</v>
      </c>
      <c r="AJ533" t="str">
        <f t="shared" si="34"/>
        <v>Above salary</v>
      </c>
      <c r="AK533" t="str">
        <f t="shared" si="35"/>
        <v>Low Risk</v>
      </c>
    </row>
    <row r="534" spans="1:37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728</v>
      </c>
      <c r="J534">
        <v>4</v>
      </c>
      <c r="K534" t="s">
        <v>46</v>
      </c>
      <c r="L534">
        <v>42</v>
      </c>
      <c r="M534">
        <v>3</v>
      </c>
      <c r="N534">
        <v>2</v>
      </c>
      <c r="O534" t="s">
        <v>40</v>
      </c>
      <c r="P534">
        <v>1</v>
      </c>
      <c r="Q534" t="s">
        <v>41</v>
      </c>
      <c r="R534" s="3">
        <v>4960</v>
      </c>
      <c r="S534">
        <v>11825</v>
      </c>
      <c r="T534">
        <v>2</v>
      </c>
      <c r="U534" t="s">
        <v>43</v>
      </c>
      <c r="V534" s="2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tr">
        <f t="shared" si="32"/>
        <v>46+</v>
      </c>
      <c r="AH534" t="str">
        <f t="shared" si="33"/>
        <v>Mid</v>
      </c>
      <c r="AI534" s="1">
        <f>VLOOKUP(E534,Lookup_Tables!$A$3:$B$5,2,)</f>
        <v>6959.17264573991</v>
      </c>
      <c r="AJ534" t="str">
        <f t="shared" si="34"/>
        <v>Below salary</v>
      </c>
      <c r="AK534" t="str">
        <f t="shared" si="35"/>
        <v>Medium Risk</v>
      </c>
    </row>
    <row r="535" spans="1:37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46</v>
      </c>
      <c r="L535">
        <v>48</v>
      </c>
      <c r="M535">
        <v>2</v>
      </c>
      <c r="N535">
        <v>3</v>
      </c>
      <c r="O535" t="s">
        <v>40</v>
      </c>
      <c r="P535">
        <v>1</v>
      </c>
      <c r="Q535" t="s">
        <v>48</v>
      </c>
      <c r="R535" s="3">
        <v>10475</v>
      </c>
      <c r="S535">
        <v>23772</v>
      </c>
      <c r="T535">
        <v>5</v>
      </c>
      <c r="U535" t="s">
        <v>35</v>
      </c>
      <c r="V535" s="2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tr">
        <f t="shared" si="32"/>
        <v>36-45</v>
      </c>
      <c r="AH535" t="str">
        <f t="shared" si="33"/>
        <v>High</v>
      </c>
      <c r="AI535" s="1">
        <f>VLOOKUP(E535,Lookup_Tables!$A$3:$B$5,2,)</f>
        <v>6959.17264573991</v>
      </c>
      <c r="AJ535" t="str">
        <f t="shared" si="34"/>
        <v>Above salary</v>
      </c>
      <c r="AK535" t="str">
        <f t="shared" si="35"/>
        <v>High Risk</v>
      </c>
    </row>
    <row r="536" spans="1:37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46</v>
      </c>
      <c r="L536">
        <v>59</v>
      </c>
      <c r="M536">
        <v>4</v>
      </c>
      <c r="N536">
        <v>4</v>
      </c>
      <c r="O536" t="s">
        <v>58</v>
      </c>
      <c r="P536">
        <v>3</v>
      </c>
      <c r="Q536" t="s">
        <v>48</v>
      </c>
      <c r="R536" s="3">
        <v>14814</v>
      </c>
      <c r="S536">
        <v>13514</v>
      </c>
      <c r="T536">
        <v>3</v>
      </c>
      <c r="U536" t="s">
        <v>43</v>
      </c>
      <c r="V536" s="2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tr">
        <f t="shared" si="32"/>
        <v>46+</v>
      </c>
      <c r="AH536" t="str">
        <f t="shared" si="33"/>
        <v>Very High</v>
      </c>
      <c r="AI536" s="1">
        <f>VLOOKUP(E536,Lookup_Tables!$A$3:$B$5,2,)</f>
        <v>6281.2528616024974</v>
      </c>
      <c r="AJ536" t="str">
        <f t="shared" si="34"/>
        <v>Above salary</v>
      </c>
      <c r="AK536" t="str">
        <f t="shared" si="35"/>
        <v>Low Risk</v>
      </c>
    </row>
    <row r="537" spans="1:37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731</v>
      </c>
      <c r="J537">
        <v>2</v>
      </c>
      <c r="K537" t="s">
        <v>46</v>
      </c>
      <c r="L537">
        <v>73</v>
      </c>
      <c r="M537">
        <v>2</v>
      </c>
      <c r="N537">
        <v>5</v>
      </c>
      <c r="O537" t="s">
        <v>56</v>
      </c>
      <c r="P537">
        <v>4</v>
      </c>
      <c r="Q537" t="s">
        <v>52</v>
      </c>
      <c r="R537" s="3">
        <v>19141</v>
      </c>
      <c r="S537">
        <v>8861</v>
      </c>
      <c r="T537">
        <v>3</v>
      </c>
      <c r="U537" t="s">
        <v>43</v>
      </c>
      <c r="V537" s="2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tr">
        <f t="shared" si="32"/>
        <v>36-45</v>
      </c>
      <c r="AH537" t="str">
        <f t="shared" si="33"/>
        <v>Very High</v>
      </c>
      <c r="AI537" s="1">
        <f>VLOOKUP(E537,Lookup_Tables!$A$3:$B$5,2,)</f>
        <v>6654.5079365079364</v>
      </c>
      <c r="AJ537" t="str">
        <f t="shared" si="34"/>
        <v>Above salary</v>
      </c>
      <c r="AK537" t="str">
        <f t="shared" si="35"/>
        <v>Low Risk</v>
      </c>
    </row>
    <row r="538" spans="1:37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732</v>
      </c>
      <c r="J538">
        <v>1</v>
      </c>
      <c r="K538" t="s">
        <v>46</v>
      </c>
      <c r="L538">
        <v>84</v>
      </c>
      <c r="M538">
        <v>3</v>
      </c>
      <c r="N538">
        <v>2</v>
      </c>
      <c r="O538" t="s">
        <v>40</v>
      </c>
      <c r="P538">
        <v>1</v>
      </c>
      <c r="Q538" t="s">
        <v>41</v>
      </c>
      <c r="R538" s="3">
        <v>5405</v>
      </c>
      <c r="S538">
        <v>11924</v>
      </c>
      <c r="T538">
        <v>8</v>
      </c>
      <c r="U538" t="s">
        <v>43</v>
      </c>
      <c r="V538" s="2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tr">
        <f t="shared" si="32"/>
        <v>46+</v>
      </c>
      <c r="AH538" t="str">
        <f t="shared" si="33"/>
        <v>Mid</v>
      </c>
      <c r="AI538" s="1">
        <f>VLOOKUP(E538,Lookup_Tables!$A$3:$B$5,2,)</f>
        <v>6959.17264573991</v>
      </c>
      <c r="AJ538" t="str">
        <f t="shared" si="34"/>
        <v>Below salary</v>
      </c>
      <c r="AK538" t="str">
        <f t="shared" si="35"/>
        <v>Medium Risk</v>
      </c>
    </row>
    <row r="539" spans="1:37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46</v>
      </c>
      <c r="L539">
        <v>32</v>
      </c>
      <c r="M539">
        <v>3</v>
      </c>
      <c r="N539">
        <v>3</v>
      </c>
      <c r="O539" t="s">
        <v>53</v>
      </c>
      <c r="P539">
        <v>1</v>
      </c>
      <c r="Q539" t="s">
        <v>52</v>
      </c>
      <c r="R539" s="3">
        <v>8793</v>
      </c>
      <c r="S539">
        <v>4809</v>
      </c>
      <c r="T539">
        <v>1</v>
      </c>
      <c r="U539" t="s">
        <v>43</v>
      </c>
      <c r="V539" s="2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tr">
        <f t="shared" si="32"/>
        <v>26-35</v>
      </c>
      <c r="AH539" t="str">
        <f t="shared" si="33"/>
        <v>High</v>
      </c>
      <c r="AI539" s="1">
        <f>VLOOKUP(E539,Lookup_Tables!$A$3:$B$5,2,)</f>
        <v>6281.2528616024974</v>
      </c>
      <c r="AJ539" t="str">
        <f t="shared" si="34"/>
        <v>Above salary</v>
      </c>
      <c r="AK539" t="str">
        <f t="shared" si="35"/>
        <v>Medium Risk</v>
      </c>
    </row>
    <row r="540" spans="1:37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734</v>
      </c>
      <c r="J540">
        <v>4</v>
      </c>
      <c r="K540" t="s">
        <v>46</v>
      </c>
      <c r="L540">
        <v>59</v>
      </c>
      <c r="M540">
        <v>2</v>
      </c>
      <c r="N540">
        <v>5</v>
      </c>
      <c r="O540" t="s">
        <v>56</v>
      </c>
      <c r="P540">
        <v>3</v>
      </c>
      <c r="Q540" t="s">
        <v>48</v>
      </c>
      <c r="R540" s="3">
        <v>19189</v>
      </c>
      <c r="S540">
        <v>19562</v>
      </c>
      <c r="T540">
        <v>1</v>
      </c>
      <c r="U540" t="s">
        <v>43</v>
      </c>
      <c r="V540" s="2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tr">
        <f t="shared" si="32"/>
        <v>36-45</v>
      </c>
      <c r="AH540" t="str">
        <f t="shared" si="33"/>
        <v>Very High</v>
      </c>
      <c r="AI540" s="1">
        <f>VLOOKUP(E540,Lookup_Tables!$A$3:$B$5,2,)</f>
        <v>6654.5079365079364</v>
      </c>
      <c r="AJ540" t="str">
        <f t="shared" si="34"/>
        <v>Above salary</v>
      </c>
      <c r="AK540" t="str">
        <f t="shared" si="35"/>
        <v>Low Risk</v>
      </c>
    </row>
    <row r="541" spans="1:37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738</v>
      </c>
      <c r="J541">
        <v>4</v>
      </c>
      <c r="K541" t="s">
        <v>46</v>
      </c>
      <c r="L541">
        <v>54</v>
      </c>
      <c r="M541">
        <v>3</v>
      </c>
      <c r="N541">
        <v>1</v>
      </c>
      <c r="O541" t="s">
        <v>57</v>
      </c>
      <c r="P541">
        <v>2</v>
      </c>
      <c r="Q541" t="s">
        <v>48</v>
      </c>
      <c r="R541" s="3">
        <v>3875</v>
      </c>
      <c r="S541">
        <v>9983</v>
      </c>
      <c r="T541">
        <v>7</v>
      </c>
      <c r="U541" t="s">
        <v>43</v>
      </c>
      <c r="V541" s="2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tr">
        <f t="shared" si="32"/>
        <v>46+</v>
      </c>
      <c r="AH541" t="str">
        <f t="shared" si="33"/>
        <v>Mid</v>
      </c>
      <c r="AI541" s="1">
        <f>VLOOKUP(E541,Lookup_Tables!$A$3:$B$5,2,)</f>
        <v>6959.17264573991</v>
      </c>
      <c r="AJ541" t="str">
        <f t="shared" si="34"/>
        <v>Below salary</v>
      </c>
      <c r="AK541" t="str">
        <f t="shared" si="35"/>
        <v>Medium Risk</v>
      </c>
    </row>
    <row r="542" spans="1:37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67</v>
      </c>
      <c r="M542">
        <v>1</v>
      </c>
      <c r="N542">
        <v>1</v>
      </c>
      <c r="O542" t="s">
        <v>47</v>
      </c>
      <c r="P542">
        <v>2</v>
      </c>
      <c r="Q542" t="s">
        <v>41</v>
      </c>
      <c r="R542" s="3">
        <v>2216</v>
      </c>
      <c r="S542">
        <v>3872</v>
      </c>
      <c r="T542">
        <v>7</v>
      </c>
      <c r="U542" t="s">
        <v>35</v>
      </c>
      <c r="V542" s="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tr">
        <f t="shared" si="32"/>
        <v>26-35</v>
      </c>
      <c r="AH542" t="str">
        <f t="shared" si="33"/>
        <v>Low</v>
      </c>
      <c r="AI542" s="1">
        <f>VLOOKUP(E542,Lookup_Tables!$A$3:$B$5,2,)</f>
        <v>6281.2528616024974</v>
      </c>
      <c r="AJ542" t="str">
        <f t="shared" si="34"/>
        <v>Below salary</v>
      </c>
      <c r="AK542" t="str">
        <f t="shared" si="35"/>
        <v>High Risk</v>
      </c>
    </row>
    <row r="543" spans="1:37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63</v>
      </c>
      <c r="M543">
        <v>4</v>
      </c>
      <c r="N543">
        <v>3</v>
      </c>
      <c r="O543" t="s">
        <v>58</v>
      </c>
      <c r="P543">
        <v>1</v>
      </c>
      <c r="Q543" t="s">
        <v>48</v>
      </c>
      <c r="R543" s="3">
        <v>11713</v>
      </c>
      <c r="S543">
        <v>20335</v>
      </c>
      <c r="T543">
        <v>9</v>
      </c>
      <c r="U543" t="s">
        <v>43</v>
      </c>
      <c r="V543" s="2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tr">
        <f t="shared" si="32"/>
        <v>36-45</v>
      </c>
      <c r="AH543" t="str">
        <f t="shared" si="33"/>
        <v>High</v>
      </c>
      <c r="AI543" s="1">
        <f>VLOOKUP(E543,Lookup_Tables!$A$3:$B$5,2,)</f>
        <v>6281.2528616024974</v>
      </c>
      <c r="AJ543" t="str">
        <f t="shared" si="34"/>
        <v>Above salary</v>
      </c>
      <c r="AK543" t="str">
        <f t="shared" si="35"/>
        <v>Medium Risk</v>
      </c>
    </row>
    <row r="544" spans="1:37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81</v>
      </c>
      <c r="M544">
        <v>3</v>
      </c>
      <c r="N544">
        <v>3</v>
      </c>
      <c r="O544" t="s">
        <v>53</v>
      </c>
      <c r="P544">
        <v>3</v>
      </c>
      <c r="Q544" t="s">
        <v>41</v>
      </c>
      <c r="R544" s="3">
        <v>7861</v>
      </c>
      <c r="S544">
        <v>15397</v>
      </c>
      <c r="T544">
        <v>4</v>
      </c>
      <c r="U544" t="s">
        <v>35</v>
      </c>
      <c r="V544" s="2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tr">
        <f t="shared" si="32"/>
        <v>36-45</v>
      </c>
      <c r="AH544" t="str">
        <f t="shared" si="33"/>
        <v>High</v>
      </c>
      <c r="AI544" s="1">
        <f>VLOOKUP(E544,Lookup_Tables!$A$3:$B$5,2,)</f>
        <v>6281.2528616024974</v>
      </c>
      <c r="AJ544" t="str">
        <f t="shared" si="34"/>
        <v>Above salary</v>
      </c>
      <c r="AK544" t="str">
        <f t="shared" si="35"/>
        <v>Medium Risk</v>
      </c>
    </row>
    <row r="545" spans="1:37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744</v>
      </c>
      <c r="J545">
        <v>1</v>
      </c>
      <c r="K545" t="s">
        <v>46</v>
      </c>
      <c r="L545">
        <v>49</v>
      </c>
      <c r="M545">
        <v>1</v>
      </c>
      <c r="N545">
        <v>1</v>
      </c>
      <c r="O545" t="s">
        <v>50</v>
      </c>
      <c r="P545">
        <v>3</v>
      </c>
      <c r="Q545" t="s">
        <v>41</v>
      </c>
      <c r="R545" s="3">
        <v>3708</v>
      </c>
      <c r="S545">
        <v>2104</v>
      </c>
      <c r="T545">
        <v>2</v>
      </c>
      <c r="U545" t="s">
        <v>43</v>
      </c>
      <c r="V545" s="2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tr">
        <f t="shared" si="32"/>
        <v>36-45</v>
      </c>
      <c r="AH545" t="str">
        <f t="shared" si="33"/>
        <v>Mid</v>
      </c>
      <c r="AI545" s="1">
        <f>VLOOKUP(E545,Lookup_Tables!$A$3:$B$5,2,)</f>
        <v>6281.2528616024974</v>
      </c>
      <c r="AJ545" t="str">
        <f t="shared" si="34"/>
        <v>Below salary</v>
      </c>
      <c r="AK545" t="str">
        <f t="shared" si="35"/>
        <v>Low Risk</v>
      </c>
    </row>
    <row r="546" spans="1:37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746</v>
      </c>
      <c r="J546">
        <v>4</v>
      </c>
      <c r="K546" t="s">
        <v>39</v>
      </c>
      <c r="L546">
        <v>49</v>
      </c>
      <c r="M546">
        <v>3</v>
      </c>
      <c r="N546">
        <v>4</v>
      </c>
      <c r="O546" t="s">
        <v>40</v>
      </c>
      <c r="P546">
        <v>3</v>
      </c>
      <c r="Q546" t="s">
        <v>52</v>
      </c>
      <c r="R546" s="3">
        <v>13770</v>
      </c>
      <c r="S546">
        <v>10225</v>
      </c>
      <c r="T546">
        <v>9</v>
      </c>
      <c r="U546" t="s">
        <v>35</v>
      </c>
      <c r="V546" s="2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tr">
        <f t="shared" si="32"/>
        <v>46+</v>
      </c>
      <c r="AH546" t="str">
        <f t="shared" si="33"/>
        <v>Very High</v>
      </c>
      <c r="AI546" s="1">
        <f>VLOOKUP(E546,Lookup_Tables!$A$3:$B$5,2,)</f>
        <v>6959.17264573991</v>
      </c>
      <c r="AJ546" t="str">
        <f t="shared" si="34"/>
        <v>Above salary</v>
      </c>
      <c r="AK546" t="str">
        <f t="shared" si="35"/>
        <v>Medium Risk</v>
      </c>
    </row>
    <row r="547" spans="1:37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747</v>
      </c>
      <c r="J547">
        <v>3</v>
      </c>
      <c r="K547" t="s">
        <v>46</v>
      </c>
      <c r="L547">
        <v>99</v>
      </c>
      <c r="M547">
        <v>3</v>
      </c>
      <c r="N547">
        <v>2</v>
      </c>
      <c r="O547" t="s">
        <v>40</v>
      </c>
      <c r="P547">
        <v>4</v>
      </c>
      <c r="Q547" t="s">
        <v>52</v>
      </c>
      <c r="R547" s="3">
        <v>5304</v>
      </c>
      <c r="S547">
        <v>25275</v>
      </c>
      <c r="T547">
        <v>7</v>
      </c>
      <c r="U547" t="s">
        <v>43</v>
      </c>
      <c r="V547" s="2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tr">
        <f t="shared" si="32"/>
        <v>26-35</v>
      </c>
      <c r="AH547" t="str">
        <f t="shared" si="33"/>
        <v>Mid</v>
      </c>
      <c r="AI547" s="1">
        <f>VLOOKUP(E547,Lookup_Tables!$A$3:$B$5,2,)</f>
        <v>6959.17264573991</v>
      </c>
      <c r="AJ547" t="str">
        <f t="shared" si="34"/>
        <v>Below salary</v>
      </c>
      <c r="AK547" t="str">
        <f t="shared" si="35"/>
        <v>Low Risk</v>
      </c>
    </row>
    <row r="548" spans="1:37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46</v>
      </c>
      <c r="L548">
        <v>99</v>
      </c>
      <c r="M548">
        <v>3</v>
      </c>
      <c r="N548">
        <v>1</v>
      </c>
      <c r="O548" t="s">
        <v>57</v>
      </c>
      <c r="P548">
        <v>3</v>
      </c>
      <c r="Q548" t="s">
        <v>41</v>
      </c>
      <c r="R548" s="3">
        <v>2642</v>
      </c>
      <c r="S548">
        <v>2755</v>
      </c>
      <c r="T548">
        <v>1</v>
      </c>
      <c r="U548" t="s">
        <v>43</v>
      </c>
      <c r="V548" s="2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tr">
        <f t="shared" si="32"/>
        <v>26-35</v>
      </c>
      <c r="AH548" t="str">
        <f t="shared" si="33"/>
        <v>Low</v>
      </c>
      <c r="AI548" s="1">
        <f>VLOOKUP(E548,Lookup_Tables!$A$3:$B$5,2,)</f>
        <v>6959.17264573991</v>
      </c>
      <c r="AJ548" t="str">
        <f t="shared" si="34"/>
        <v>Below salary</v>
      </c>
      <c r="AK548" t="str">
        <f t="shared" si="35"/>
        <v>Low Risk</v>
      </c>
    </row>
    <row r="549" spans="1:37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752</v>
      </c>
      <c r="J549">
        <v>3</v>
      </c>
      <c r="K549" t="s">
        <v>46</v>
      </c>
      <c r="L549">
        <v>57</v>
      </c>
      <c r="M549">
        <v>4</v>
      </c>
      <c r="N549">
        <v>1</v>
      </c>
      <c r="O549" t="s">
        <v>47</v>
      </c>
      <c r="P549">
        <v>3</v>
      </c>
      <c r="Q549" t="s">
        <v>52</v>
      </c>
      <c r="R549" s="3">
        <v>2759</v>
      </c>
      <c r="S549">
        <v>20366</v>
      </c>
      <c r="T549">
        <v>6</v>
      </c>
      <c r="U549" t="s">
        <v>35</v>
      </c>
      <c r="V549" s="2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tr">
        <f t="shared" si="32"/>
        <v>36-45</v>
      </c>
      <c r="AH549" t="str">
        <f t="shared" si="33"/>
        <v>Low</v>
      </c>
      <c r="AI549" s="1">
        <f>VLOOKUP(E549,Lookup_Tables!$A$3:$B$5,2,)</f>
        <v>6281.2528616024974</v>
      </c>
      <c r="AJ549" t="str">
        <f t="shared" si="34"/>
        <v>Below salary</v>
      </c>
      <c r="AK549" t="str">
        <f t="shared" si="35"/>
        <v>Medium Risk</v>
      </c>
    </row>
    <row r="550" spans="1:37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46</v>
      </c>
      <c r="L550">
        <v>47</v>
      </c>
      <c r="M550">
        <v>2</v>
      </c>
      <c r="N550">
        <v>2</v>
      </c>
      <c r="O550" t="s">
        <v>40</v>
      </c>
      <c r="P550">
        <v>4</v>
      </c>
      <c r="Q550" t="s">
        <v>48</v>
      </c>
      <c r="R550" s="3">
        <v>6804</v>
      </c>
      <c r="S550">
        <v>23683</v>
      </c>
      <c r="T550">
        <v>3</v>
      </c>
      <c r="U550" t="s">
        <v>43</v>
      </c>
      <c r="V550" s="2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tr">
        <f t="shared" si="32"/>
        <v>36-45</v>
      </c>
      <c r="AH550" t="str">
        <f t="shared" si="33"/>
        <v>Mid</v>
      </c>
      <c r="AI550" s="1">
        <f>VLOOKUP(E550,Lookup_Tables!$A$3:$B$5,2,)</f>
        <v>6959.17264573991</v>
      </c>
      <c r="AJ550" t="str">
        <f t="shared" si="34"/>
        <v>Below salary</v>
      </c>
      <c r="AK550" t="str">
        <f t="shared" si="35"/>
        <v>Low Risk</v>
      </c>
    </row>
    <row r="551" spans="1:37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757</v>
      </c>
      <c r="J551">
        <v>2</v>
      </c>
      <c r="K551" t="s">
        <v>39</v>
      </c>
      <c r="L551">
        <v>96</v>
      </c>
      <c r="M551">
        <v>3</v>
      </c>
      <c r="N551">
        <v>2</v>
      </c>
      <c r="O551" t="s">
        <v>54</v>
      </c>
      <c r="P551">
        <v>3</v>
      </c>
      <c r="Q551" t="s">
        <v>41</v>
      </c>
      <c r="R551" s="3">
        <v>6142</v>
      </c>
      <c r="S551">
        <v>7360</v>
      </c>
      <c r="T551">
        <v>3</v>
      </c>
      <c r="U551" t="s">
        <v>43</v>
      </c>
      <c r="V551" s="2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tr">
        <f t="shared" si="32"/>
        <v>26-35</v>
      </c>
      <c r="AH551" t="str">
        <f t="shared" si="33"/>
        <v>Mid</v>
      </c>
      <c r="AI551" s="1">
        <f>VLOOKUP(E551,Lookup_Tables!$A$3:$B$5,2,)</f>
        <v>6281.2528616024974</v>
      </c>
      <c r="AJ551" t="str">
        <f t="shared" si="34"/>
        <v>Below salary</v>
      </c>
      <c r="AK551" t="str">
        <f t="shared" si="35"/>
        <v>Low Risk</v>
      </c>
    </row>
    <row r="552" spans="1:37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758</v>
      </c>
      <c r="J552">
        <v>2</v>
      </c>
      <c r="K552" t="s">
        <v>46</v>
      </c>
      <c r="L552">
        <v>37</v>
      </c>
      <c r="M552">
        <v>3</v>
      </c>
      <c r="N552">
        <v>1</v>
      </c>
      <c r="O552" t="s">
        <v>50</v>
      </c>
      <c r="P552">
        <v>1</v>
      </c>
      <c r="Q552" t="s">
        <v>48</v>
      </c>
      <c r="R552" s="3">
        <v>2500</v>
      </c>
      <c r="S552">
        <v>4344</v>
      </c>
      <c r="T552">
        <v>1</v>
      </c>
      <c r="U552" t="s">
        <v>43</v>
      </c>
      <c r="V552" s="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tr">
        <f t="shared" si="32"/>
        <v>18-25</v>
      </c>
      <c r="AH552" t="str">
        <f t="shared" si="33"/>
        <v>Low</v>
      </c>
      <c r="AI552" s="1">
        <f>VLOOKUP(E552,Lookup_Tables!$A$3:$B$5,2,)</f>
        <v>6281.2528616024974</v>
      </c>
      <c r="AJ552" t="str">
        <f t="shared" si="34"/>
        <v>Below salary</v>
      </c>
      <c r="AK552" t="str">
        <f t="shared" si="35"/>
        <v>Medium Risk</v>
      </c>
    </row>
    <row r="553" spans="1:37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760</v>
      </c>
      <c r="J553">
        <v>3</v>
      </c>
      <c r="K553" t="s">
        <v>39</v>
      </c>
      <c r="L553">
        <v>44</v>
      </c>
      <c r="M553">
        <v>4</v>
      </c>
      <c r="N553">
        <v>2</v>
      </c>
      <c r="O553" t="s">
        <v>61</v>
      </c>
      <c r="P553">
        <v>2</v>
      </c>
      <c r="Q553" t="s">
        <v>48</v>
      </c>
      <c r="R553" s="3">
        <v>6389</v>
      </c>
      <c r="S553">
        <v>18767</v>
      </c>
      <c r="T553">
        <v>9</v>
      </c>
      <c r="U553" t="s">
        <v>43</v>
      </c>
      <c r="V553" s="2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tr">
        <f t="shared" si="32"/>
        <v>36-45</v>
      </c>
      <c r="AH553" t="str">
        <f t="shared" si="33"/>
        <v>Mid</v>
      </c>
      <c r="AI553" s="1">
        <f>VLOOKUP(E553,Lookup_Tables!$A$3:$B$5,2,)</f>
        <v>6654.5079365079364</v>
      </c>
      <c r="AJ553" t="str">
        <f t="shared" si="34"/>
        <v>Below salary</v>
      </c>
      <c r="AK553" t="str">
        <f t="shared" si="35"/>
        <v>Medium Risk</v>
      </c>
    </row>
    <row r="554" spans="1:37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762</v>
      </c>
      <c r="J554">
        <v>3</v>
      </c>
      <c r="K554" t="s">
        <v>46</v>
      </c>
      <c r="L554">
        <v>81</v>
      </c>
      <c r="M554">
        <v>3</v>
      </c>
      <c r="N554">
        <v>4</v>
      </c>
      <c r="O554" t="s">
        <v>54</v>
      </c>
      <c r="P554">
        <v>4</v>
      </c>
      <c r="Q554" t="s">
        <v>48</v>
      </c>
      <c r="R554" s="3">
        <v>11103</v>
      </c>
      <c r="S554">
        <v>20420</v>
      </c>
      <c r="T554">
        <v>7</v>
      </c>
      <c r="U554" t="s">
        <v>43</v>
      </c>
      <c r="V554" s="2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tr">
        <f t="shared" si="32"/>
        <v>46+</v>
      </c>
      <c r="AH554" t="str">
        <f t="shared" si="33"/>
        <v>High</v>
      </c>
      <c r="AI554" s="1">
        <f>VLOOKUP(E554,Lookup_Tables!$A$3:$B$5,2,)</f>
        <v>6281.2528616024974</v>
      </c>
      <c r="AJ554" t="str">
        <f t="shared" si="34"/>
        <v>Above salary</v>
      </c>
      <c r="AK554" t="str">
        <f t="shared" si="35"/>
        <v>Low Risk</v>
      </c>
    </row>
    <row r="555" spans="1:37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763</v>
      </c>
      <c r="J555">
        <v>4</v>
      </c>
      <c r="K555" t="s">
        <v>39</v>
      </c>
      <c r="L555">
        <v>86</v>
      </c>
      <c r="M555">
        <v>2</v>
      </c>
      <c r="N555">
        <v>1</v>
      </c>
      <c r="O555" t="s">
        <v>47</v>
      </c>
      <c r="P555">
        <v>4</v>
      </c>
      <c r="Q555" t="s">
        <v>41</v>
      </c>
      <c r="R555" s="3">
        <v>2342</v>
      </c>
      <c r="S555">
        <v>22929</v>
      </c>
      <c r="T555">
        <v>0</v>
      </c>
      <c r="U555" t="s">
        <v>35</v>
      </c>
      <c r="V555" s="2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tr">
        <f t="shared" si="32"/>
        <v>36-45</v>
      </c>
      <c r="AH555" t="str">
        <f t="shared" si="33"/>
        <v>Low</v>
      </c>
      <c r="AI555" s="1">
        <f>VLOOKUP(E555,Lookup_Tables!$A$3:$B$5,2,)</f>
        <v>6281.2528616024974</v>
      </c>
      <c r="AJ555" t="str">
        <f t="shared" si="34"/>
        <v>Below salary</v>
      </c>
      <c r="AK555" t="str">
        <f t="shared" si="35"/>
        <v>Medium Risk</v>
      </c>
    </row>
    <row r="556" spans="1:37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764</v>
      </c>
      <c r="J556">
        <v>4</v>
      </c>
      <c r="K556" t="s">
        <v>39</v>
      </c>
      <c r="L556">
        <v>55</v>
      </c>
      <c r="M556">
        <v>2</v>
      </c>
      <c r="N556">
        <v>2</v>
      </c>
      <c r="O556" t="s">
        <v>54</v>
      </c>
      <c r="P556">
        <v>1</v>
      </c>
      <c r="Q556" t="s">
        <v>41</v>
      </c>
      <c r="R556" s="3">
        <v>6811</v>
      </c>
      <c r="S556">
        <v>23398</v>
      </c>
      <c r="T556">
        <v>8</v>
      </c>
      <c r="U556" t="s">
        <v>43</v>
      </c>
      <c r="V556" s="2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tr">
        <f t="shared" si="32"/>
        <v>26-35</v>
      </c>
      <c r="AH556" t="str">
        <f t="shared" si="33"/>
        <v>Mid</v>
      </c>
      <c r="AI556" s="1">
        <f>VLOOKUP(E556,Lookup_Tables!$A$3:$B$5,2,)</f>
        <v>6281.2528616024974</v>
      </c>
      <c r="AJ556" t="str">
        <f t="shared" si="34"/>
        <v>Above salary</v>
      </c>
      <c r="AK556" t="str">
        <f t="shared" si="35"/>
        <v>Medium Risk</v>
      </c>
    </row>
    <row r="557" spans="1:37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766</v>
      </c>
      <c r="J557">
        <v>4</v>
      </c>
      <c r="K557" t="s">
        <v>46</v>
      </c>
      <c r="L557">
        <v>83</v>
      </c>
      <c r="M557">
        <v>3</v>
      </c>
      <c r="N557">
        <v>1</v>
      </c>
      <c r="O557" t="s">
        <v>57</v>
      </c>
      <c r="P557">
        <v>2</v>
      </c>
      <c r="Q557" t="s">
        <v>52</v>
      </c>
      <c r="R557" s="3">
        <v>2297</v>
      </c>
      <c r="S557">
        <v>17967</v>
      </c>
      <c r="T557">
        <v>1</v>
      </c>
      <c r="U557" t="s">
        <v>43</v>
      </c>
      <c r="V557" s="2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tr">
        <f t="shared" si="32"/>
        <v>26-35</v>
      </c>
      <c r="AH557" t="str">
        <f t="shared" si="33"/>
        <v>Low</v>
      </c>
      <c r="AI557" s="1">
        <f>VLOOKUP(E557,Lookup_Tables!$A$3:$B$5,2,)</f>
        <v>6959.17264573991</v>
      </c>
      <c r="AJ557" t="str">
        <f t="shared" si="34"/>
        <v>Below salary</v>
      </c>
      <c r="AK557" t="str">
        <f t="shared" si="35"/>
        <v>Medium Risk</v>
      </c>
    </row>
    <row r="558" spans="1:37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46</v>
      </c>
      <c r="L558">
        <v>86</v>
      </c>
      <c r="M558">
        <v>3</v>
      </c>
      <c r="N558">
        <v>2</v>
      </c>
      <c r="O558" t="s">
        <v>50</v>
      </c>
      <c r="P558">
        <v>4</v>
      </c>
      <c r="Q558" t="s">
        <v>41</v>
      </c>
      <c r="R558" s="3">
        <v>2450</v>
      </c>
      <c r="S558">
        <v>10919</v>
      </c>
      <c r="T558">
        <v>2</v>
      </c>
      <c r="U558" t="s">
        <v>43</v>
      </c>
      <c r="V558" s="2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tr">
        <f t="shared" si="32"/>
        <v>46+</v>
      </c>
      <c r="AH558" t="str">
        <f t="shared" si="33"/>
        <v>Low</v>
      </c>
      <c r="AI558" s="1">
        <f>VLOOKUP(E558,Lookup_Tables!$A$3:$B$5,2,)</f>
        <v>6281.2528616024974</v>
      </c>
      <c r="AJ558" t="str">
        <f t="shared" si="34"/>
        <v>Below salary</v>
      </c>
      <c r="AK558" t="str">
        <f t="shared" si="35"/>
        <v>Low Risk</v>
      </c>
    </row>
    <row r="559" spans="1:37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61</v>
      </c>
      <c r="M559">
        <v>3</v>
      </c>
      <c r="N559">
        <v>2</v>
      </c>
      <c r="O559" t="s">
        <v>54</v>
      </c>
      <c r="P559">
        <v>1</v>
      </c>
      <c r="Q559" t="s">
        <v>52</v>
      </c>
      <c r="R559" s="3">
        <v>5093</v>
      </c>
      <c r="S559">
        <v>4761</v>
      </c>
      <c r="T559">
        <v>2</v>
      </c>
      <c r="U559" t="s">
        <v>43</v>
      </c>
      <c r="V559" s="2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tr">
        <f t="shared" si="32"/>
        <v>26-35</v>
      </c>
      <c r="AH559" t="str">
        <f t="shared" si="33"/>
        <v>Mid</v>
      </c>
      <c r="AI559" s="1">
        <f>VLOOKUP(E559,Lookup_Tables!$A$3:$B$5,2,)</f>
        <v>6281.2528616024974</v>
      </c>
      <c r="AJ559" t="str">
        <f t="shared" si="34"/>
        <v>Below salary</v>
      </c>
      <c r="AK559" t="str">
        <f t="shared" si="35"/>
        <v>Medium Risk</v>
      </c>
    </row>
    <row r="560" spans="1:37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46</v>
      </c>
      <c r="L560">
        <v>80</v>
      </c>
      <c r="M560">
        <v>3</v>
      </c>
      <c r="N560">
        <v>2</v>
      </c>
      <c r="O560" t="s">
        <v>50</v>
      </c>
      <c r="P560">
        <v>4</v>
      </c>
      <c r="Q560" t="s">
        <v>48</v>
      </c>
      <c r="R560" s="3">
        <v>5309</v>
      </c>
      <c r="S560">
        <v>21146</v>
      </c>
      <c r="T560">
        <v>1</v>
      </c>
      <c r="U560" t="s">
        <v>43</v>
      </c>
      <c r="V560" s="2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tr">
        <f t="shared" si="32"/>
        <v>26-35</v>
      </c>
      <c r="AH560" t="str">
        <f t="shared" si="33"/>
        <v>Mid</v>
      </c>
      <c r="AI560" s="1">
        <f>VLOOKUP(E560,Lookup_Tables!$A$3:$B$5,2,)</f>
        <v>6281.2528616024974</v>
      </c>
      <c r="AJ560" t="str">
        <f t="shared" si="34"/>
        <v>Below salary</v>
      </c>
      <c r="AK560" t="str">
        <f t="shared" si="35"/>
        <v>Low Risk</v>
      </c>
    </row>
    <row r="561" spans="1:37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773</v>
      </c>
      <c r="J561">
        <v>4</v>
      </c>
      <c r="K561" t="s">
        <v>46</v>
      </c>
      <c r="L561">
        <v>92</v>
      </c>
      <c r="M561">
        <v>3</v>
      </c>
      <c r="N561">
        <v>1</v>
      </c>
      <c r="O561" t="s">
        <v>47</v>
      </c>
      <c r="P561">
        <v>3</v>
      </c>
      <c r="Q561" t="s">
        <v>48</v>
      </c>
      <c r="R561" s="3">
        <v>3057</v>
      </c>
      <c r="S561">
        <v>20471</v>
      </c>
      <c r="T561">
        <v>6</v>
      </c>
      <c r="U561" t="s">
        <v>35</v>
      </c>
      <c r="V561" s="2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tr">
        <f t="shared" si="32"/>
        <v>36-45</v>
      </c>
      <c r="AH561" t="str">
        <f t="shared" si="33"/>
        <v>Mid</v>
      </c>
      <c r="AI561" s="1">
        <f>VLOOKUP(E561,Lookup_Tables!$A$3:$B$5,2,)</f>
        <v>6281.2528616024974</v>
      </c>
      <c r="AJ561" t="str">
        <f t="shared" si="34"/>
        <v>Below salary</v>
      </c>
      <c r="AK561" t="str">
        <f t="shared" si="35"/>
        <v>Medium Risk</v>
      </c>
    </row>
    <row r="562" spans="1:37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32</v>
      </c>
      <c r="M562">
        <v>3</v>
      </c>
      <c r="N562">
        <v>2</v>
      </c>
      <c r="O562" t="s">
        <v>53</v>
      </c>
      <c r="P562">
        <v>1</v>
      </c>
      <c r="Q562" t="s">
        <v>52</v>
      </c>
      <c r="R562" s="3">
        <v>5121</v>
      </c>
      <c r="S562">
        <v>4187</v>
      </c>
      <c r="T562">
        <v>3</v>
      </c>
      <c r="U562" t="s">
        <v>43</v>
      </c>
      <c r="V562" s="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tr">
        <f t="shared" si="32"/>
        <v>26-35</v>
      </c>
      <c r="AH562" t="str">
        <f t="shared" si="33"/>
        <v>Mid</v>
      </c>
      <c r="AI562" s="1">
        <f>VLOOKUP(E562,Lookup_Tables!$A$3:$B$5,2,)</f>
        <v>6281.2528616024974</v>
      </c>
      <c r="AJ562" t="str">
        <f t="shared" si="34"/>
        <v>Below salary</v>
      </c>
      <c r="AK562" t="str">
        <f t="shared" si="35"/>
        <v>Medium Risk</v>
      </c>
    </row>
    <row r="563" spans="1:37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776</v>
      </c>
      <c r="J563">
        <v>3</v>
      </c>
      <c r="K563" t="s">
        <v>46</v>
      </c>
      <c r="L563">
        <v>31</v>
      </c>
      <c r="M563">
        <v>2</v>
      </c>
      <c r="N563">
        <v>4</v>
      </c>
      <c r="O563" t="s">
        <v>56</v>
      </c>
      <c r="P563">
        <v>1</v>
      </c>
      <c r="Q563" t="s">
        <v>48</v>
      </c>
      <c r="R563" s="3">
        <v>16856</v>
      </c>
      <c r="S563">
        <v>10084</v>
      </c>
      <c r="T563">
        <v>1</v>
      </c>
      <c r="U563" t="s">
        <v>43</v>
      </c>
      <c r="V563" s="2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tr">
        <f t="shared" si="32"/>
        <v>46+</v>
      </c>
      <c r="AH563" t="str">
        <f t="shared" si="33"/>
        <v>Very High</v>
      </c>
      <c r="AI563" s="1">
        <f>VLOOKUP(E563,Lookup_Tables!$A$3:$B$5,2,)</f>
        <v>6959.17264573991</v>
      </c>
      <c r="AJ563" t="str">
        <f t="shared" si="34"/>
        <v>Above salary</v>
      </c>
      <c r="AK563" t="str">
        <f t="shared" si="35"/>
        <v>Medium Risk</v>
      </c>
    </row>
    <row r="564" spans="1:37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t="s">
        <v>46</v>
      </c>
      <c r="L564">
        <v>63</v>
      </c>
      <c r="M564">
        <v>3</v>
      </c>
      <c r="N564">
        <v>1</v>
      </c>
      <c r="O564" t="s">
        <v>47</v>
      </c>
      <c r="P564">
        <v>4</v>
      </c>
      <c r="Q564" t="s">
        <v>41</v>
      </c>
      <c r="R564" s="3">
        <v>2686</v>
      </c>
      <c r="S564">
        <v>5207</v>
      </c>
      <c r="T564">
        <v>1</v>
      </c>
      <c r="U564" t="s">
        <v>35</v>
      </c>
      <c r="V564" s="2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tr">
        <f t="shared" si="32"/>
        <v>26-35</v>
      </c>
      <c r="AH564" t="str">
        <f t="shared" si="33"/>
        <v>Low</v>
      </c>
      <c r="AI564" s="1">
        <f>VLOOKUP(E564,Lookup_Tables!$A$3:$B$5,2,)</f>
        <v>6281.2528616024974</v>
      </c>
      <c r="AJ564" t="str">
        <f t="shared" si="34"/>
        <v>Below salary</v>
      </c>
      <c r="AK564" t="str">
        <f t="shared" si="35"/>
        <v>Medium Risk</v>
      </c>
    </row>
    <row r="565" spans="1:37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781</v>
      </c>
      <c r="J565">
        <v>3</v>
      </c>
      <c r="K565" t="s">
        <v>39</v>
      </c>
      <c r="L565">
        <v>32</v>
      </c>
      <c r="M565">
        <v>3</v>
      </c>
      <c r="N565">
        <v>2</v>
      </c>
      <c r="O565" t="s">
        <v>40</v>
      </c>
      <c r="P565">
        <v>4</v>
      </c>
      <c r="Q565" t="s">
        <v>41</v>
      </c>
      <c r="R565" s="3">
        <v>6180</v>
      </c>
      <c r="S565">
        <v>22807</v>
      </c>
      <c r="T565">
        <v>1</v>
      </c>
      <c r="U565" t="s">
        <v>43</v>
      </c>
      <c r="V565" s="2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tr">
        <f t="shared" si="32"/>
        <v>18-25</v>
      </c>
      <c r="AH565" t="str">
        <f t="shared" si="33"/>
        <v>Mid</v>
      </c>
      <c r="AI565" s="1">
        <f>VLOOKUP(E565,Lookup_Tables!$A$3:$B$5,2,)</f>
        <v>6959.17264573991</v>
      </c>
      <c r="AJ565" t="str">
        <f t="shared" si="34"/>
        <v>Below salary</v>
      </c>
      <c r="AK565" t="str">
        <f t="shared" si="35"/>
        <v>Low Risk</v>
      </c>
    </row>
    <row r="566" spans="1:37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783</v>
      </c>
      <c r="J566">
        <v>2</v>
      </c>
      <c r="K566" t="s">
        <v>46</v>
      </c>
      <c r="L566">
        <v>46</v>
      </c>
      <c r="M566">
        <v>1</v>
      </c>
      <c r="N566">
        <v>2</v>
      </c>
      <c r="O566" t="s">
        <v>57</v>
      </c>
      <c r="P566">
        <v>3</v>
      </c>
      <c r="Q566" t="s">
        <v>41</v>
      </c>
      <c r="R566" s="3">
        <v>6632</v>
      </c>
      <c r="S566">
        <v>12388</v>
      </c>
      <c r="T566">
        <v>0</v>
      </c>
      <c r="U566" t="s">
        <v>43</v>
      </c>
      <c r="V566" s="2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tr">
        <f t="shared" si="32"/>
        <v>36-45</v>
      </c>
      <c r="AH566" t="str">
        <f t="shared" si="33"/>
        <v>Mid</v>
      </c>
      <c r="AI566" s="1">
        <f>VLOOKUP(E566,Lookup_Tables!$A$3:$B$5,2,)</f>
        <v>6959.17264573991</v>
      </c>
      <c r="AJ566" t="str">
        <f t="shared" si="34"/>
        <v>Below salary</v>
      </c>
      <c r="AK566" t="str">
        <f t="shared" si="35"/>
        <v>Low Risk</v>
      </c>
    </row>
    <row r="567" spans="1:37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784</v>
      </c>
      <c r="J567">
        <v>1</v>
      </c>
      <c r="K567" t="s">
        <v>46</v>
      </c>
      <c r="L567">
        <v>79</v>
      </c>
      <c r="M567">
        <v>4</v>
      </c>
      <c r="N567">
        <v>1</v>
      </c>
      <c r="O567" t="s">
        <v>47</v>
      </c>
      <c r="P567">
        <v>3</v>
      </c>
      <c r="Q567" t="s">
        <v>41</v>
      </c>
      <c r="R567" s="3">
        <v>3505</v>
      </c>
      <c r="S567">
        <v>19630</v>
      </c>
      <c r="T567">
        <v>1</v>
      </c>
      <c r="U567" t="s">
        <v>43</v>
      </c>
      <c r="V567" s="2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tr">
        <f t="shared" si="32"/>
        <v>18-25</v>
      </c>
      <c r="AH567" t="str">
        <f t="shared" si="33"/>
        <v>Mid</v>
      </c>
      <c r="AI567" s="1">
        <f>VLOOKUP(E567,Lookup_Tables!$A$3:$B$5,2,)</f>
        <v>6281.2528616024974</v>
      </c>
      <c r="AJ567" t="str">
        <f t="shared" si="34"/>
        <v>Below salary</v>
      </c>
      <c r="AK567" t="str">
        <f t="shared" si="35"/>
        <v>Low Risk</v>
      </c>
    </row>
    <row r="568" spans="1:37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77</v>
      </c>
      <c r="M568">
        <v>4</v>
      </c>
      <c r="N568">
        <v>2</v>
      </c>
      <c r="O568" t="s">
        <v>40</v>
      </c>
      <c r="P568">
        <v>3</v>
      </c>
      <c r="Q568" t="s">
        <v>41</v>
      </c>
      <c r="R568" s="3">
        <v>6397</v>
      </c>
      <c r="S568">
        <v>10339</v>
      </c>
      <c r="T568">
        <v>4</v>
      </c>
      <c r="U568" t="s">
        <v>35</v>
      </c>
      <c r="V568" s="2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tr">
        <f t="shared" si="32"/>
        <v>46+</v>
      </c>
      <c r="AH568" t="str">
        <f t="shared" si="33"/>
        <v>Mid</v>
      </c>
      <c r="AI568" s="1">
        <f>VLOOKUP(E568,Lookup_Tables!$A$3:$B$5,2,)</f>
        <v>6959.17264573991</v>
      </c>
      <c r="AJ568" t="str">
        <f t="shared" si="34"/>
        <v>Below salary</v>
      </c>
      <c r="AK568" t="str">
        <f t="shared" si="35"/>
        <v>Medium Risk</v>
      </c>
    </row>
    <row r="569" spans="1:37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786</v>
      </c>
      <c r="J569">
        <v>4</v>
      </c>
      <c r="K569" t="s">
        <v>46</v>
      </c>
      <c r="L569">
        <v>60</v>
      </c>
      <c r="M569">
        <v>3</v>
      </c>
      <c r="N569">
        <v>2</v>
      </c>
      <c r="O569" t="s">
        <v>40</v>
      </c>
      <c r="P569">
        <v>4</v>
      </c>
      <c r="Q569" t="s">
        <v>41</v>
      </c>
      <c r="R569" s="3">
        <v>6274</v>
      </c>
      <c r="S569">
        <v>18686</v>
      </c>
      <c r="T569">
        <v>1</v>
      </c>
      <c r="U569" t="s">
        <v>43</v>
      </c>
      <c r="V569" s="2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tr">
        <f t="shared" si="32"/>
        <v>26-35</v>
      </c>
      <c r="AH569" t="str">
        <f t="shared" si="33"/>
        <v>Mid</v>
      </c>
      <c r="AI569" s="1">
        <f>VLOOKUP(E569,Lookup_Tables!$A$3:$B$5,2,)</f>
        <v>6959.17264573991</v>
      </c>
      <c r="AJ569" t="str">
        <f t="shared" si="34"/>
        <v>Below salary</v>
      </c>
      <c r="AK569" t="str">
        <f t="shared" si="35"/>
        <v>Low Risk</v>
      </c>
    </row>
    <row r="570" spans="1:37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787</v>
      </c>
      <c r="J570">
        <v>4</v>
      </c>
      <c r="K570" t="s">
        <v>46</v>
      </c>
      <c r="L570">
        <v>78</v>
      </c>
      <c r="M570">
        <v>3</v>
      </c>
      <c r="N570">
        <v>5</v>
      </c>
      <c r="O570" t="s">
        <v>56</v>
      </c>
      <c r="P570">
        <v>1</v>
      </c>
      <c r="Q570" t="s">
        <v>48</v>
      </c>
      <c r="R570" s="3">
        <v>19859</v>
      </c>
      <c r="S570">
        <v>21199</v>
      </c>
      <c r="T570">
        <v>5</v>
      </c>
      <c r="U570" t="s">
        <v>35</v>
      </c>
      <c r="V570" s="2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tr">
        <f t="shared" si="32"/>
        <v>46+</v>
      </c>
      <c r="AH570" t="str">
        <f t="shared" si="33"/>
        <v>Very High</v>
      </c>
      <c r="AI570" s="1">
        <f>VLOOKUP(E570,Lookup_Tables!$A$3:$B$5,2,)</f>
        <v>6281.2528616024974</v>
      </c>
      <c r="AJ570" t="str">
        <f t="shared" si="34"/>
        <v>Above salary</v>
      </c>
      <c r="AK570" t="str">
        <f t="shared" si="35"/>
        <v>High Risk</v>
      </c>
    </row>
    <row r="571" spans="1:37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46</v>
      </c>
      <c r="L571">
        <v>76</v>
      </c>
      <c r="M571">
        <v>2</v>
      </c>
      <c r="N571">
        <v>3</v>
      </c>
      <c r="O571" t="s">
        <v>40</v>
      </c>
      <c r="P571">
        <v>1</v>
      </c>
      <c r="Q571" t="s">
        <v>41</v>
      </c>
      <c r="R571" s="3">
        <v>7587</v>
      </c>
      <c r="S571">
        <v>14229</v>
      </c>
      <c r="T571">
        <v>1</v>
      </c>
      <c r="U571" t="s">
        <v>43</v>
      </c>
      <c r="V571" s="2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tr">
        <f t="shared" si="32"/>
        <v>36-45</v>
      </c>
      <c r="AH571" t="str">
        <f t="shared" si="33"/>
        <v>High</v>
      </c>
      <c r="AI571" s="1">
        <f>VLOOKUP(E571,Lookup_Tables!$A$3:$B$5,2,)</f>
        <v>6959.17264573991</v>
      </c>
      <c r="AJ571" t="str">
        <f t="shared" si="34"/>
        <v>Above salary</v>
      </c>
      <c r="AK571" t="str">
        <f t="shared" si="35"/>
        <v>Medium Risk</v>
      </c>
    </row>
    <row r="572" spans="1:37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791</v>
      </c>
      <c r="J572">
        <v>4</v>
      </c>
      <c r="K572" t="s">
        <v>46</v>
      </c>
      <c r="L572">
        <v>41</v>
      </c>
      <c r="M572">
        <v>3</v>
      </c>
      <c r="N572">
        <v>1</v>
      </c>
      <c r="O572" t="s">
        <v>47</v>
      </c>
      <c r="P572">
        <v>4</v>
      </c>
      <c r="Q572" t="s">
        <v>48</v>
      </c>
      <c r="R572" s="3">
        <v>4258</v>
      </c>
      <c r="S572">
        <v>26589</v>
      </c>
      <c r="T572">
        <v>0</v>
      </c>
      <c r="U572" t="s">
        <v>43</v>
      </c>
      <c r="V572" s="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tr">
        <f t="shared" si="32"/>
        <v>46+</v>
      </c>
      <c r="AH572" t="str">
        <f t="shared" si="33"/>
        <v>Mid</v>
      </c>
      <c r="AI572" s="1">
        <f>VLOOKUP(E572,Lookup_Tables!$A$3:$B$5,2,)</f>
        <v>6281.2528616024974</v>
      </c>
      <c r="AJ572" t="str">
        <f t="shared" si="34"/>
        <v>Below salary</v>
      </c>
      <c r="AK572" t="str">
        <f t="shared" si="35"/>
        <v>Low Risk</v>
      </c>
    </row>
    <row r="573" spans="1:37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71</v>
      </c>
      <c r="M573">
        <v>1</v>
      </c>
      <c r="N573">
        <v>1</v>
      </c>
      <c r="O573" t="s">
        <v>50</v>
      </c>
      <c r="P573">
        <v>4</v>
      </c>
      <c r="Q573" t="s">
        <v>52</v>
      </c>
      <c r="R573" s="3">
        <v>4364</v>
      </c>
      <c r="S573">
        <v>5288</v>
      </c>
      <c r="T573">
        <v>3</v>
      </c>
      <c r="U573" t="s">
        <v>43</v>
      </c>
      <c r="V573" s="2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tr">
        <f t="shared" si="32"/>
        <v>26-35</v>
      </c>
      <c r="AH573" t="str">
        <f t="shared" si="33"/>
        <v>Mid</v>
      </c>
      <c r="AI573" s="1">
        <f>VLOOKUP(E573,Lookup_Tables!$A$3:$B$5,2,)</f>
        <v>6281.2528616024974</v>
      </c>
      <c r="AJ573" t="str">
        <f t="shared" si="34"/>
        <v>Below salary</v>
      </c>
      <c r="AK573" t="str">
        <f t="shared" si="35"/>
        <v>Low Risk</v>
      </c>
    </row>
    <row r="574" spans="1:37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793</v>
      </c>
      <c r="J574">
        <v>2</v>
      </c>
      <c r="K574" t="s">
        <v>39</v>
      </c>
      <c r="L574">
        <v>66</v>
      </c>
      <c r="M574">
        <v>3</v>
      </c>
      <c r="N574">
        <v>2</v>
      </c>
      <c r="O574" t="s">
        <v>54</v>
      </c>
      <c r="P574">
        <v>3</v>
      </c>
      <c r="Q574" t="s">
        <v>48</v>
      </c>
      <c r="R574" s="3">
        <v>4335</v>
      </c>
      <c r="S574">
        <v>25549</v>
      </c>
      <c r="T574">
        <v>4</v>
      </c>
      <c r="U574" t="s">
        <v>43</v>
      </c>
      <c r="V574" s="2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tr">
        <f t="shared" si="32"/>
        <v>26-35</v>
      </c>
      <c r="AH574" t="str">
        <f t="shared" si="33"/>
        <v>Mid</v>
      </c>
      <c r="AI574" s="1">
        <f>VLOOKUP(E574,Lookup_Tables!$A$3:$B$5,2,)</f>
        <v>6281.2528616024974</v>
      </c>
      <c r="AJ574" t="str">
        <f t="shared" si="34"/>
        <v>Below salary</v>
      </c>
      <c r="AK574" t="str">
        <f t="shared" si="35"/>
        <v>Low Risk</v>
      </c>
    </row>
    <row r="575" spans="1:37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796</v>
      </c>
      <c r="J575">
        <v>4</v>
      </c>
      <c r="K575" t="s">
        <v>46</v>
      </c>
      <c r="L575">
        <v>38</v>
      </c>
      <c r="M575">
        <v>2</v>
      </c>
      <c r="N575">
        <v>2</v>
      </c>
      <c r="O575" t="s">
        <v>40</v>
      </c>
      <c r="P575">
        <v>1</v>
      </c>
      <c r="Q575" t="s">
        <v>41</v>
      </c>
      <c r="R575" s="3">
        <v>5326</v>
      </c>
      <c r="S575">
        <v>3064</v>
      </c>
      <c r="T575">
        <v>6</v>
      </c>
      <c r="U575" t="s">
        <v>43</v>
      </c>
      <c r="V575" s="2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tr">
        <f t="shared" si="32"/>
        <v>26-35</v>
      </c>
      <c r="AH575" t="str">
        <f t="shared" si="33"/>
        <v>Mid</v>
      </c>
      <c r="AI575" s="1">
        <f>VLOOKUP(E575,Lookup_Tables!$A$3:$B$5,2,)</f>
        <v>6959.17264573991</v>
      </c>
      <c r="AJ575" t="str">
        <f t="shared" si="34"/>
        <v>Below salary</v>
      </c>
      <c r="AK575" t="str">
        <f t="shared" si="35"/>
        <v>Medium Risk</v>
      </c>
    </row>
    <row r="576" spans="1:37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72</v>
      </c>
      <c r="M576">
        <v>4</v>
      </c>
      <c r="N576">
        <v>1</v>
      </c>
      <c r="O576" t="s">
        <v>47</v>
      </c>
      <c r="P576">
        <v>4</v>
      </c>
      <c r="Q576" t="s">
        <v>41</v>
      </c>
      <c r="R576" s="3">
        <v>3280</v>
      </c>
      <c r="S576">
        <v>13551</v>
      </c>
      <c r="T576">
        <v>2</v>
      </c>
      <c r="U576" t="s">
        <v>43</v>
      </c>
      <c r="V576" s="2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tr">
        <f t="shared" si="32"/>
        <v>26-35</v>
      </c>
      <c r="AH576" t="str">
        <f t="shared" si="33"/>
        <v>Mid</v>
      </c>
      <c r="AI576" s="1">
        <f>VLOOKUP(E576,Lookup_Tables!$A$3:$B$5,2,)</f>
        <v>6281.2528616024974</v>
      </c>
      <c r="AJ576" t="str">
        <f t="shared" si="34"/>
        <v>Below salary</v>
      </c>
      <c r="AK576" t="str">
        <f t="shared" si="35"/>
        <v>Low Risk</v>
      </c>
    </row>
    <row r="577" spans="1:37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799</v>
      </c>
      <c r="J577">
        <v>4</v>
      </c>
      <c r="K577" t="s">
        <v>39</v>
      </c>
      <c r="L577">
        <v>95</v>
      </c>
      <c r="M577">
        <v>3</v>
      </c>
      <c r="N577">
        <v>2</v>
      </c>
      <c r="O577" t="s">
        <v>53</v>
      </c>
      <c r="P577">
        <v>1</v>
      </c>
      <c r="Q577" t="s">
        <v>52</v>
      </c>
      <c r="R577" s="3">
        <v>5485</v>
      </c>
      <c r="S577">
        <v>22670</v>
      </c>
      <c r="T577">
        <v>9</v>
      </c>
      <c r="U577" t="s">
        <v>35</v>
      </c>
      <c r="V577" s="2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tr">
        <f t="shared" si="32"/>
        <v>46+</v>
      </c>
      <c r="AH577" t="str">
        <f t="shared" si="33"/>
        <v>Mid</v>
      </c>
      <c r="AI577" s="1">
        <f>VLOOKUP(E577,Lookup_Tables!$A$3:$B$5,2,)</f>
        <v>6281.2528616024974</v>
      </c>
      <c r="AJ577" t="str">
        <f t="shared" si="34"/>
        <v>Below salary</v>
      </c>
      <c r="AK577" t="str">
        <f t="shared" si="35"/>
        <v>High Risk</v>
      </c>
    </row>
    <row r="578" spans="1:37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800</v>
      </c>
      <c r="J578">
        <v>3</v>
      </c>
      <c r="K578" t="s">
        <v>46</v>
      </c>
      <c r="L578">
        <v>84</v>
      </c>
      <c r="M578">
        <v>3</v>
      </c>
      <c r="N578">
        <v>2</v>
      </c>
      <c r="O578" t="s">
        <v>40</v>
      </c>
      <c r="P578">
        <v>4</v>
      </c>
      <c r="Q578" t="s">
        <v>48</v>
      </c>
      <c r="R578" s="3">
        <v>4342</v>
      </c>
      <c r="S578">
        <v>24008</v>
      </c>
      <c r="T578">
        <v>0</v>
      </c>
      <c r="U578" t="s">
        <v>43</v>
      </c>
      <c r="V578" s="2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tr">
        <f t="shared" ref="AG578:AG641" si="36">IF(A578&lt;=25,"18-25",IF(A578&lt;= 35, "26-35",IF(A578&lt;=45, "36-45","46+")))</f>
        <v>26-35</v>
      </c>
      <c r="AH578" t="str">
        <f t="shared" ref="AH578:AH641" si="37">IF(R578&lt;3000,"Low",IF(R578&lt;7000,"Mid", IF(R578&lt;12000, "High", "Very High")))</f>
        <v>Mid</v>
      </c>
      <c r="AI578" s="1">
        <f>VLOOKUP(E578,Lookup_Tables!$A$3:$B$5,2,)</f>
        <v>6959.17264573991</v>
      </c>
      <c r="AJ578" t="str">
        <f t="shared" ref="AJ578:AJ641" si="38">IF(R578&gt;AI578, "Above salary","Below salary")</f>
        <v>Below salary</v>
      </c>
      <c r="AK578" t="str">
        <f t="shared" si="35"/>
        <v>Low Risk</v>
      </c>
    </row>
    <row r="579" spans="1:37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82</v>
      </c>
      <c r="M579">
        <v>3</v>
      </c>
      <c r="N579">
        <v>1</v>
      </c>
      <c r="O579" t="s">
        <v>47</v>
      </c>
      <c r="P579">
        <v>1</v>
      </c>
      <c r="Q579" t="s">
        <v>52</v>
      </c>
      <c r="R579" s="3">
        <v>2782</v>
      </c>
      <c r="S579">
        <v>19905</v>
      </c>
      <c r="T579">
        <v>0</v>
      </c>
      <c r="U579" t="s">
        <v>35</v>
      </c>
      <c r="V579" s="2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tr">
        <f t="shared" si="36"/>
        <v>36-45</v>
      </c>
      <c r="AH579" t="str">
        <f t="shared" si="37"/>
        <v>Low</v>
      </c>
      <c r="AI579" s="1">
        <f>VLOOKUP(E579,Lookup_Tables!$A$3:$B$5,2,)</f>
        <v>6281.2528616024974</v>
      </c>
      <c r="AJ579" t="str">
        <f t="shared" si="38"/>
        <v>Below salary</v>
      </c>
      <c r="AK579" t="str">
        <f t="shared" ref="AK579:AK642" si="39">IF(AND(P579&lt;=2,U579="Yes"),"High Risk",IF(OR(P579&lt;=2,U579="Yes"),"Medium Risk","Low Risk"))</f>
        <v>High Risk</v>
      </c>
    </row>
    <row r="580" spans="1:37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75</v>
      </c>
      <c r="M580">
        <v>4</v>
      </c>
      <c r="N580">
        <v>2</v>
      </c>
      <c r="O580" t="s">
        <v>53</v>
      </c>
      <c r="P580">
        <v>1</v>
      </c>
      <c r="Q580" t="s">
        <v>41</v>
      </c>
      <c r="R580" s="3">
        <v>5980</v>
      </c>
      <c r="S580">
        <v>26085</v>
      </c>
      <c r="T580">
        <v>6</v>
      </c>
      <c r="U580" t="s">
        <v>35</v>
      </c>
      <c r="V580" s="2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tr">
        <f t="shared" si="36"/>
        <v>36-45</v>
      </c>
      <c r="AH580" t="str">
        <f t="shared" si="37"/>
        <v>Mid</v>
      </c>
      <c r="AI580" s="1">
        <f>VLOOKUP(E580,Lookup_Tables!$A$3:$B$5,2,)</f>
        <v>6281.2528616024974</v>
      </c>
      <c r="AJ580" t="str">
        <f t="shared" si="38"/>
        <v>Below salary</v>
      </c>
      <c r="AK580" t="str">
        <f t="shared" si="39"/>
        <v>High Risk</v>
      </c>
    </row>
    <row r="581" spans="1:37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804</v>
      </c>
      <c r="J581">
        <v>3</v>
      </c>
      <c r="K581" t="s">
        <v>39</v>
      </c>
      <c r="L581">
        <v>86</v>
      </c>
      <c r="M581">
        <v>2</v>
      </c>
      <c r="N581">
        <v>1</v>
      </c>
      <c r="O581" t="s">
        <v>47</v>
      </c>
      <c r="P581">
        <v>1</v>
      </c>
      <c r="Q581" t="s">
        <v>41</v>
      </c>
      <c r="R581" s="3">
        <v>4381</v>
      </c>
      <c r="S581">
        <v>7530</v>
      </c>
      <c r="T581">
        <v>1</v>
      </c>
      <c r="U581" t="s">
        <v>43</v>
      </c>
      <c r="V581" s="2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tr">
        <f t="shared" si="36"/>
        <v>26-35</v>
      </c>
      <c r="AH581" t="str">
        <f t="shared" si="37"/>
        <v>Mid</v>
      </c>
      <c r="AI581" s="1">
        <f>VLOOKUP(E581,Lookup_Tables!$A$3:$B$5,2,)</f>
        <v>6281.2528616024974</v>
      </c>
      <c r="AJ581" t="str">
        <f t="shared" si="38"/>
        <v>Below salary</v>
      </c>
      <c r="AK581" t="str">
        <f t="shared" si="39"/>
        <v>Medium Risk</v>
      </c>
    </row>
    <row r="582" spans="1:37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72</v>
      </c>
      <c r="M582">
        <v>3</v>
      </c>
      <c r="N582">
        <v>1</v>
      </c>
      <c r="O582" t="s">
        <v>57</v>
      </c>
      <c r="P582">
        <v>4</v>
      </c>
      <c r="Q582" t="s">
        <v>48</v>
      </c>
      <c r="R582" s="3">
        <v>2572</v>
      </c>
      <c r="S582">
        <v>20317</v>
      </c>
      <c r="T582">
        <v>1</v>
      </c>
      <c r="U582" t="s">
        <v>43</v>
      </c>
      <c r="V582" s="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tr">
        <f t="shared" si="36"/>
        <v>26-35</v>
      </c>
      <c r="AH582" t="str">
        <f t="shared" si="37"/>
        <v>Low</v>
      </c>
      <c r="AI582" s="1">
        <f>VLOOKUP(E582,Lookup_Tables!$A$3:$B$5,2,)</f>
        <v>6959.17264573991</v>
      </c>
      <c r="AJ582" t="str">
        <f t="shared" si="38"/>
        <v>Below salary</v>
      </c>
      <c r="AK582" t="str">
        <f t="shared" si="39"/>
        <v>Low Risk</v>
      </c>
    </row>
    <row r="583" spans="1:37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46</v>
      </c>
      <c r="L583">
        <v>38</v>
      </c>
      <c r="M583">
        <v>1</v>
      </c>
      <c r="N583">
        <v>1</v>
      </c>
      <c r="O583" t="s">
        <v>50</v>
      </c>
      <c r="P583">
        <v>3</v>
      </c>
      <c r="Q583" t="s">
        <v>48</v>
      </c>
      <c r="R583" s="3">
        <v>3833</v>
      </c>
      <c r="S583">
        <v>24375</v>
      </c>
      <c r="T583">
        <v>3</v>
      </c>
      <c r="U583" t="s">
        <v>43</v>
      </c>
      <c r="V583" s="2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tr">
        <f t="shared" si="36"/>
        <v>26-35</v>
      </c>
      <c r="AH583" t="str">
        <f t="shared" si="37"/>
        <v>Mid</v>
      </c>
      <c r="AI583" s="1">
        <f>VLOOKUP(E583,Lookup_Tables!$A$3:$B$5,2,)</f>
        <v>6281.2528616024974</v>
      </c>
      <c r="AJ583" t="str">
        <f t="shared" si="38"/>
        <v>Below salary</v>
      </c>
      <c r="AK583" t="str">
        <f t="shared" si="39"/>
        <v>Low Risk</v>
      </c>
    </row>
    <row r="584" spans="1:37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807</v>
      </c>
      <c r="J584">
        <v>3</v>
      </c>
      <c r="K584" t="s">
        <v>39</v>
      </c>
      <c r="L584">
        <v>38</v>
      </c>
      <c r="M584">
        <v>4</v>
      </c>
      <c r="N584">
        <v>2</v>
      </c>
      <c r="O584" t="s">
        <v>54</v>
      </c>
      <c r="P584">
        <v>2</v>
      </c>
      <c r="Q584" t="s">
        <v>48</v>
      </c>
      <c r="R584" s="3">
        <v>4244</v>
      </c>
      <c r="S584">
        <v>9931</v>
      </c>
      <c r="T584">
        <v>1</v>
      </c>
      <c r="U584" t="s">
        <v>43</v>
      </c>
      <c r="V584" s="2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tr">
        <f t="shared" si="36"/>
        <v>36-45</v>
      </c>
      <c r="AH584" t="str">
        <f t="shared" si="37"/>
        <v>Mid</v>
      </c>
      <c r="AI584" s="1">
        <f>VLOOKUP(E584,Lookup_Tables!$A$3:$B$5,2,)</f>
        <v>6281.2528616024974</v>
      </c>
      <c r="AJ584" t="str">
        <f t="shared" si="38"/>
        <v>Below salary</v>
      </c>
      <c r="AK584" t="str">
        <f t="shared" si="39"/>
        <v>Medium Risk</v>
      </c>
    </row>
    <row r="585" spans="1:37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93</v>
      </c>
      <c r="M585">
        <v>3</v>
      </c>
      <c r="N585">
        <v>2</v>
      </c>
      <c r="O585" t="s">
        <v>40</v>
      </c>
      <c r="P585">
        <v>1</v>
      </c>
      <c r="Q585" t="s">
        <v>48</v>
      </c>
      <c r="R585" s="3">
        <v>6500</v>
      </c>
      <c r="S585">
        <v>13305</v>
      </c>
      <c r="T585">
        <v>5</v>
      </c>
      <c r="U585" t="s">
        <v>43</v>
      </c>
      <c r="V585" s="2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tr">
        <f t="shared" si="36"/>
        <v>26-35</v>
      </c>
      <c r="AH585" t="str">
        <f t="shared" si="37"/>
        <v>Mid</v>
      </c>
      <c r="AI585" s="1">
        <f>VLOOKUP(E585,Lookup_Tables!$A$3:$B$5,2,)</f>
        <v>6959.17264573991</v>
      </c>
      <c r="AJ585" t="str">
        <f t="shared" si="38"/>
        <v>Below salary</v>
      </c>
      <c r="AK585" t="str">
        <f t="shared" si="39"/>
        <v>Medium Risk</v>
      </c>
    </row>
    <row r="586" spans="1:37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46</v>
      </c>
      <c r="L586">
        <v>66</v>
      </c>
      <c r="M586">
        <v>3</v>
      </c>
      <c r="N586">
        <v>5</v>
      </c>
      <c r="O586" t="s">
        <v>56</v>
      </c>
      <c r="P586">
        <v>4</v>
      </c>
      <c r="Q586" t="s">
        <v>52</v>
      </c>
      <c r="R586" s="3">
        <v>18430</v>
      </c>
      <c r="S586">
        <v>16225</v>
      </c>
      <c r="T586">
        <v>1</v>
      </c>
      <c r="U586" t="s">
        <v>43</v>
      </c>
      <c r="V586" s="2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tr">
        <f t="shared" si="36"/>
        <v>36-45</v>
      </c>
      <c r="AH586" t="str">
        <f t="shared" si="37"/>
        <v>Very High</v>
      </c>
      <c r="AI586" s="1">
        <f>VLOOKUP(E586,Lookup_Tables!$A$3:$B$5,2,)</f>
        <v>6281.2528616024974</v>
      </c>
      <c r="AJ586" t="str">
        <f t="shared" si="38"/>
        <v>Above salary</v>
      </c>
      <c r="AK586" t="str">
        <f t="shared" si="39"/>
        <v>Low Risk</v>
      </c>
    </row>
    <row r="587" spans="1:37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46</v>
      </c>
      <c r="L587">
        <v>63</v>
      </c>
      <c r="M587">
        <v>4</v>
      </c>
      <c r="N587">
        <v>1</v>
      </c>
      <c r="O587" t="s">
        <v>50</v>
      </c>
      <c r="P587">
        <v>1</v>
      </c>
      <c r="Q587" t="s">
        <v>48</v>
      </c>
      <c r="R587" s="3">
        <v>1601</v>
      </c>
      <c r="S587">
        <v>3445</v>
      </c>
      <c r="T587">
        <v>1</v>
      </c>
      <c r="U587" t="s">
        <v>35</v>
      </c>
      <c r="V587" s="2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tr">
        <f t="shared" si="36"/>
        <v>18-25</v>
      </c>
      <c r="AH587" t="str">
        <f t="shared" si="37"/>
        <v>Low</v>
      </c>
      <c r="AI587" s="1">
        <f>VLOOKUP(E587,Lookup_Tables!$A$3:$B$5,2,)</f>
        <v>6281.2528616024974</v>
      </c>
      <c r="AJ587" t="str">
        <f t="shared" si="38"/>
        <v>Below salary</v>
      </c>
      <c r="AK587" t="str">
        <f t="shared" si="39"/>
        <v>High Risk</v>
      </c>
    </row>
    <row r="588" spans="1:37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46</v>
      </c>
      <c r="L588">
        <v>60</v>
      </c>
      <c r="M588">
        <v>2</v>
      </c>
      <c r="N588">
        <v>1</v>
      </c>
      <c r="O588" t="s">
        <v>50</v>
      </c>
      <c r="P588">
        <v>2</v>
      </c>
      <c r="Q588" t="s">
        <v>52</v>
      </c>
      <c r="R588" s="3">
        <v>2694</v>
      </c>
      <c r="S588">
        <v>26551</v>
      </c>
      <c r="T588">
        <v>1</v>
      </c>
      <c r="U588" t="s">
        <v>43</v>
      </c>
      <c r="V588" s="2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tr">
        <f t="shared" si="36"/>
        <v>18-25</v>
      </c>
      <c r="AH588" t="str">
        <f t="shared" si="37"/>
        <v>Low</v>
      </c>
      <c r="AI588" s="1">
        <f>VLOOKUP(E588,Lookup_Tables!$A$3:$B$5,2,)</f>
        <v>6281.2528616024974</v>
      </c>
      <c r="AJ588" t="str">
        <f t="shared" si="38"/>
        <v>Below salary</v>
      </c>
      <c r="AK588" t="str">
        <f t="shared" si="39"/>
        <v>Medium Risk</v>
      </c>
    </row>
    <row r="589" spans="1:37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82</v>
      </c>
      <c r="M589">
        <v>3</v>
      </c>
      <c r="N589">
        <v>2</v>
      </c>
      <c r="O589" t="s">
        <v>50</v>
      </c>
      <c r="P589">
        <v>3</v>
      </c>
      <c r="Q589" t="s">
        <v>48</v>
      </c>
      <c r="R589" s="3">
        <v>3149</v>
      </c>
      <c r="S589">
        <v>21821</v>
      </c>
      <c r="T589">
        <v>8</v>
      </c>
      <c r="U589" t="s">
        <v>43</v>
      </c>
      <c r="V589" s="2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tr">
        <f t="shared" si="36"/>
        <v>46+</v>
      </c>
      <c r="AH589" t="str">
        <f t="shared" si="37"/>
        <v>Mid</v>
      </c>
      <c r="AI589" s="1">
        <f>VLOOKUP(E589,Lookup_Tables!$A$3:$B$5,2,)</f>
        <v>6281.2528616024974</v>
      </c>
      <c r="AJ589" t="str">
        <f t="shared" si="38"/>
        <v>Below salary</v>
      </c>
      <c r="AK589" t="str">
        <f t="shared" si="39"/>
        <v>Low Risk</v>
      </c>
    </row>
    <row r="590" spans="1:37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815</v>
      </c>
      <c r="J590">
        <v>3</v>
      </c>
      <c r="K590" t="s">
        <v>46</v>
      </c>
      <c r="L590">
        <v>64</v>
      </c>
      <c r="M590">
        <v>3</v>
      </c>
      <c r="N590">
        <v>4</v>
      </c>
      <c r="O590" t="s">
        <v>58</v>
      </c>
      <c r="P590">
        <v>3</v>
      </c>
      <c r="Q590" t="s">
        <v>48</v>
      </c>
      <c r="R590" s="3">
        <v>17639</v>
      </c>
      <c r="S590">
        <v>6881</v>
      </c>
      <c r="T590">
        <v>5</v>
      </c>
      <c r="U590" t="s">
        <v>43</v>
      </c>
      <c r="V590" s="2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tr">
        <f t="shared" si="36"/>
        <v>46+</v>
      </c>
      <c r="AH590" t="str">
        <f t="shared" si="37"/>
        <v>Very High</v>
      </c>
      <c r="AI590" s="1">
        <f>VLOOKUP(E590,Lookup_Tables!$A$3:$B$5,2,)</f>
        <v>6281.2528616024974</v>
      </c>
      <c r="AJ590" t="str">
        <f t="shared" si="38"/>
        <v>Above salary</v>
      </c>
      <c r="AK590" t="str">
        <f t="shared" si="39"/>
        <v>Low Risk</v>
      </c>
    </row>
    <row r="591" spans="1:37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36</v>
      </c>
      <c r="M591">
        <v>2</v>
      </c>
      <c r="N591">
        <v>1</v>
      </c>
      <c r="O591" t="s">
        <v>50</v>
      </c>
      <c r="P591">
        <v>1</v>
      </c>
      <c r="Q591" t="s">
        <v>48</v>
      </c>
      <c r="R591" s="3">
        <v>2319</v>
      </c>
      <c r="S591">
        <v>6689</v>
      </c>
      <c r="T591">
        <v>1</v>
      </c>
      <c r="U591" t="s">
        <v>35</v>
      </c>
      <c r="V591" s="2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tr">
        <f t="shared" si="36"/>
        <v>26-35</v>
      </c>
      <c r="AH591" t="str">
        <f t="shared" si="37"/>
        <v>Low</v>
      </c>
      <c r="AI591" s="1">
        <f>VLOOKUP(E591,Lookup_Tables!$A$3:$B$5,2,)</f>
        <v>6281.2528616024974</v>
      </c>
      <c r="AJ591" t="str">
        <f t="shared" si="38"/>
        <v>Below salary</v>
      </c>
      <c r="AK591" t="str">
        <f t="shared" si="39"/>
        <v>High Risk</v>
      </c>
    </row>
    <row r="592" spans="1:37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817</v>
      </c>
      <c r="J592">
        <v>3</v>
      </c>
      <c r="K592" t="s">
        <v>46</v>
      </c>
      <c r="L592">
        <v>49</v>
      </c>
      <c r="M592">
        <v>3</v>
      </c>
      <c r="N592">
        <v>3</v>
      </c>
      <c r="O592" t="s">
        <v>58</v>
      </c>
      <c r="P592">
        <v>3</v>
      </c>
      <c r="Q592" t="s">
        <v>48</v>
      </c>
      <c r="R592" s="3">
        <v>11691</v>
      </c>
      <c r="S592">
        <v>25995</v>
      </c>
      <c r="T592">
        <v>0</v>
      </c>
      <c r="U592" t="s">
        <v>43</v>
      </c>
      <c r="V592" s="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tr">
        <f t="shared" si="36"/>
        <v>26-35</v>
      </c>
      <c r="AH592" t="str">
        <f t="shared" si="37"/>
        <v>High</v>
      </c>
      <c r="AI592" s="1">
        <f>VLOOKUP(E592,Lookup_Tables!$A$3:$B$5,2,)</f>
        <v>6281.2528616024974</v>
      </c>
      <c r="AJ592" t="str">
        <f t="shared" si="38"/>
        <v>Above salary</v>
      </c>
      <c r="AK592" t="str">
        <f t="shared" si="39"/>
        <v>Low Risk</v>
      </c>
    </row>
    <row r="593" spans="1:37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819</v>
      </c>
      <c r="J593">
        <v>1</v>
      </c>
      <c r="K593" t="s">
        <v>39</v>
      </c>
      <c r="L593">
        <v>69</v>
      </c>
      <c r="M593">
        <v>3</v>
      </c>
      <c r="N593">
        <v>2</v>
      </c>
      <c r="O593" t="s">
        <v>40</v>
      </c>
      <c r="P593">
        <v>1</v>
      </c>
      <c r="Q593" t="s">
        <v>41</v>
      </c>
      <c r="R593" s="3">
        <v>5324</v>
      </c>
      <c r="S593">
        <v>26507</v>
      </c>
      <c r="T593">
        <v>5</v>
      </c>
      <c r="U593" t="s">
        <v>43</v>
      </c>
      <c r="V593" s="2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tr">
        <f t="shared" si="36"/>
        <v>26-35</v>
      </c>
      <c r="AH593" t="str">
        <f t="shared" si="37"/>
        <v>Mid</v>
      </c>
      <c r="AI593" s="1">
        <f>VLOOKUP(E593,Lookup_Tables!$A$3:$B$5,2,)</f>
        <v>6959.17264573991</v>
      </c>
      <c r="AJ593" t="str">
        <f t="shared" si="38"/>
        <v>Below salary</v>
      </c>
      <c r="AK593" t="str">
        <f t="shared" si="39"/>
        <v>Medium Risk</v>
      </c>
    </row>
    <row r="594" spans="1:37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t="s">
        <v>39</v>
      </c>
      <c r="L594">
        <v>33</v>
      </c>
      <c r="M594">
        <v>3</v>
      </c>
      <c r="N594">
        <v>4</v>
      </c>
      <c r="O594" t="s">
        <v>56</v>
      </c>
      <c r="P594">
        <v>4</v>
      </c>
      <c r="Q594" t="s">
        <v>48</v>
      </c>
      <c r="R594" s="3">
        <v>16752</v>
      </c>
      <c r="S594">
        <v>12982</v>
      </c>
      <c r="T594">
        <v>1</v>
      </c>
      <c r="U594" t="s">
        <v>35</v>
      </c>
      <c r="V594" s="2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tr">
        <f t="shared" si="36"/>
        <v>46+</v>
      </c>
      <c r="AH594" t="str">
        <f t="shared" si="37"/>
        <v>Very High</v>
      </c>
      <c r="AI594" s="1">
        <f>VLOOKUP(E594,Lookup_Tables!$A$3:$B$5,2,)</f>
        <v>6281.2528616024974</v>
      </c>
      <c r="AJ594" t="str">
        <f t="shared" si="38"/>
        <v>Above salary</v>
      </c>
      <c r="AK594" t="str">
        <f t="shared" si="39"/>
        <v>Medium Risk</v>
      </c>
    </row>
    <row r="595" spans="1:37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t="s">
        <v>39</v>
      </c>
      <c r="L595">
        <v>35</v>
      </c>
      <c r="M595">
        <v>3</v>
      </c>
      <c r="N595">
        <v>2</v>
      </c>
      <c r="O595" t="s">
        <v>53</v>
      </c>
      <c r="P595">
        <v>2</v>
      </c>
      <c r="Q595" t="s">
        <v>48</v>
      </c>
      <c r="R595" s="3">
        <v>5228</v>
      </c>
      <c r="S595">
        <v>23361</v>
      </c>
      <c r="T595">
        <v>0</v>
      </c>
      <c r="U595" t="s">
        <v>43</v>
      </c>
      <c r="V595" s="2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tr">
        <f t="shared" si="36"/>
        <v>36-45</v>
      </c>
      <c r="AH595" t="str">
        <f t="shared" si="37"/>
        <v>Mid</v>
      </c>
      <c r="AI595" s="1">
        <f>VLOOKUP(E595,Lookup_Tables!$A$3:$B$5,2,)</f>
        <v>6281.2528616024974</v>
      </c>
      <c r="AJ595" t="str">
        <f t="shared" si="38"/>
        <v>Below salary</v>
      </c>
      <c r="AK595" t="str">
        <f t="shared" si="39"/>
        <v>Medium Risk</v>
      </c>
    </row>
    <row r="596" spans="1:37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46</v>
      </c>
      <c r="L596">
        <v>81</v>
      </c>
      <c r="M596">
        <v>4</v>
      </c>
      <c r="N596">
        <v>1</v>
      </c>
      <c r="O596" t="s">
        <v>47</v>
      </c>
      <c r="P596">
        <v>3</v>
      </c>
      <c r="Q596" t="s">
        <v>48</v>
      </c>
      <c r="R596" s="3">
        <v>2700</v>
      </c>
      <c r="S596">
        <v>23779</v>
      </c>
      <c r="T596">
        <v>1</v>
      </c>
      <c r="U596" t="s">
        <v>43</v>
      </c>
      <c r="V596" s="2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tr">
        <f t="shared" si="36"/>
        <v>26-35</v>
      </c>
      <c r="AH596" t="str">
        <f t="shared" si="37"/>
        <v>Low</v>
      </c>
      <c r="AI596" s="1">
        <f>VLOOKUP(E596,Lookup_Tables!$A$3:$B$5,2,)</f>
        <v>6281.2528616024974</v>
      </c>
      <c r="AJ596" t="str">
        <f t="shared" si="38"/>
        <v>Below salary</v>
      </c>
      <c r="AK596" t="str">
        <f t="shared" si="39"/>
        <v>Low Risk</v>
      </c>
    </row>
    <row r="597" spans="1:37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46</v>
      </c>
      <c r="L597">
        <v>31</v>
      </c>
      <c r="M597">
        <v>3</v>
      </c>
      <c r="N597">
        <v>5</v>
      </c>
      <c r="O597" t="s">
        <v>58</v>
      </c>
      <c r="P597">
        <v>2</v>
      </c>
      <c r="Q597" t="s">
        <v>41</v>
      </c>
      <c r="R597" s="3">
        <v>19246</v>
      </c>
      <c r="S597">
        <v>25761</v>
      </c>
      <c r="T597">
        <v>7</v>
      </c>
      <c r="U597" t="s">
        <v>35</v>
      </c>
      <c r="V597" s="2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tr">
        <f t="shared" si="36"/>
        <v>46+</v>
      </c>
      <c r="AH597" t="str">
        <f t="shared" si="37"/>
        <v>Very High</v>
      </c>
      <c r="AI597" s="1">
        <f>VLOOKUP(E597,Lookup_Tables!$A$3:$B$5,2,)</f>
        <v>6281.2528616024974</v>
      </c>
      <c r="AJ597" t="str">
        <f t="shared" si="38"/>
        <v>Above salary</v>
      </c>
      <c r="AK597" t="str">
        <f t="shared" si="39"/>
        <v>High Risk</v>
      </c>
    </row>
    <row r="598" spans="1:37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40</v>
      </c>
      <c r="M598">
        <v>4</v>
      </c>
      <c r="N598">
        <v>1</v>
      </c>
      <c r="O598" t="s">
        <v>47</v>
      </c>
      <c r="P598">
        <v>3</v>
      </c>
      <c r="Q598" t="s">
        <v>41</v>
      </c>
      <c r="R598" s="3">
        <v>2506</v>
      </c>
      <c r="S598">
        <v>13301</v>
      </c>
      <c r="T598">
        <v>3</v>
      </c>
      <c r="U598" t="s">
        <v>43</v>
      </c>
      <c r="V598" s="2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tr">
        <f t="shared" si="36"/>
        <v>26-35</v>
      </c>
      <c r="AH598" t="str">
        <f t="shared" si="37"/>
        <v>Low</v>
      </c>
      <c r="AI598" s="1">
        <f>VLOOKUP(E598,Lookup_Tables!$A$3:$B$5,2,)</f>
        <v>6281.2528616024974</v>
      </c>
      <c r="AJ598" t="str">
        <f t="shared" si="38"/>
        <v>Below salary</v>
      </c>
      <c r="AK598" t="str">
        <f t="shared" si="39"/>
        <v>Low Risk</v>
      </c>
    </row>
    <row r="599" spans="1:37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43</v>
      </c>
      <c r="M599">
        <v>2</v>
      </c>
      <c r="N599">
        <v>2</v>
      </c>
      <c r="O599" t="s">
        <v>53</v>
      </c>
      <c r="P599">
        <v>4</v>
      </c>
      <c r="Q599" t="s">
        <v>48</v>
      </c>
      <c r="R599" s="3">
        <v>6062</v>
      </c>
      <c r="S599">
        <v>4051</v>
      </c>
      <c r="T599">
        <v>9</v>
      </c>
      <c r="U599" t="s">
        <v>35</v>
      </c>
      <c r="V599" s="2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tr">
        <f t="shared" si="36"/>
        <v>36-45</v>
      </c>
      <c r="AH599" t="str">
        <f t="shared" si="37"/>
        <v>Mid</v>
      </c>
      <c r="AI599" s="1">
        <f>VLOOKUP(E599,Lookup_Tables!$A$3:$B$5,2,)</f>
        <v>6281.2528616024974</v>
      </c>
      <c r="AJ599" t="str">
        <f t="shared" si="38"/>
        <v>Below salary</v>
      </c>
      <c r="AK599" t="str">
        <f t="shared" si="39"/>
        <v>Medium Risk</v>
      </c>
    </row>
    <row r="600" spans="1:37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828</v>
      </c>
      <c r="J600">
        <v>3</v>
      </c>
      <c r="K600" t="s">
        <v>46</v>
      </c>
      <c r="L600">
        <v>46</v>
      </c>
      <c r="M600">
        <v>3</v>
      </c>
      <c r="N600">
        <v>1</v>
      </c>
      <c r="O600" t="s">
        <v>47</v>
      </c>
      <c r="P600">
        <v>3</v>
      </c>
      <c r="Q600" t="s">
        <v>41</v>
      </c>
      <c r="R600" s="3">
        <v>4382</v>
      </c>
      <c r="S600">
        <v>16374</v>
      </c>
      <c r="T600">
        <v>6</v>
      </c>
      <c r="U600" t="s">
        <v>43</v>
      </c>
      <c r="V600" s="2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tr">
        <f t="shared" si="36"/>
        <v>26-35</v>
      </c>
      <c r="AH600" t="str">
        <f t="shared" si="37"/>
        <v>Mid</v>
      </c>
      <c r="AI600" s="1">
        <f>VLOOKUP(E600,Lookup_Tables!$A$3:$B$5,2,)</f>
        <v>6281.2528616024974</v>
      </c>
      <c r="AJ600" t="str">
        <f t="shared" si="38"/>
        <v>Below salary</v>
      </c>
      <c r="AK600" t="str">
        <f t="shared" si="39"/>
        <v>Low Risk</v>
      </c>
    </row>
    <row r="601" spans="1:37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829</v>
      </c>
      <c r="J601">
        <v>3</v>
      </c>
      <c r="K601" t="s">
        <v>46</v>
      </c>
      <c r="L601">
        <v>36</v>
      </c>
      <c r="M601">
        <v>3</v>
      </c>
      <c r="N601">
        <v>1</v>
      </c>
      <c r="O601" t="s">
        <v>61</v>
      </c>
      <c r="P601">
        <v>2</v>
      </c>
      <c r="Q601" t="s">
        <v>48</v>
      </c>
      <c r="R601" s="3">
        <v>2143</v>
      </c>
      <c r="S601">
        <v>25527</v>
      </c>
      <c r="T601">
        <v>4</v>
      </c>
      <c r="U601" t="s">
        <v>43</v>
      </c>
      <c r="V601" s="2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tr">
        <f t="shared" si="36"/>
        <v>36-45</v>
      </c>
      <c r="AH601" t="str">
        <f t="shared" si="37"/>
        <v>Low</v>
      </c>
      <c r="AI601" s="1">
        <f>VLOOKUP(E601,Lookup_Tables!$A$3:$B$5,2,)</f>
        <v>6654.5079365079364</v>
      </c>
      <c r="AJ601" t="str">
        <f t="shared" si="38"/>
        <v>Below salary</v>
      </c>
      <c r="AK601" t="str">
        <f t="shared" si="39"/>
        <v>Medium Risk</v>
      </c>
    </row>
    <row r="602" spans="1:37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98</v>
      </c>
      <c r="M602">
        <v>2</v>
      </c>
      <c r="N602">
        <v>2</v>
      </c>
      <c r="O602" t="s">
        <v>53</v>
      </c>
      <c r="P602">
        <v>3</v>
      </c>
      <c r="Q602" t="s">
        <v>48</v>
      </c>
      <c r="R602" s="3">
        <v>6162</v>
      </c>
      <c r="S602">
        <v>19124</v>
      </c>
      <c r="T602">
        <v>1</v>
      </c>
      <c r="U602" t="s">
        <v>43</v>
      </c>
      <c r="V602" s="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tr">
        <f t="shared" si="36"/>
        <v>26-35</v>
      </c>
      <c r="AH602" t="str">
        <f t="shared" si="37"/>
        <v>Mid</v>
      </c>
      <c r="AI602" s="1">
        <f>VLOOKUP(E602,Lookup_Tables!$A$3:$B$5,2,)</f>
        <v>6281.2528616024974</v>
      </c>
      <c r="AJ602" t="str">
        <f t="shared" si="38"/>
        <v>Below salary</v>
      </c>
      <c r="AK602" t="str">
        <f t="shared" si="39"/>
        <v>Low Risk</v>
      </c>
    </row>
    <row r="603" spans="1:37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832</v>
      </c>
      <c r="J603">
        <v>1</v>
      </c>
      <c r="K603" t="s">
        <v>46</v>
      </c>
      <c r="L603">
        <v>51</v>
      </c>
      <c r="M603">
        <v>2</v>
      </c>
      <c r="N603">
        <v>2</v>
      </c>
      <c r="O603" t="s">
        <v>50</v>
      </c>
      <c r="P603">
        <v>3</v>
      </c>
      <c r="Q603" t="s">
        <v>41</v>
      </c>
      <c r="R603" s="3">
        <v>5094</v>
      </c>
      <c r="S603">
        <v>11983</v>
      </c>
      <c r="T603">
        <v>6</v>
      </c>
      <c r="U603" t="s">
        <v>43</v>
      </c>
      <c r="V603" s="2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tr">
        <f t="shared" si="36"/>
        <v>36-45</v>
      </c>
      <c r="AH603" t="str">
        <f t="shared" si="37"/>
        <v>Mid</v>
      </c>
      <c r="AI603" s="1">
        <f>VLOOKUP(E603,Lookup_Tables!$A$3:$B$5,2,)</f>
        <v>6281.2528616024974</v>
      </c>
      <c r="AJ603" t="str">
        <f t="shared" si="38"/>
        <v>Below salary</v>
      </c>
      <c r="AK603" t="str">
        <f t="shared" si="39"/>
        <v>Low Risk</v>
      </c>
    </row>
    <row r="604" spans="1:37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833</v>
      </c>
      <c r="J604">
        <v>3</v>
      </c>
      <c r="K604" t="s">
        <v>39</v>
      </c>
      <c r="L604">
        <v>52</v>
      </c>
      <c r="M604">
        <v>2</v>
      </c>
      <c r="N604">
        <v>2</v>
      </c>
      <c r="O604" t="s">
        <v>53</v>
      </c>
      <c r="P604">
        <v>4</v>
      </c>
      <c r="Q604" t="s">
        <v>41</v>
      </c>
      <c r="R604" s="3">
        <v>6877</v>
      </c>
      <c r="S604">
        <v>20234</v>
      </c>
      <c r="T604">
        <v>5</v>
      </c>
      <c r="U604" t="s">
        <v>35</v>
      </c>
      <c r="V604" s="2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tr">
        <f t="shared" si="36"/>
        <v>26-35</v>
      </c>
      <c r="AH604" t="str">
        <f t="shared" si="37"/>
        <v>Mid</v>
      </c>
      <c r="AI604" s="1">
        <f>VLOOKUP(E604,Lookup_Tables!$A$3:$B$5,2,)</f>
        <v>6281.2528616024974</v>
      </c>
      <c r="AJ604" t="str">
        <f t="shared" si="38"/>
        <v>Above salary</v>
      </c>
      <c r="AK604" t="str">
        <f t="shared" si="39"/>
        <v>Medium Risk</v>
      </c>
    </row>
    <row r="605" spans="1:37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95</v>
      </c>
      <c r="M605">
        <v>2</v>
      </c>
      <c r="N605">
        <v>1</v>
      </c>
      <c r="O605" t="s">
        <v>47</v>
      </c>
      <c r="P605">
        <v>3</v>
      </c>
      <c r="Q605" t="s">
        <v>41</v>
      </c>
      <c r="R605" s="3">
        <v>2274</v>
      </c>
      <c r="S605">
        <v>6153</v>
      </c>
      <c r="T605">
        <v>1</v>
      </c>
      <c r="U605" t="s">
        <v>43</v>
      </c>
      <c r="V605" s="2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tr">
        <f t="shared" si="36"/>
        <v>36-45</v>
      </c>
      <c r="AH605" t="str">
        <f t="shared" si="37"/>
        <v>Low</v>
      </c>
      <c r="AI605" s="1">
        <f>VLOOKUP(E605,Lookup_Tables!$A$3:$B$5,2,)</f>
        <v>6281.2528616024974</v>
      </c>
      <c r="AJ605" t="str">
        <f t="shared" si="38"/>
        <v>Below salary</v>
      </c>
      <c r="AK605" t="str">
        <f t="shared" si="39"/>
        <v>Low Risk</v>
      </c>
    </row>
    <row r="606" spans="1:37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46</v>
      </c>
      <c r="L606">
        <v>98</v>
      </c>
      <c r="M606">
        <v>3</v>
      </c>
      <c r="N606">
        <v>2</v>
      </c>
      <c r="O606" t="s">
        <v>53</v>
      </c>
      <c r="P606">
        <v>2</v>
      </c>
      <c r="Q606" t="s">
        <v>48</v>
      </c>
      <c r="R606" s="3">
        <v>4434</v>
      </c>
      <c r="S606">
        <v>11806</v>
      </c>
      <c r="T606">
        <v>1</v>
      </c>
      <c r="U606" t="s">
        <v>43</v>
      </c>
      <c r="V606" s="2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tr">
        <f t="shared" si="36"/>
        <v>36-45</v>
      </c>
      <c r="AH606" t="str">
        <f t="shared" si="37"/>
        <v>Mid</v>
      </c>
      <c r="AI606" s="1">
        <f>VLOOKUP(E606,Lookup_Tables!$A$3:$B$5,2,)</f>
        <v>6281.2528616024974</v>
      </c>
      <c r="AJ606" t="str">
        <f t="shared" si="38"/>
        <v>Below salary</v>
      </c>
      <c r="AK606" t="str">
        <f t="shared" si="39"/>
        <v>Medium Risk</v>
      </c>
    </row>
    <row r="607" spans="1:37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46</v>
      </c>
      <c r="L607">
        <v>45</v>
      </c>
      <c r="M607">
        <v>2</v>
      </c>
      <c r="N607">
        <v>2</v>
      </c>
      <c r="O607" t="s">
        <v>54</v>
      </c>
      <c r="P607">
        <v>1</v>
      </c>
      <c r="Q607" t="s">
        <v>52</v>
      </c>
      <c r="R607" s="3">
        <v>6288</v>
      </c>
      <c r="S607">
        <v>4284</v>
      </c>
      <c r="T607">
        <v>2</v>
      </c>
      <c r="U607" t="s">
        <v>43</v>
      </c>
      <c r="V607" s="2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tr">
        <f t="shared" si="36"/>
        <v>36-45</v>
      </c>
      <c r="AH607" t="str">
        <f t="shared" si="37"/>
        <v>Mid</v>
      </c>
      <c r="AI607" s="1">
        <f>VLOOKUP(E607,Lookup_Tables!$A$3:$B$5,2,)</f>
        <v>6281.2528616024974</v>
      </c>
      <c r="AJ607" t="str">
        <f t="shared" si="38"/>
        <v>Above salary</v>
      </c>
      <c r="AK607" t="str">
        <f t="shared" si="39"/>
        <v>Medium Risk</v>
      </c>
    </row>
    <row r="608" spans="1:37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100</v>
      </c>
      <c r="M608">
        <v>2</v>
      </c>
      <c r="N608">
        <v>1</v>
      </c>
      <c r="O608" t="s">
        <v>47</v>
      </c>
      <c r="P608">
        <v>4</v>
      </c>
      <c r="Q608" t="s">
        <v>41</v>
      </c>
      <c r="R608" s="3">
        <v>2553</v>
      </c>
      <c r="S608">
        <v>8306</v>
      </c>
      <c r="T608">
        <v>1</v>
      </c>
      <c r="U608" t="s">
        <v>43</v>
      </c>
      <c r="V608" s="2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tr">
        <f t="shared" si="36"/>
        <v>26-35</v>
      </c>
      <c r="AH608" t="str">
        <f t="shared" si="37"/>
        <v>Low</v>
      </c>
      <c r="AI608" s="1">
        <f>VLOOKUP(E608,Lookup_Tables!$A$3:$B$5,2,)</f>
        <v>6281.2528616024974</v>
      </c>
      <c r="AJ608" t="str">
        <f t="shared" si="38"/>
        <v>Below salary</v>
      </c>
      <c r="AK608" t="str">
        <f t="shared" si="39"/>
        <v>Low Risk</v>
      </c>
    </row>
    <row r="609" spans="1:37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840</v>
      </c>
      <c r="J609">
        <v>3</v>
      </c>
      <c r="K609" t="s">
        <v>39</v>
      </c>
      <c r="L609">
        <v>43</v>
      </c>
      <c r="M609">
        <v>3</v>
      </c>
      <c r="N609">
        <v>3</v>
      </c>
      <c r="O609" t="s">
        <v>40</v>
      </c>
      <c r="P609">
        <v>4</v>
      </c>
      <c r="Q609" t="s">
        <v>48</v>
      </c>
      <c r="R609" s="3">
        <v>7654</v>
      </c>
      <c r="S609">
        <v>5860</v>
      </c>
      <c r="T609">
        <v>1</v>
      </c>
      <c r="U609" t="s">
        <v>43</v>
      </c>
      <c r="V609" s="2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tr">
        <f t="shared" si="36"/>
        <v>46+</v>
      </c>
      <c r="AH609" t="str">
        <f t="shared" si="37"/>
        <v>High</v>
      </c>
      <c r="AI609" s="1">
        <f>VLOOKUP(E609,Lookup_Tables!$A$3:$B$5,2,)</f>
        <v>6959.17264573991</v>
      </c>
      <c r="AJ609" t="str">
        <f t="shared" si="38"/>
        <v>Above salary</v>
      </c>
      <c r="AK609" t="str">
        <f t="shared" si="39"/>
        <v>Low Risk</v>
      </c>
    </row>
    <row r="610" spans="1:37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842</v>
      </c>
      <c r="J610">
        <v>3</v>
      </c>
      <c r="K610" t="s">
        <v>46</v>
      </c>
      <c r="L610">
        <v>37</v>
      </c>
      <c r="M610">
        <v>3</v>
      </c>
      <c r="N610">
        <v>2</v>
      </c>
      <c r="O610" t="s">
        <v>40</v>
      </c>
      <c r="P610">
        <v>4</v>
      </c>
      <c r="Q610" t="s">
        <v>41</v>
      </c>
      <c r="R610" s="3">
        <v>5160</v>
      </c>
      <c r="S610">
        <v>21519</v>
      </c>
      <c r="T610">
        <v>4</v>
      </c>
      <c r="U610" t="s">
        <v>43</v>
      </c>
      <c r="V610" s="2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tr">
        <f t="shared" si="36"/>
        <v>46+</v>
      </c>
      <c r="AH610" t="str">
        <f t="shared" si="37"/>
        <v>Mid</v>
      </c>
      <c r="AI610" s="1">
        <f>VLOOKUP(E610,Lookup_Tables!$A$3:$B$5,2,)</f>
        <v>6959.17264573991</v>
      </c>
      <c r="AJ610" t="str">
        <f t="shared" si="38"/>
        <v>Below salary</v>
      </c>
      <c r="AK610" t="str">
        <f t="shared" si="39"/>
        <v>Low Risk</v>
      </c>
    </row>
    <row r="611" spans="1:37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46</v>
      </c>
      <c r="L611">
        <v>94</v>
      </c>
      <c r="M611">
        <v>3</v>
      </c>
      <c r="N611">
        <v>4</v>
      </c>
      <c r="O611" t="s">
        <v>58</v>
      </c>
      <c r="P611">
        <v>1</v>
      </c>
      <c r="Q611" t="s">
        <v>48</v>
      </c>
      <c r="R611" s="3">
        <v>17159</v>
      </c>
      <c r="S611">
        <v>5200</v>
      </c>
      <c r="T611">
        <v>6</v>
      </c>
      <c r="U611" t="s">
        <v>43</v>
      </c>
      <c r="V611" s="2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tr">
        <f t="shared" si="36"/>
        <v>36-45</v>
      </c>
      <c r="AH611" t="str">
        <f t="shared" si="37"/>
        <v>Very High</v>
      </c>
      <c r="AI611" s="1">
        <f>VLOOKUP(E611,Lookup_Tables!$A$3:$B$5,2,)</f>
        <v>6281.2528616024974</v>
      </c>
      <c r="AJ611" t="str">
        <f t="shared" si="38"/>
        <v>Above salary</v>
      </c>
      <c r="AK611" t="str">
        <f t="shared" si="39"/>
        <v>Medium Risk</v>
      </c>
    </row>
    <row r="612" spans="1:37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844</v>
      </c>
      <c r="J612">
        <v>3</v>
      </c>
      <c r="K612" t="s">
        <v>46</v>
      </c>
      <c r="L612">
        <v>42</v>
      </c>
      <c r="M612">
        <v>2</v>
      </c>
      <c r="N612">
        <v>3</v>
      </c>
      <c r="O612" t="s">
        <v>58</v>
      </c>
      <c r="P612">
        <v>4</v>
      </c>
      <c r="Q612" t="s">
        <v>52</v>
      </c>
      <c r="R612" s="3">
        <v>12808</v>
      </c>
      <c r="S612">
        <v>8842</v>
      </c>
      <c r="T612">
        <v>1</v>
      </c>
      <c r="U612" t="s">
        <v>35</v>
      </c>
      <c r="V612" s="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tr">
        <f t="shared" si="36"/>
        <v>26-35</v>
      </c>
      <c r="AH612" t="str">
        <f t="shared" si="37"/>
        <v>Very High</v>
      </c>
      <c r="AI612" s="1">
        <f>VLOOKUP(E612,Lookup_Tables!$A$3:$B$5,2,)</f>
        <v>6281.2528616024974</v>
      </c>
      <c r="AJ612" t="str">
        <f t="shared" si="38"/>
        <v>Above salary</v>
      </c>
      <c r="AK612" t="str">
        <f t="shared" si="39"/>
        <v>Medium Risk</v>
      </c>
    </row>
    <row r="613" spans="1:37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t="s">
        <v>46</v>
      </c>
      <c r="L613">
        <v>59</v>
      </c>
      <c r="M613">
        <v>3</v>
      </c>
      <c r="N613">
        <v>3</v>
      </c>
      <c r="O613" t="s">
        <v>53</v>
      </c>
      <c r="P613">
        <v>3</v>
      </c>
      <c r="Q613" t="s">
        <v>41</v>
      </c>
      <c r="R613" s="3">
        <v>10221</v>
      </c>
      <c r="S613">
        <v>18869</v>
      </c>
      <c r="T613">
        <v>3</v>
      </c>
      <c r="U613" t="s">
        <v>43</v>
      </c>
      <c r="V613" s="2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tr">
        <f t="shared" si="36"/>
        <v>26-35</v>
      </c>
      <c r="AH613" t="str">
        <f t="shared" si="37"/>
        <v>High</v>
      </c>
      <c r="AI613" s="1">
        <f>VLOOKUP(E613,Lookup_Tables!$A$3:$B$5,2,)</f>
        <v>6281.2528616024974</v>
      </c>
      <c r="AJ613" t="str">
        <f t="shared" si="38"/>
        <v>Above salary</v>
      </c>
      <c r="AK613" t="str">
        <f t="shared" si="39"/>
        <v>Low Risk</v>
      </c>
    </row>
    <row r="614" spans="1:37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846</v>
      </c>
      <c r="J614">
        <v>2</v>
      </c>
      <c r="K614" t="s">
        <v>39</v>
      </c>
      <c r="L614">
        <v>81</v>
      </c>
      <c r="M614">
        <v>3</v>
      </c>
      <c r="N614">
        <v>2</v>
      </c>
      <c r="O614" t="s">
        <v>40</v>
      </c>
      <c r="P614">
        <v>2</v>
      </c>
      <c r="Q614" t="s">
        <v>48</v>
      </c>
      <c r="R614" s="3">
        <v>4779</v>
      </c>
      <c r="S614">
        <v>3698</v>
      </c>
      <c r="T614">
        <v>1</v>
      </c>
      <c r="U614" t="s">
        <v>35</v>
      </c>
      <c r="V614" s="2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tr">
        <f t="shared" si="36"/>
        <v>26-35</v>
      </c>
      <c r="AH614" t="str">
        <f t="shared" si="37"/>
        <v>Mid</v>
      </c>
      <c r="AI614" s="1">
        <f>VLOOKUP(E614,Lookup_Tables!$A$3:$B$5,2,)</f>
        <v>6959.17264573991</v>
      </c>
      <c r="AJ614" t="str">
        <f t="shared" si="38"/>
        <v>Below salary</v>
      </c>
      <c r="AK614" t="str">
        <f t="shared" si="39"/>
        <v>High Risk</v>
      </c>
    </row>
    <row r="615" spans="1:37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847</v>
      </c>
      <c r="J615">
        <v>3</v>
      </c>
      <c r="K615" t="s">
        <v>46</v>
      </c>
      <c r="L615">
        <v>88</v>
      </c>
      <c r="M615">
        <v>3</v>
      </c>
      <c r="N615">
        <v>1</v>
      </c>
      <c r="O615" t="s">
        <v>61</v>
      </c>
      <c r="P615">
        <v>4</v>
      </c>
      <c r="Q615" t="s">
        <v>48</v>
      </c>
      <c r="R615" s="3">
        <v>3737</v>
      </c>
      <c r="S615">
        <v>2243</v>
      </c>
      <c r="T615">
        <v>0</v>
      </c>
      <c r="U615" t="s">
        <v>43</v>
      </c>
      <c r="V615" s="2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tr">
        <f t="shared" si="36"/>
        <v>26-35</v>
      </c>
      <c r="AH615" t="str">
        <f t="shared" si="37"/>
        <v>Mid</v>
      </c>
      <c r="AI615" s="1">
        <f>VLOOKUP(E615,Lookup_Tables!$A$3:$B$5,2,)</f>
        <v>6654.5079365079364</v>
      </c>
      <c r="AJ615" t="str">
        <f t="shared" si="38"/>
        <v>Below salary</v>
      </c>
      <c r="AK615" t="str">
        <f t="shared" si="39"/>
        <v>Low Risk</v>
      </c>
    </row>
    <row r="616" spans="1:37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848</v>
      </c>
      <c r="J616">
        <v>3</v>
      </c>
      <c r="K616" t="s">
        <v>39</v>
      </c>
      <c r="L616">
        <v>88</v>
      </c>
      <c r="M616">
        <v>2</v>
      </c>
      <c r="N616">
        <v>1</v>
      </c>
      <c r="O616" t="s">
        <v>47</v>
      </c>
      <c r="P616">
        <v>3</v>
      </c>
      <c r="Q616" t="s">
        <v>48</v>
      </c>
      <c r="R616" s="3">
        <v>2366</v>
      </c>
      <c r="S616">
        <v>20898</v>
      </c>
      <c r="T616">
        <v>1</v>
      </c>
      <c r="U616" t="s">
        <v>35</v>
      </c>
      <c r="V616" s="2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tr">
        <f t="shared" si="36"/>
        <v>26-35</v>
      </c>
      <c r="AH616" t="str">
        <f t="shared" si="37"/>
        <v>Low</v>
      </c>
      <c r="AI616" s="1">
        <f>VLOOKUP(E616,Lookup_Tables!$A$3:$B$5,2,)</f>
        <v>6281.2528616024974</v>
      </c>
      <c r="AJ616" t="str">
        <f t="shared" si="38"/>
        <v>Below salary</v>
      </c>
      <c r="AK616" t="str">
        <f t="shared" si="39"/>
        <v>Medium Risk</v>
      </c>
    </row>
    <row r="617" spans="1:37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850</v>
      </c>
      <c r="J617">
        <v>4</v>
      </c>
      <c r="K617" t="s">
        <v>46</v>
      </c>
      <c r="L617">
        <v>50</v>
      </c>
      <c r="M617">
        <v>3</v>
      </c>
      <c r="N617">
        <v>1</v>
      </c>
      <c r="O617" t="s">
        <v>47</v>
      </c>
      <c r="P617">
        <v>4</v>
      </c>
      <c r="Q617" t="s">
        <v>48</v>
      </c>
      <c r="R617" s="3">
        <v>1706</v>
      </c>
      <c r="S617">
        <v>16571</v>
      </c>
      <c r="T617">
        <v>1</v>
      </c>
      <c r="U617" t="s">
        <v>43</v>
      </c>
      <c r="V617" s="2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tr">
        <f t="shared" si="36"/>
        <v>26-35</v>
      </c>
      <c r="AH617" t="str">
        <f t="shared" si="37"/>
        <v>Low</v>
      </c>
      <c r="AI617" s="1">
        <f>VLOOKUP(E617,Lookup_Tables!$A$3:$B$5,2,)</f>
        <v>6281.2528616024974</v>
      </c>
      <c r="AJ617" t="str">
        <f t="shared" si="38"/>
        <v>Below salary</v>
      </c>
      <c r="AK617" t="str">
        <f t="shared" si="39"/>
        <v>Low Risk</v>
      </c>
    </row>
    <row r="618" spans="1:37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851</v>
      </c>
      <c r="J618">
        <v>1</v>
      </c>
      <c r="K618" t="s">
        <v>39</v>
      </c>
      <c r="L618">
        <v>66</v>
      </c>
      <c r="M618">
        <v>3</v>
      </c>
      <c r="N618">
        <v>4</v>
      </c>
      <c r="O618" t="s">
        <v>56</v>
      </c>
      <c r="P618">
        <v>3</v>
      </c>
      <c r="Q618" t="s">
        <v>48</v>
      </c>
      <c r="R618" s="3">
        <v>16307</v>
      </c>
      <c r="S618">
        <v>5594</v>
      </c>
      <c r="T618">
        <v>2</v>
      </c>
      <c r="U618" t="s">
        <v>43</v>
      </c>
      <c r="V618" s="2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tr">
        <f t="shared" si="36"/>
        <v>46+</v>
      </c>
      <c r="AH618" t="str">
        <f t="shared" si="37"/>
        <v>Very High</v>
      </c>
      <c r="AI618" s="1">
        <f>VLOOKUP(E618,Lookup_Tables!$A$3:$B$5,2,)</f>
        <v>6959.17264573991</v>
      </c>
      <c r="AJ618" t="str">
        <f t="shared" si="38"/>
        <v>Above salary</v>
      </c>
      <c r="AK618" t="str">
        <f t="shared" si="39"/>
        <v>Low Risk</v>
      </c>
    </row>
    <row r="619" spans="1:37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852</v>
      </c>
      <c r="J619">
        <v>4</v>
      </c>
      <c r="K619" t="s">
        <v>46</v>
      </c>
      <c r="L619">
        <v>50</v>
      </c>
      <c r="M619">
        <v>3</v>
      </c>
      <c r="N619">
        <v>2</v>
      </c>
      <c r="O619" t="s">
        <v>54</v>
      </c>
      <c r="P619">
        <v>2</v>
      </c>
      <c r="Q619" t="s">
        <v>41</v>
      </c>
      <c r="R619" s="3">
        <v>5933</v>
      </c>
      <c r="S619">
        <v>5197</v>
      </c>
      <c r="T619">
        <v>9</v>
      </c>
      <c r="U619" t="s">
        <v>43</v>
      </c>
      <c r="V619" s="2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tr">
        <f t="shared" si="36"/>
        <v>36-45</v>
      </c>
      <c r="AH619" t="str">
        <f t="shared" si="37"/>
        <v>Mid</v>
      </c>
      <c r="AI619" s="1">
        <f>VLOOKUP(E619,Lookup_Tables!$A$3:$B$5,2,)</f>
        <v>6281.2528616024974</v>
      </c>
      <c r="AJ619" t="str">
        <f t="shared" si="38"/>
        <v>Below salary</v>
      </c>
      <c r="AK619" t="str">
        <f t="shared" si="39"/>
        <v>Medium Risk</v>
      </c>
    </row>
    <row r="620" spans="1:37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854</v>
      </c>
      <c r="J620">
        <v>1</v>
      </c>
      <c r="K620" t="s">
        <v>46</v>
      </c>
      <c r="L620">
        <v>65</v>
      </c>
      <c r="M620">
        <v>4</v>
      </c>
      <c r="N620">
        <v>1</v>
      </c>
      <c r="O620" t="s">
        <v>47</v>
      </c>
      <c r="P620">
        <v>1</v>
      </c>
      <c r="Q620" t="s">
        <v>41</v>
      </c>
      <c r="R620" s="3">
        <v>3424</v>
      </c>
      <c r="S620">
        <v>21632</v>
      </c>
      <c r="T620">
        <v>7</v>
      </c>
      <c r="U620" t="s">
        <v>43</v>
      </c>
      <c r="V620" s="2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tr">
        <f t="shared" si="36"/>
        <v>18-25</v>
      </c>
      <c r="AH620" t="str">
        <f t="shared" si="37"/>
        <v>Mid</v>
      </c>
      <c r="AI620" s="1">
        <f>VLOOKUP(E620,Lookup_Tables!$A$3:$B$5,2,)</f>
        <v>6281.2528616024974</v>
      </c>
      <c r="AJ620" t="str">
        <f t="shared" si="38"/>
        <v>Below salary</v>
      </c>
      <c r="AK620" t="str">
        <f t="shared" si="39"/>
        <v>Medium Risk</v>
      </c>
    </row>
    <row r="621" spans="1:37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855</v>
      </c>
      <c r="J621">
        <v>1</v>
      </c>
      <c r="K621" t="s">
        <v>46</v>
      </c>
      <c r="L621">
        <v>48</v>
      </c>
      <c r="M621">
        <v>4</v>
      </c>
      <c r="N621">
        <v>2</v>
      </c>
      <c r="O621" t="s">
        <v>40</v>
      </c>
      <c r="P621">
        <v>1</v>
      </c>
      <c r="Q621" t="s">
        <v>52</v>
      </c>
      <c r="R621" s="3">
        <v>4037</v>
      </c>
      <c r="S621">
        <v>21816</v>
      </c>
      <c r="T621">
        <v>1</v>
      </c>
      <c r="U621" t="s">
        <v>43</v>
      </c>
      <c r="V621" s="2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tr">
        <f t="shared" si="36"/>
        <v>26-35</v>
      </c>
      <c r="AH621" t="str">
        <f t="shared" si="37"/>
        <v>Mid</v>
      </c>
      <c r="AI621" s="1">
        <f>VLOOKUP(E621,Lookup_Tables!$A$3:$B$5,2,)</f>
        <v>6959.17264573991</v>
      </c>
      <c r="AJ621" t="str">
        <f t="shared" si="38"/>
        <v>Below salary</v>
      </c>
      <c r="AK621" t="str">
        <f t="shared" si="39"/>
        <v>Medium Risk</v>
      </c>
    </row>
    <row r="622" spans="1:37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856</v>
      </c>
      <c r="J622">
        <v>3</v>
      </c>
      <c r="K622" t="s">
        <v>39</v>
      </c>
      <c r="L622">
        <v>53</v>
      </c>
      <c r="M622">
        <v>2</v>
      </c>
      <c r="N622">
        <v>1</v>
      </c>
      <c r="O622" t="s">
        <v>47</v>
      </c>
      <c r="P622">
        <v>1</v>
      </c>
      <c r="Q622" t="s">
        <v>41</v>
      </c>
      <c r="R622" s="3">
        <v>2559</v>
      </c>
      <c r="S622">
        <v>17852</v>
      </c>
      <c r="T622">
        <v>1</v>
      </c>
      <c r="U622" t="s">
        <v>43</v>
      </c>
      <c r="V622" s="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tr">
        <f t="shared" si="36"/>
        <v>26-35</v>
      </c>
      <c r="AH622" t="str">
        <f t="shared" si="37"/>
        <v>Low</v>
      </c>
      <c r="AI622" s="1">
        <f>VLOOKUP(E622,Lookup_Tables!$A$3:$B$5,2,)</f>
        <v>6281.2528616024974</v>
      </c>
      <c r="AJ622" t="str">
        <f t="shared" si="38"/>
        <v>Below salary</v>
      </c>
      <c r="AK622" t="str">
        <f t="shared" si="39"/>
        <v>Medium Risk</v>
      </c>
    </row>
    <row r="623" spans="1:37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46</v>
      </c>
      <c r="L623">
        <v>56</v>
      </c>
      <c r="M623">
        <v>3</v>
      </c>
      <c r="N623">
        <v>2</v>
      </c>
      <c r="O623" t="s">
        <v>40</v>
      </c>
      <c r="P623">
        <v>4</v>
      </c>
      <c r="Q623" t="s">
        <v>48</v>
      </c>
      <c r="R623" s="3">
        <v>6201</v>
      </c>
      <c r="S623">
        <v>2823</v>
      </c>
      <c r="T623">
        <v>1</v>
      </c>
      <c r="U623" t="s">
        <v>35</v>
      </c>
      <c r="V623" s="2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tr">
        <f t="shared" si="36"/>
        <v>36-45</v>
      </c>
      <c r="AH623" t="str">
        <f t="shared" si="37"/>
        <v>Mid</v>
      </c>
      <c r="AI623" s="1">
        <f>VLOOKUP(E623,Lookup_Tables!$A$3:$B$5,2,)</f>
        <v>6959.17264573991</v>
      </c>
      <c r="AJ623" t="str">
        <f t="shared" si="38"/>
        <v>Below salary</v>
      </c>
      <c r="AK623" t="str">
        <f t="shared" si="39"/>
        <v>Medium Risk</v>
      </c>
    </row>
    <row r="624" spans="1:37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46</v>
      </c>
      <c r="L624">
        <v>73</v>
      </c>
      <c r="M624">
        <v>3</v>
      </c>
      <c r="N624">
        <v>2</v>
      </c>
      <c r="O624" t="s">
        <v>40</v>
      </c>
      <c r="P624">
        <v>4</v>
      </c>
      <c r="Q624" t="s">
        <v>52</v>
      </c>
      <c r="R624" s="3">
        <v>4403</v>
      </c>
      <c r="S624">
        <v>9250</v>
      </c>
      <c r="T624">
        <v>2</v>
      </c>
      <c r="U624" t="s">
        <v>43</v>
      </c>
      <c r="V624" s="2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tr">
        <f t="shared" si="36"/>
        <v>26-35</v>
      </c>
      <c r="AH624" t="str">
        <f t="shared" si="37"/>
        <v>Mid</v>
      </c>
      <c r="AI624" s="1">
        <f>VLOOKUP(E624,Lookup_Tables!$A$3:$B$5,2,)</f>
        <v>6959.17264573991</v>
      </c>
      <c r="AJ624" t="str">
        <f t="shared" si="38"/>
        <v>Below salary</v>
      </c>
      <c r="AK624" t="str">
        <f t="shared" si="39"/>
        <v>Low Risk</v>
      </c>
    </row>
    <row r="625" spans="1:37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46</v>
      </c>
      <c r="L625">
        <v>75</v>
      </c>
      <c r="M625">
        <v>2</v>
      </c>
      <c r="N625">
        <v>1</v>
      </c>
      <c r="O625" t="s">
        <v>47</v>
      </c>
      <c r="P625">
        <v>4</v>
      </c>
      <c r="Q625" t="s">
        <v>52</v>
      </c>
      <c r="R625" s="3">
        <v>3761</v>
      </c>
      <c r="S625">
        <v>2373</v>
      </c>
      <c r="T625">
        <v>9</v>
      </c>
      <c r="U625" t="s">
        <v>43</v>
      </c>
      <c r="V625" s="2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tr">
        <f t="shared" si="36"/>
        <v>26-35</v>
      </c>
      <c r="AH625" t="str">
        <f t="shared" si="37"/>
        <v>Mid</v>
      </c>
      <c r="AI625" s="1">
        <f>VLOOKUP(E625,Lookup_Tables!$A$3:$B$5,2,)</f>
        <v>6281.2528616024974</v>
      </c>
      <c r="AJ625" t="str">
        <f t="shared" si="38"/>
        <v>Below salary</v>
      </c>
      <c r="AK625" t="str">
        <f t="shared" si="39"/>
        <v>Low Risk</v>
      </c>
    </row>
    <row r="626" spans="1:37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862</v>
      </c>
      <c r="J626">
        <v>1</v>
      </c>
      <c r="K626" t="s">
        <v>39</v>
      </c>
      <c r="L626">
        <v>78</v>
      </c>
      <c r="M626">
        <v>2</v>
      </c>
      <c r="N626">
        <v>3</v>
      </c>
      <c r="O626" t="s">
        <v>40</v>
      </c>
      <c r="P626">
        <v>4</v>
      </c>
      <c r="Q626" t="s">
        <v>48</v>
      </c>
      <c r="R626" s="3">
        <v>10934</v>
      </c>
      <c r="S626">
        <v>20715</v>
      </c>
      <c r="T626">
        <v>7</v>
      </c>
      <c r="U626" t="s">
        <v>35</v>
      </c>
      <c r="V626" s="2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tr">
        <f t="shared" si="36"/>
        <v>46+</v>
      </c>
      <c r="AH626" t="str">
        <f t="shared" si="37"/>
        <v>High</v>
      </c>
      <c r="AI626" s="1">
        <f>VLOOKUP(E626,Lookup_Tables!$A$3:$B$5,2,)</f>
        <v>6959.17264573991</v>
      </c>
      <c r="AJ626" t="str">
        <f t="shared" si="38"/>
        <v>Above salary</v>
      </c>
      <c r="AK626" t="str">
        <f t="shared" si="39"/>
        <v>Medium Risk</v>
      </c>
    </row>
    <row r="627" spans="1:37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864</v>
      </c>
      <c r="J627">
        <v>4</v>
      </c>
      <c r="K627" t="s">
        <v>46</v>
      </c>
      <c r="L627">
        <v>74</v>
      </c>
      <c r="M627">
        <v>3</v>
      </c>
      <c r="N627">
        <v>3</v>
      </c>
      <c r="O627" t="s">
        <v>40</v>
      </c>
      <c r="P627">
        <v>1</v>
      </c>
      <c r="Q627" t="s">
        <v>52</v>
      </c>
      <c r="R627" s="3">
        <v>10761</v>
      </c>
      <c r="S627">
        <v>19239</v>
      </c>
      <c r="T627">
        <v>4</v>
      </c>
      <c r="U627" t="s">
        <v>35</v>
      </c>
      <c r="V627" s="2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tr">
        <f t="shared" si="36"/>
        <v>36-45</v>
      </c>
      <c r="AH627" t="str">
        <f t="shared" si="37"/>
        <v>High</v>
      </c>
      <c r="AI627" s="1">
        <f>VLOOKUP(E627,Lookup_Tables!$A$3:$B$5,2,)</f>
        <v>6959.17264573991</v>
      </c>
      <c r="AJ627" t="str">
        <f t="shared" si="38"/>
        <v>Above salary</v>
      </c>
      <c r="AK627" t="str">
        <f t="shared" si="39"/>
        <v>High Risk</v>
      </c>
    </row>
    <row r="628" spans="1:37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865</v>
      </c>
      <c r="J628">
        <v>3</v>
      </c>
      <c r="K628" t="s">
        <v>39</v>
      </c>
      <c r="L628">
        <v>91</v>
      </c>
      <c r="M628">
        <v>4</v>
      </c>
      <c r="N628">
        <v>2</v>
      </c>
      <c r="O628" t="s">
        <v>47</v>
      </c>
      <c r="P628">
        <v>3</v>
      </c>
      <c r="Q628" t="s">
        <v>48</v>
      </c>
      <c r="R628" s="3">
        <v>5175</v>
      </c>
      <c r="S628">
        <v>22162</v>
      </c>
      <c r="T628">
        <v>5</v>
      </c>
      <c r="U628" t="s">
        <v>43</v>
      </c>
      <c r="V628" s="2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tr">
        <f t="shared" si="36"/>
        <v>26-35</v>
      </c>
      <c r="AH628" t="str">
        <f t="shared" si="37"/>
        <v>Mid</v>
      </c>
      <c r="AI628" s="1">
        <f>VLOOKUP(E628,Lookup_Tables!$A$3:$B$5,2,)</f>
        <v>6281.2528616024974</v>
      </c>
      <c r="AJ628" t="str">
        <f t="shared" si="38"/>
        <v>Below salary</v>
      </c>
      <c r="AK628" t="str">
        <f t="shared" si="39"/>
        <v>Low Risk</v>
      </c>
    </row>
    <row r="629" spans="1:37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867</v>
      </c>
      <c r="J629">
        <v>3</v>
      </c>
      <c r="K629" t="s">
        <v>39</v>
      </c>
      <c r="L629">
        <v>81</v>
      </c>
      <c r="M629">
        <v>2</v>
      </c>
      <c r="N629">
        <v>4</v>
      </c>
      <c r="O629" t="s">
        <v>53</v>
      </c>
      <c r="P629">
        <v>4</v>
      </c>
      <c r="Q629" t="s">
        <v>48</v>
      </c>
      <c r="R629" s="3">
        <v>13826</v>
      </c>
      <c r="S629">
        <v>19028</v>
      </c>
      <c r="T629">
        <v>3</v>
      </c>
      <c r="U629" t="s">
        <v>43</v>
      </c>
      <c r="V629" s="2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tr">
        <f t="shared" si="36"/>
        <v>46+</v>
      </c>
      <c r="AH629" t="str">
        <f t="shared" si="37"/>
        <v>Very High</v>
      </c>
      <c r="AI629" s="1">
        <f>VLOOKUP(E629,Lookup_Tables!$A$3:$B$5,2,)</f>
        <v>6281.2528616024974</v>
      </c>
      <c r="AJ629" t="str">
        <f t="shared" si="38"/>
        <v>Above salary</v>
      </c>
      <c r="AK629" t="str">
        <f t="shared" si="39"/>
        <v>Low Risk</v>
      </c>
    </row>
    <row r="630" spans="1:37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868</v>
      </c>
      <c r="J630">
        <v>4</v>
      </c>
      <c r="K630" t="s">
        <v>46</v>
      </c>
      <c r="L630">
        <v>66</v>
      </c>
      <c r="M630">
        <v>2</v>
      </c>
      <c r="N630">
        <v>2</v>
      </c>
      <c r="O630" t="s">
        <v>40</v>
      </c>
      <c r="P630">
        <v>3</v>
      </c>
      <c r="Q630" t="s">
        <v>52</v>
      </c>
      <c r="R630" s="3">
        <v>6334</v>
      </c>
      <c r="S630">
        <v>24558</v>
      </c>
      <c r="T630">
        <v>4</v>
      </c>
      <c r="U630" t="s">
        <v>43</v>
      </c>
      <c r="V630" s="2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tr">
        <f t="shared" si="36"/>
        <v>36-45</v>
      </c>
      <c r="AH630" t="str">
        <f t="shared" si="37"/>
        <v>Mid</v>
      </c>
      <c r="AI630" s="1">
        <f>VLOOKUP(E630,Lookup_Tables!$A$3:$B$5,2,)</f>
        <v>6959.17264573991</v>
      </c>
      <c r="AJ630" t="str">
        <f t="shared" si="38"/>
        <v>Below salary</v>
      </c>
      <c r="AK630" t="str">
        <f t="shared" si="39"/>
        <v>Low Risk</v>
      </c>
    </row>
    <row r="631" spans="1:37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869</v>
      </c>
      <c r="J631">
        <v>2</v>
      </c>
      <c r="K631" t="s">
        <v>46</v>
      </c>
      <c r="L631">
        <v>63</v>
      </c>
      <c r="M631">
        <v>2</v>
      </c>
      <c r="N631">
        <v>1</v>
      </c>
      <c r="O631" t="s">
        <v>61</v>
      </c>
      <c r="P631">
        <v>4</v>
      </c>
      <c r="Q631" t="s">
        <v>52</v>
      </c>
      <c r="R631" s="3">
        <v>4936</v>
      </c>
      <c r="S631">
        <v>23965</v>
      </c>
      <c r="T631">
        <v>1</v>
      </c>
      <c r="U631" t="s">
        <v>43</v>
      </c>
      <c r="V631" s="2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tr">
        <f t="shared" si="36"/>
        <v>26-35</v>
      </c>
      <c r="AH631" t="str">
        <f t="shared" si="37"/>
        <v>Mid</v>
      </c>
      <c r="AI631" s="1">
        <f>VLOOKUP(E631,Lookup_Tables!$A$3:$B$5,2,)</f>
        <v>6654.5079365079364</v>
      </c>
      <c r="AJ631" t="str">
        <f t="shared" si="38"/>
        <v>Below salary</v>
      </c>
      <c r="AK631" t="str">
        <f t="shared" si="39"/>
        <v>Low Risk</v>
      </c>
    </row>
    <row r="632" spans="1:37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46</v>
      </c>
      <c r="L632">
        <v>33</v>
      </c>
      <c r="M632">
        <v>2</v>
      </c>
      <c r="N632">
        <v>2</v>
      </c>
      <c r="O632" t="s">
        <v>53</v>
      </c>
      <c r="P632">
        <v>4</v>
      </c>
      <c r="Q632" t="s">
        <v>48</v>
      </c>
      <c r="R632" s="3">
        <v>4775</v>
      </c>
      <c r="S632">
        <v>19146</v>
      </c>
      <c r="T632">
        <v>6</v>
      </c>
      <c r="U632" t="s">
        <v>43</v>
      </c>
      <c r="V632" s="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tr">
        <f t="shared" si="36"/>
        <v>18-25</v>
      </c>
      <c r="AH632" t="str">
        <f t="shared" si="37"/>
        <v>Mid</v>
      </c>
      <c r="AI632" s="1">
        <f>VLOOKUP(E632,Lookup_Tables!$A$3:$B$5,2,)</f>
        <v>6281.2528616024974</v>
      </c>
      <c r="AJ632" t="str">
        <f t="shared" si="38"/>
        <v>Below salary</v>
      </c>
      <c r="AK632" t="str">
        <f t="shared" si="39"/>
        <v>Low Risk</v>
      </c>
    </row>
    <row r="633" spans="1:37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46</v>
      </c>
      <c r="L633">
        <v>62</v>
      </c>
      <c r="M633">
        <v>4</v>
      </c>
      <c r="N633">
        <v>1</v>
      </c>
      <c r="O633" t="s">
        <v>50</v>
      </c>
      <c r="P633">
        <v>4</v>
      </c>
      <c r="Q633" t="s">
        <v>48</v>
      </c>
      <c r="R633" s="3">
        <v>2818</v>
      </c>
      <c r="S633">
        <v>5044</v>
      </c>
      <c r="T633">
        <v>2</v>
      </c>
      <c r="U633" t="s">
        <v>35</v>
      </c>
      <c r="V633" s="2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tr">
        <f t="shared" si="36"/>
        <v>36-45</v>
      </c>
      <c r="AH633" t="str">
        <f t="shared" si="37"/>
        <v>Low</v>
      </c>
      <c r="AI633" s="1">
        <f>VLOOKUP(E633,Lookup_Tables!$A$3:$B$5,2,)</f>
        <v>6281.2528616024974</v>
      </c>
      <c r="AJ633" t="str">
        <f t="shared" si="38"/>
        <v>Below salary</v>
      </c>
      <c r="AK633" t="str">
        <f t="shared" si="39"/>
        <v>Medium Risk</v>
      </c>
    </row>
    <row r="634" spans="1:37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875</v>
      </c>
      <c r="J634">
        <v>2</v>
      </c>
      <c r="K634" t="s">
        <v>46</v>
      </c>
      <c r="L634">
        <v>35</v>
      </c>
      <c r="M634">
        <v>3</v>
      </c>
      <c r="N634">
        <v>1</v>
      </c>
      <c r="O634" t="s">
        <v>47</v>
      </c>
      <c r="P634">
        <v>4</v>
      </c>
      <c r="Q634" t="s">
        <v>41</v>
      </c>
      <c r="R634" s="3">
        <v>2515</v>
      </c>
      <c r="S634">
        <v>9068</v>
      </c>
      <c r="T634">
        <v>5</v>
      </c>
      <c r="U634" t="s">
        <v>35</v>
      </c>
      <c r="V634" s="2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tr">
        <f t="shared" si="36"/>
        <v>36-45</v>
      </c>
      <c r="AH634" t="str">
        <f t="shared" si="37"/>
        <v>Low</v>
      </c>
      <c r="AI634" s="1">
        <f>VLOOKUP(E634,Lookup_Tables!$A$3:$B$5,2,)</f>
        <v>6281.2528616024974</v>
      </c>
      <c r="AJ634" t="str">
        <f t="shared" si="38"/>
        <v>Below salary</v>
      </c>
      <c r="AK634" t="str">
        <f t="shared" si="39"/>
        <v>Medium Risk</v>
      </c>
    </row>
    <row r="635" spans="1:37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46</v>
      </c>
      <c r="L635">
        <v>77</v>
      </c>
      <c r="M635">
        <v>2</v>
      </c>
      <c r="N635">
        <v>1</v>
      </c>
      <c r="O635" t="s">
        <v>61</v>
      </c>
      <c r="P635">
        <v>1</v>
      </c>
      <c r="Q635" t="s">
        <v>48</v>
      </c>
      <c r="R635" s="3">
        <v>2342</v>
      </c>
      <c r="S635">
        <v>8635</v>
      </c>
      <c r="T635">
        <v>0</v>
      </c>
      <c r="U635" t="s">
        <v>43</v>
      </c>
      <c r="V635" s="2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tr">
        <f t="shared" si="36"/>
        <v>36-45</v>
      </c>
      <c r="AH635" t="str">
        <f t="shared" si="37"/>
        <v>Low</v>
      </c>
      <c r="AI635" s="1">
        <f>VLOOKUP(E635,Lookup_Tables!$A$3:$B$5,2,)</f>
        <v>6654.5079365079364</v>
      </c>
      <c r="AJ635" t="str">
        <f t="shared" si="38"/>
        <v>Below salary</v>
      </c>
      <c r="AK635" t="str">
        <f t="shared" si="39"/>
        <v>Medium Risk</v>
      </c>
    </row>
    <row r="636" spans="1:37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879</v>
      </c>
      <c r="J636">
        <v>3</v>
      </c>
      <c r="K636" t="s">
        <v>46</v>
      </c>
      <c r="L636">
        <v>98</v>
      </c>
      <c r="M636">
        <v>3</v>
      </c>
      <c r="N636">
        <v>2</v>
      </c>
      <c r="O636" t="s">
        <v>40</v>
      </c>
      <c r="P636">
        <v>1</v>
      </c>
      <c r="Q636" t="s">
        <v>48</v>
      </c>
      <c r="R636" s="3">
        <v>4194</v>
      </c>
      <c r="S636">
        <v>14363</v>
      </c>
      <c r="T636">
        <v>1</v>
      </c>
      <c r="U636" t="s">
        <v>35</v>
      </c>
      <c r="V636" s="2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tr">
        <f t="shared" si="36"/>
        <v>18-25</v>
      </c>
      <c r="AH636" t="str">
        <f t="shared" si="37"/>
        <v>Mid</v>
      </c>
      <c r="AI636" s="1">
        <f>VLOOKUP(E636,Lookup_Tables!$A$3:$B$5,2,)</f>
        <v>6959.17264573991</v>
      </c>
      <c r="AJ636" t="str">
        <f t="shared" si="38"/>
        <v>Below salary</v>
      </c>
      <c r="AK636" t="str">
        <f t="shared" si="39"/>
        <v>High Risk</v>
      </c>
    </row>
    <row r="637" spans="1:37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66</v>
      </c>
      <c r="M637">
        <v>2</v>
      </c>
      <c r="N637">
        <v>3</v>
      </c>
      <c r="O637" t="s">
        <v>53</v>
      </c>
      <c r="P637">
        <v>3</v>
      </c>
      <c r="Q637" t="s">
        <v>48</v>
      </c>
      <c r="R637" s="3">
        <v>10685</v>
      </c>
      <c r="S637">
        <v>23457</v>
      </c>
      <c r="T637">
        <v>1</v>
      </c>
      <c r="U637" t="s">
        <v>35</v>
      </c>
      <c r="V637" s="2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tr">
        <f t="shared" si="36"/>
        <v>26-35</v>
      </c>
      <c r="AH637" t="str">
        <f t="shared" si="37"/>
        <v>High</v>
      </c>
      <c r="AI637" s="1">
        <f>VLOOKUP(E637,Lookup_Tables!$A$3:$B$5,2,)</f>
        <v>6281.2528616024974</v>
      </c>
      <c r="AJ637" t="str">
        <f t="shared" si="38"/>
        <v>Above salary</v>
      </c>
      <c r="AK637" t="str">
        <f t="shared" si="39"/>
        <v>Medium Risk</v>
      </c>
    </row>
    <row r="638" spans="1:37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96</v>
      </c>
      <c r="M638">
        <v>3</v>
      </c>
      <c r="N638">
        <v>1</v>
      </c>
      <c r="O638" t="s">
        <v>47</v>
      </c>
      <c r="P638">
        <v>2</v>
      </c>
      <c r="Q638" t="s">
        <v>52</v>
      </c>
      <c r="R638" s="3">
        <v>2022</v>
      </c>
      <c r="S638">
        <v>16612</v>
      </c>
      <c r="T638">
        <v>1</v>
      </c>
      <c r="U638" t="s">
        <v>35</v>
      </c>
      <c r="V638" s="2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tr">
        <f t="shared" si="36"/>
        <v>26-35</v>
      </c>
      <c r="AH638" t="str">
        <f t="shared" si="37"/>
        <v>Low</v>
      </c>
      <c r="AI638" s="1">
        <f>VLOOKUP(E638,Lookup_Tables!$A$3:$B$5,2,)</f>
        <v>6281.2528616024974</v>
      </c>
      <c r="AJ638" t="str">
        <f t="shared" si="38"/>
        <v>Below salary</v>
      </c>
      <c r="AK638" t="str">
        <f t="shared" si="39"/>
        <v>High Risk</v>
      </c>
    </row>
    <row r="639" spans="1:37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46</v>
      </c>
      <c r="L639">
        <v>61</v>
      </c>
      <c r="M639">
        <v>3</v>
      </c>
      <c r="N639">
        <v>1</v>
      </c>
      <c r="O639" t="s">
        <v>50</v>
      </c>
      <c r="P639">
        <v>4</v>
      </c>
      <c r="Q639" t="s">
        <v>52</v>
      </c>
      <c r="R639" s="3">
        <v>2314</v>
      </c>
      <c r="S639">
        <v>9148</v>
      </c>
      <c r="T639">
        <v>0</v>
      </c>
      <c r="U639" t="s">
        <v>43</v>
      </c>
      <c r="V639" s="2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tr">
        <f t="shared" si="36"/>
        <v>26-35</v>
      </c>
      <c r="AH639" t="str">
        <f t="shared" si="37"/>
        <v>Low</v>
      </c>
      <c r="AI639" s="1">
        <f>VLOOKUP(E639,Lookup_Tables!$A$3:$B$5,2,)</f>
        <v>6281.2528616024974</v>
      </c>
      <c r="AJ639" t="str">
        <f t="shared" si="38"/>
        <v>Below salary</v>
      </c>
      <c r="AK639" t="str">
        <f t="shared" si="39"/>
        <v>Low Risk</v>
      </c>
    </row>
    <row r="640" spans="1:37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885</v>
      </c>
      <c r="J640">
        <v>3</v>
      </c>
      <c r="K640" t="s">
        <v>46</v>
      </c>
      <c r="L640">
        <v>87</v>
      </c>
      <c r="M640">
        <v>2</v>
      </c>
      <c r="N640">
        <v>2</v>
      </c>
      <c r="O640" t="s">
        <v>40</v>
      </c>
      <c r="P640">
        <v>1</v>
      </c>
      <c r="Q640" t="s">
        <v>48</v>
      </c>
      <c r="R640" s="3">
        <v>4256</v>
      </c>
      <c r="S640">
        <v>18154</v>
      </c>
      <c r="T640">
        <v>1</v>
      </c>
      <c r="U640" t="s">
        <v>43</v>
      </c>
      <c r="V640" s="2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tr">
        <f t="shared" si="36"/>
        <v>18-25</v>
      </c>
      <c r="AH640" t="str">
        <f t="shared" si="37"/>
        <v>Mid</v>
      </c>
      <c r="AI640" s="1">
        <f>VLOOKUP(E640,Lookup_Tables!$A$3:$B$5,2,)</f>
        <v>6959.17264573991</v>
      </c>
      <c r="AJ640" t="str">
        <f t="shared" si="38"/>
        <v>Below salary</v>
      </c>
      <c r="AK640" t="str">
        <f t="shared" si="39"/>
        <v>Medium Risk</v>
      </c>
    </row>
    <row r="641" spans="1:37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887</v>
      </c>
      <c r="J641">
        <v>3</v>
      </c>
      <c r="K641" t="s">
        <v>39</v>
      </c>
      <c r="L641">
        <v>36</v>
      </c>
      <c r="M641">
        <v>3</v>
      </c>
      <c r="N641">
        <v>1</v>
      </c>
      <c r="O641" t="s">
        <v>47</v>
      </c>
      <c r="P641">
        <v>1</v>
      </c>
      <c r="Q641" t="s">
        <v>48</v>
      </c>
      <c r="R641" s="3">
        <v>3580</v>
      </c>
      <c r="S641">
        <v>10554</v>
      </c>
      <c r="T641">
        <v>2</v>
      </c>
      <c r="U641" t="s">
        <v>43</v>
      </c>
      <c r="V641" s="2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tr">
        <f t="shared" si="36"/>
        <v>46+</v>
      </c>
      <c r="AH641" t="str">
        <f t="shared" si="37"/>
        <v>Mid</v>
      </c>
      <c r="AI641" s="1">
        <f>VLOOKUP(E641,Lookup_Tables!$A$3:$B$5,2,)</f>
        <v>6281.2528616024974</v>
      </c>
      <c r="AJ641" t="str">
        <f t="shared" si="38"/>
        <v>Below salary</v>
      </c>
      <c r="AK641" t="str">
        <f t="shared" si="39"/>
        <v>Medium Risk</v>
      </c>
    </row>
    <row r="642" spans="1:37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46</v>
      </c>
      <c r="L642">
        <v>46</v>
      </c>
      <c r="M642">
        <v>2</v>
      </c>
      <c r="N642">
        <v>1</v>
      </c>
      <c r="O642" t="s">
        <v>50</v>
      </c>
      <c r="P642">
        <v>4</v>
      </c>
      <c r="Q642" t="s">
        <v>48</v>
      </c>
      <c r="R642" s="3">
        <v>3162</v>
      </c>
      <c r="S642">
        <v>10778</v>
      </c>
      <c r="T642">
        <v>0</v>
      </c>
      <c r="U642" t="s">
        <v>43</v>
      </c>
      <c r="V642" s="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tr">
        <f t="shared" ref="AG642:AG705" si="40">IF(A642&lt;=25,"18-25",IF(A642&lt;= 35, "26-35",IF(A642&lt;=45, "36-45","46+")))</f>
        <v>18-25</v>
      </c>
      <c r="AH642" t="str">
        <f t="shared" ref="AH642:AH705" si="41">IF(R642&lt;3000,"Low",IF(R642&lt;7000,"Mid", IF(R642&lt;12000, "High", "Very High")))</f>
        <v>Mid</v>
      </c>
      <c r="AI642" s="1">
        <f>VLOOKUP(E642,Lookup_Tables!$A$3:$B$5,2,)</f>
        <v>6281.2528616024974</v>
      </c>
      <c r="AJ642" t="str">
        <f t="shared" ref="AJ642:AJ705" si="42">IF(R642&gt;AI642, "Above salary","Below salary")</f>
        <v>Below salary</v>
      </c>
      <c r="AK642" t="str">
        <f t="shared" si="39"/>
        <v>Low Risk</v>
      </c>
    </row>
    <row r="643" spans="1:37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46</v>
      </c>
      <c r="L643">
        <v>48</v>
      </c>
      <c r="M643">
        <v>3</v>
      </c>
      <c r="N643">
        <v>2</v>
      </c>
      <c r="O643" t="s">
        <v>40</v>
      </c>
      <c r="P643">
        <v>2</v>
      </c>
      <c r="Q643" t="s">
        <v>48</v>
      </c>
      <c r="R643" s="3">
        <v>6524</v>
      </c>
      <c r="S643">
        <v>8891</v>
      </c>
      <c r="T643">
        <v>1</v>
      </c>
      <c r="U643" t="s">
        <v>43</v>
      </c>
      <c r="V643" s="2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tr">
        <f t="shared" si="40"/>
        <v>26-35</v>
      </c>
      <c r="AH643" t="str">
        <f t="shared" si="41"/>
        <v>Mid</v>
      </c>
      <c r="AI643" s="1">
        <f>VLOOKUP(E643,Lookup_Tables!$A$3:$B$5,2,)</f>
        <v>6959.17264573991</v>
      </c>
      <c r="AJ643" t="str">
        <f t="shared" si="42"/>
        <v>Below salary</v>
      </c>
      <c r="AK643" t="str">
        <f t="shared" ref="AK643:AK706" si="43">IF(AND(P643&lt;=2,U643="Yes"),"High Risk",IF(OR(P643&lt;=2,U643="Yes"),"Medium Risk","Low Risk"))</f>
        <v>Medium Risk</v>
      </c>
    </row>
    <row r="644" spans="1:37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893</v>
      </c>
      <c r="J644">
        <v>2</v>
      </c>
      <c r="K644" t="s">
        <v>46</v>
      </c>
      <c r="L644">
        <v>98</v>
      </c>
      <c r="M644">
        <v>2</v>
      </c>
      <c r="N644">
        <v>1</v>
      </c>
      <c r="O644" t="s">
        <v>57</v>
      </c>
      <c r="P644">
        <v>2</v>
      </c>
      <c r="Q644" t="s">
        <v>48</v>
      </c>
      <c r="R644" s="3">
        <v>2899</v>
      </c>
      <c r="S644">
        <v>12102</v>
      </c>
      <c r="T644">
        <v>0</v>
      </c>
      <c r="U644" t="s">
        <v>43</v>
      </c>
      <c r="V644" s="2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tr">
        <f t="shared" si="40"/>
        <v>36-45</v>
      </c>
      <c r="AH644" t="str">
        <f t="shared" si="41"/>
        <v>Low</v>
      </c>
      <c r="AI644" s="1">
        <f>VLOOKUP(E644,Lookup_Tables!$A$3:$B$5,2,)</f>
        <v>6959.17264573991</v>
      </c>
      <c r="AJ644" t="str">
        <f t="shared" si="42"/>
        <v>Below salary</v>
      </c>
      <c r="AK644" t="str">
        <f t="shared" si="43"/>
        <v>Medium Risk</v>
      </c>
    </row>
    <row r="645" spans="1:37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95</v>
      </c>
      <c r="M645">
        <v>4</v>
      </c>
      <c r="N645">
        <v>2</v>
      </c>
      <c r="O645" t="s">
        <v>50</v>
      </c>
      <c r="P645">
        <v>4</v>
      </c>
      <c r="Q645" t="s">
        <v>48</v>
      </c>
      <c r="R645" s="3">
        <v>5231</v>
      </c>
      <c r="S645">
        <v>23726</v>
      </c>
      <c r="T645">
        <v>2</v>
      </c>
      <c r="U645" t="s">
        <v>35</v>
      </c>
      <c r="V645" s="2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tr">
        <f t="shared" si="40"/>
        <v>36-45</v>
      </c>
      <c r="AH645" t="str">
        <f t="shared" si="41"/>
        <v>Mid</v>
      </c>
      <c r="AI645" s="1">
        <f>VLOOKUP(E645,Lookup_Tables!$A$3:$B$5,2,)</f>
        <v>6281.2528616024974</v>
      </c>
      <c r="AJ645" t="str">
        <f t="shared" si="42"/>
        <v>Below salary</v>
      </c>
      <c r="AK645" t="str">
        <f t="shared" si="43"/>
        <v>Medium Risk</v>
      </c>
    </row>
    <row r="646" spans="1:37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46</v>
      </c>
      <c r="L646">
        <v>48</v>
      </c>
      <c r="M646">
        <v>3</v>
      </c>
      <c r="N646">
        <v>1</v>
      </c>
      <c r="O646" t="s">
        <v>47</v>
      </c>
      <c r="P646">
        <v>4</v>
      </c>
      <c r="Q646" t="s">
        <v>48</v>
      </c>
      <c r="R646" s="3">
        <v>2356</v>
      </c>
      <c r="S646">
        <v>14871</v>
      </c>
      <c r="T646">
        <v>3</v>
      </c>
      <c r="U646" t="s">
        <v>35</v>
      </c>
      <c r="V646" s="2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tr">
        <f t="shared" si="40"/>
        <v>26-35</v>
      </c>
      <c r="AH646" t="str">
        <f t="shared" si="41"/>
        <v>Low</v>
      </c>
      <c r="AI646" s="1">
        <f>VLOOKUP(E646,Lookup_Tables!$A$3:$B$5,2,)</f>
        <v>6281.2528616024974</v>
      </c>
      <c r="AJ646" t="str">
        <f t="shared" si="42"/>
        <v>Below salary</v>
      </c>
      <c r="AK646" t="str">
        <f t="shared" si="43"/>
        <v>Medium Risk</v>
      </c>
    </row>
    <row r="647" spans="1:37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896</v>
      </c>
      <c r="J647">
        <v>2</v>
      </c>
      <c r="K647" t="s">
        <v>39</v>
      </c>
      <c r="L647">
        <v>48</v>
      </c>
      <c r="M647">
        <v>2</v>
      </c>
      <c r="N647">
        <v>1</v>
      </c>
      <c r="O647" t="s">
        <v>57</v>
      </c>
      <c r="P647">
        <v>3</v>
      </c>
      <c r="Q647" t="s">
        <v>52</v>
      </c>
      <c r="R647" s="3">
        <v>2800</v>
      </c>
      <c r="S647">
        <v>23522</v>
      </c>
      <c r="T647">
        <v>6</v>
      </c>
      <c r="U647" t="s">
        <v>35</v>
      </c>
      <c r="V647" s="2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tr">
        <f t="shared" si="40"/>
        <v>26-35</v>
      </c>
      <c r="AH647" t="str">
        <f t="shared" si="41"/>
        <v>Low</v>
      </c>
      <c r="AI647" s="1">
        <f>VLOOKUP(E647,Lookup_Tables!$A$3:$B$5,2,)</f>
        <v>6959.17264573991</v>
      </c>
      <c r="AJ647" t="str">
        <f t="shared" si="42"/>
        <v>Below salary</v>
      </c>
      <c r="AK647" t="str">
        <f t="shared" si="43"/>
        <v>Medium Risk</v>
      </c>
    </row>
    <row r="648" spans="1:37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897</v>
      </c>
      <c r="J648">
        <v>1</v>
      </c>
      <c r="K648" t="s">
        <v>46</v>
      </c>
      <c r="L648">
        <v>73</v>
      </c>
      <c r="M648">
        <v>3</v>
      </c>
      <c r="N648">
        <v>4</v>
      </c>
      <c r="O648" t="s">
        <v>40</v>
      </c>
      <c r="P648">
        <v>4</v>
      </c>
      <c r="Q648" t="s">
        <v>48</v>
      </c>
      <c r="R648" s="3">
        <v>11836</v>
      </c>
      <c r="S648">
        <v>22789</v>
      </c>
      <c r="T648">
        <v>5</v>
      </c>
      <c r="U648" t="s">
        <v>43</v>
      </c>
      <c r="V648" s="2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tr">
        <f t="shared" si="40"/>
        <v>46+</v>
      </c>
      <c r="AH648" t="str">
        <f t="shared" si="41"/>
        <v>High</v>
      </c>
      <c r="AI648" s="1">
        <f>VLOOKUP(E648,Lookup_Tables!$A$3:$B$5,2,)</f>
        <v>6959.17264573991</v>
      </c>
      <c r="AJ648" t="str">
        <f t="shared" si="42"/>
        <v>Above salary</v>
      </c>
      <c r="AK648" t="str">
        <f t="shared" si="43"/>
        <v>Low Risk</v>
      </c>
    </row>
    <row r="649" spans="1:37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899</v>
      </c>
      <c r="J649">
        <v>4</v>
      </c>
      <c r="K649" t="s">
        <v>46</v>
      </c>
      <c r="L649">
        <v>78</v>
      </c>
      <c r="M649">
        <v>2</v>
      </c>
      <c r="N649">
        <v>3</v>
      </c>
      <c r="O649" t="s">
        <v>53</v>
      </c>
      <c r="P649">
        <v>2</v>
      </c>
      <c r="Q649" t="s">
        <v>48</v>
      </c>
      <c r="R649" s="3">
        <v>10903</v>
      </c>
      <c r="S649">
        <v>9129</v>
      </c>
      <c r="T649">
        <v>3</v>
      </c>
      <c r="U649" t="s">
        <v>43</v>
      </c>
      <c r="V649" s="2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tr">
        <f t="shared" si="40"/>
        <v>26-35</v>
      </c>
      <c r="AH649" t="str">
        <f t="shared" si="41"/>
        <v>High</v>
      </c>
      <c r="AI649" s="1">
        <f>VLOOKUP(E649,Lookup_Tables!$A$3:$B$5,2,)</f>
        <v>6281.2528616024974</v>
      </c>
      <c r="AJ649" t="str">
        <f t="shared" si="42"/>
        <v>Above salary</v>
      </c>
      <c r="AK649" t="str">
        <f t="shared" si="43"/>
        <v>Medium Risk</v>
      </c>
    </row>
    <row r="650" spans="1:37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900</v>
      </c>
      <c r="J650">
        <v>3</v>
      </c>
      <c r="K650" t="s">
        <v>39</v>
      </c>
      <c r="L650">
        <v>54</v>
      </c>
      <c r="M650">
        <v>3</v>
      </c>
      <c r="N650">
        <v>1</v>
      </c>
      <c r="O650" t="s">
        <v>57</v>
      </c>
      <c r="P650">
        <v>4</v>
      </c>
      <c r="Q650" t="s">
        <v>48</v>
      </c>
      <c r="R650" s="3">
        <v>2973</v>
      </c>
      <c r="S650">
        <v>21222</v>
      </c>
      <c r="T650">
        <v>5</v>
      </c>
      <c r="U650" t="s">
        <v>43</v>
      </c>
      <c r="V650" s="2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tr">
        <f t="shared" si="40"/>
        <v>36-45</v>
      </c>
      <c r="AH650" t="str">
        <f t="shared" si="41"/>
        <v>Low</v>
      </c>
      <c r="AI650" s="1">
        <f>VLOOKUP(E650,Lookup_Tables!$A$3:$B$5,2,)</f>
        <v>6959.17264573991</v>
      </c>
      <c r="AJ650" t="str">
        <f t="shared" si="42"/>
        <v>Below salary</v>
      </c>
      <c r="AK650" t="str">
        <f t="shared" si="43"/>
        <v>Low Risk</v>
      </c>
    </row>
    <row r="651" spans="1:37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72</v>
      </c>
      <c r="M651">
        <v>3</v>
      </c>
      <c r="N651">
        <v>4</v>
      </c>
      <c r="O651" t="s">
        <v>58</v>
      </c>
      <c r="P651">
        <v>4</v>
      </c>
      <c r="Q651" t="s">
        <v>41</v>
      </c>
      <c r="R651" s="3">
        <v>14275</v>
      </c>
      <c r="S651">
        <v>20206</v>
      </c>
      <c r="T651">
        <v>6</v>
      </c>
      <c r="U651" t="s">
        <v>43</v>
      </c>
      <c r="V651" s="2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tr">
        <f t="shared" si="40"/>
        <v>46+</v>
      </c>
      <c r="AH651" t="str">
        <f t="shared" si="41"/>
        <v>Very High</v>
      </c>
      <c r="AI651" s="1">
        <f>VLOOKUP(E651,Lookup_Tables!$A$3:$B$5,2,)</f>
        <v>6281.2528616024974</v>
      </c>
      <c r="AJ651" t="str">
        <f t="shared" si="42"/>
        <v>Above salary</v>
      </c>
      <c r="AK651" t="str">
        <f t="shared" si="43"/>
        <v>Low Risk</v>
      </c>
    </row>
    <row r="652" spans="1:37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33</v>
      </c>
      <c r="M652">
        <v>3</v>
      </c>
      <c r="N652">
        <v>2</v>
      </c>
      <c r="O652" t="s">
        <v>54</v>
      </c>
      <c r="P652">
        <v>4</v>
      </c>
      <c r="Q652" t="s">
        <v>48</v>
      </c>
      <c r="R652" s="3">
        <v>5562</v>
      </c>
      <c r="S652">
        <v>21782</v>
      </c>
      <c r="T652">
        <v>4</v>
      </c>
      <c r="U652" t="s">
        <v>43</v>
      </c>
      <c r="V652" s="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tr">
        <f t="shared" si="40"/>
        <v>36-45</v>
      </c>
      <c r="AH652" t="str">
        <f t="shared" si="41"/>
        <v>Mid</v>
      </c>
      <c r="AI652" s="1">
        <f>VLOOKUP(E652,Lookup_Tables!$A$3:$B$5,2,)</f>
        <v>6281.2528616024974</v>
      </c>
      <c r="AJ652" t="str">
        <f t="shared" si="42"/>
        <v>Below salary</v>
      </c>
      <c r="AK652" t="str">
        <f t="shared" si="43"/>
        <v>Low Risk</v>
      </c>
    </row>
    <row r="653" spans="1:37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903</v>
      </c>
      <c r="J653">
        <v>3</v>
      </c>
      <c r="K653" t="s">
        <v>39</v>
      </c>
      <c r="L653">
        <v>35</v>
      </c>
      <c r="M653">
        <v>3</v>
      </c>
      <c r="N653">
        <v>2</v>
      </c>
      <c r="O653" t="s">
        <v>40</v>
      </c>
      <c r="P653">
        <v>4</v>
      </c>
      <c r="Q653" t="s">
        <v>48</v>
      </c>
      <c r="R653" s="3">
        <v>4537</v>
      </c>
      <c r="S653">
        <v>17783</v>
      </c>
      <c r="T653">
        <v>0</v>
      </c>
      <c r="U653" t="s">
        <v>35</v>
      </c>
      <c r="V653" s="2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tr">
        <f t="shared" si="40"/>
        <v>46+</v>
      </c>
      <c r="AH653" t="str">
        <f t="shared" si="41"/>
        <v>Mid</v>
      </c>
      <c r="AI653" s="1">
        <f>VLOOKUP(E653,Lookup_Tables!$A$3:$B$5,2,)</f>
        <v>6959.17264573991</v>
      </c>
      <c r="AJ653" t="str">
        <f t="shared" si="42"/>
        <v>Below salary</v>
      </c>
      <c r="AK653" t="str">
        <f t="shared" si="43"/>
        <v>Medium Risk</v>
      </c>
    </row>
    <row r="654" spans="1:37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904</v>
      </c>
      <c r="J654">
        <v>1</v>
      </c>
      <c r="K654" t="s">
        <v>46</v>
      </c>
      <c r="L654">
        <v>32</v>
      </c>
      <c r="M654">
        <v>3</v>
      </c>
      <c r="N654">
        <v>3</v>
      </c>
      <c r="O654" t="s">
        <v>40</v>
      </c>
      <c r="P654">
        <v>2</v>
      </c>
      <c r="Q654" t="s">
        <v>41</v>
      </c>
      <c r="R654" s="3">
        <v>7642</v>
      </c>
      <c r="S654">
        <v>4814</v>
      </c>
      <c r="T654">
        <v>1</v>
      </c>
      <c r="U654" t="s">
        <v>35</v>
      </c>
      <c r="V654" s="2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tr">
        <f t="shared" si="40"/>
        <v>36-45</v>
      </c>
      <c r="AH654" t="str">
        <f t="shared" si="41"/>
        <v>High</v>
      </c>
      <c r="AI654" s="1">
        <f>VLOOKUP(E654,Lookup_Tables!$A$3:$B$5,2,)</f>
        <v>6959.17264573991</v>
      </c>
      <c r="AJ654" t="str">
        <f t="shared" si="42"/>
        <v>Above salary</v>
      </c>
      <c r="AK654" t="str">
        <f t="shared" si="43"/>
        <v>High Risk</v>
      </c>
    </row>
    <row r="655" spans="1:37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46</v>
      </c>
      <c r="L655">
        <v>98</v>
      </c>
      <c r="M655">
        <v>3</v>
      </c>
      <c r="N655">
        <v>4</v>
      </c>
      <c r="O655" t="s">
        <v>56</v>
      </c>
      <c r="P655">
        <v>1</v>
      </c>
      <c r="Q655" t="s">
        <v>52</v>
      </c>
      <c r="R655" s="3">
        <v>17924</v>
      </c>
      <c r="S655">
        <v>4544</v>
      </c>
      <c r="T655">
        <v>1</v>
      </c>
      <c r="U655" t="s">
        <v>43</v>
      </c>
      <c r="V655" s="2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tr">
        <f t="shared" si="40"/>
        <v>46+</v>
      </c>
      <c r="AH655" t="str">
        <f t="shared" si="41"/>
        <v>Very High</v>
      </c>
      <c r="AI655" s="1">
        <f>VLOOKUP(E655,Lookup_Tables!$A$3:$B$5,2,)</f>
        <v>6281.2528616024974</v>
      </c>
      <c r="AJ655" t="str">
        <f t="shared" si="42"/>
        <v>Above salary</v>
      </c>
      <c r="AK655" t="str">
        <f t="shared" si="43"/>
        <v>Medium Risk</v>
      </c>
    </row>
    <row r="656" spans="1:37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42</v>
      </c>
      <c r="M656">
        <v>2</v>
      </c>
      <c r="N656">
        <v>2</v>
      </c>
      <c r="O656" t="s">
        <v>61</v>
      </c>
      <c r="P656">
        <v>4</v>
      </c>
      <c r="Q656" t="s">
        <v>48</v>
      </c>
      <c r="R656" s="3">
        <v>5204</v>
      </c>
      <c r="S656">
        <v>7790</v>
      </c>
      <c r="T656">
        <v>8</v>
      </c>
      <c r="U656" t="s">
        <v>43</v>
      </c>
      <c r="V656" s="2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tr">
        <f t="shared" si="40"/>
        <v>36-45</v>
      </c>
      <c r="AH656" t="str">
        <f t="shared" si="41"/>
        <v>Mid</v>
      </c>
      <c r="AI656" s="1">
        <f>VLOOKUP(E656,Lookup_Tables!$A$3:$B$5,2,)</f>
        <v>6654.5079365079364</v>
      </c>
      <c r="AJ656" t="str">
        <f t="shared" si="42"/>
        <v>Below salary</v>
      </c>
      <c r="AK656" t="str">
        <f t="shared" si="43"/>
        <v>Low Risk</v>
      </c>
    </row>
    <row r="657" spans="1:37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910</v>
      </c>
      <c r="J657">
        <v>4</v>
      </c>
      <c r="K657" t="s">
        <v>46</v>
      </c>
      <c r="L657">
        <v>57</v>
      </c>
      <c r="M657">
        <v>3</v>
      </c>
      <c r="N657">
        <v>1</v>
      </c>
      <c r="O657" t="s">
        <v>61</v>
      </c>
      <c r="P657">
        <v>2</v>
      </c>
      <c r="Q657" t="s">
        <v>52</v>
      </c>
      <c r="R657" s="3">
        <v>2277</v>
      </c>
      <c r="S657">
        <v>22650</v>
      </c>
      <c r="T657">
        <v>3</v>
      </c>
      <c r="U657" t="s">
        <v>35</v>
      </c>
      <c r="V657" s="2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tr">
        <f t="shared" si="40"/>
        <v>26-35</v>
      </c>
      <c r="AH657" t="str">
        <f t="shared" si="41"/>
        <v>Low</v>
      </c>
      <c r="AI657" s="1">
        <f>VLOOKUP(E657,Lookup_Tables!$A$3:$B$5,2,)</f>
        <v>6654.5079365079364</v>
      </c>
      <c r="AJ657" t="str">
        <f t="shared" si="42"/>
        <v>Below salary</v>
      </c>
      <c r="AK657" t="str">
        <f t="shared" si="43"/>
        <v>High Risk</v>
      </c>
    </row>
    <row r="658" spans="1:37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46</v>
      </c>
      <c r="L658">
        <v>87</v>
      </c>
      <c r="M658">
        <v>3</v>
      </c>
      <c r="N658">
        <v>1</v>
      </c>
      <c r="O658" t="s">
        <v>50</v>
      </c>
      <c r="P658">
        <v>4</v>
      </c>
      <c r="Q658" t="s">
        <v>41</v>
      </c>
      <c r="R658" s="3">
        <v>2795</v>
      </c>
      <c r="S658">
        <v>18016</v>
      </c>
      <c r="T658">
        <v>1</v>
      </c>
      <c r="U658" t="s">
        <v>35</v>
      </c>
      <c r="V658" s="2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tr">
        <f t="shared" si="40"/>
        <v>26-35</v>
      </c>
      <c r="AH658" t="str">
        <f t="shared" si="41"/>
        <v>Low</v>
      </c>
      <c r="AI658" s="1">
        <f>VLOOKUP(E658,Lookup_Tables!$A$3:$B$5,2,)</f>
        <v>6281.2528616024974</v>
      </c>
      <c r="AJ658" t="str">
        <f t="shared" si="42"/>
        <v>Below salary</v>
      </c>
      <c r="AK658" t="str">
        <f t="shared" si="43"/>
        <v>Medium Risk</v>
      </c>
    </row>
    <row r="659" spans="1:37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912</v>
      </c>
      <c r="J659">
        <v>1</v>
      </c>
      <c r="K659" t="s">
        <v>39</v>
      </c>
      <c r="L659">
        <v>62</v>
      </c>
      <c r="M659">
        <v>2</v>
      </c>
      <c r="N659">
        <v>1</v>
      </c>
      <c r="O659" t="s">
        <v>50</v>
      </c>
      <c r="P659">
        <v>4</v>
      </c>
      <c r="Q659" t="s">
        <v>52</v>
      </c>
      <c r="R659" s="3">
        <v>2532</v>
      </c>
      <c r="S659">
        <v>6054</v>
      </c>
      <c r="T659">
        <v>6</v>
      </c>
      <c r="U659" t="s">
        <v>43</v>
      </c>
      <c r="V659" s="2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tr">
        <f t="shared" si="40"/>
        <v>26-35</v>
      </c>
      <c r="AH659" t="str">
        <f t="shared" si="41"/>
        <v>Low</v>
      </c>
      <c r="AI659" s="1">
        <f>VLOOKUP(E659,Lookup_Tables!$A$3:$B$5,2,)</f>
        <v>6281.2528616024974</v>
      </c>
      <c r="AJ659" t="str">
        <f t="shared" si="42"/>
        <v>Below salary</v>
      </c>
      <c r="AK659" t="str">
        <f t="shared" si="43"/>
        <v>Low Risk</v>
      </c>
    </row>
    <row r="660" spans="1:37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46</v>
      </c>
      <c r="L660">
        <v>61</v>
      </c>
      <c r="M660">
        <v>3</v>
      </c>
      <c r="N660">
        <v>1</v>
      </c>
      <c r="O660" t="s">
        <v>47</v>
      </c>
      <c r="P660">
        <v>1</v>
      </c>
      <c r="Q660" t="s">
        <v>48</v>
      </c>
      <c r="R660" s="3">
        <v>2559</v>
      </c>
      <c r="S660">
        <v>7508</v>
      </c>
      <c r="T660">
        <v>1</v>
      </c>
      <c r="U660" t="s">
        <v>35</v>
      </c>
      <c r="V660" s="2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tr">
        <f t="shared" si="40"/>
        <v>36-45</v>
      </c>
      <c r="AH660" t="str">
        <f t="shared" si="41"/>
        <v>Low</v>
      </c>
      <c r="AI660" s="1">
        <f>VLOOKUP(E660,Lookup_Tables!$A$3:$B$5,2,)</f>
        <v>6281.2528616024974</v>
      </c>
      <c r="AJ660" t="str">
        <f t="shared" si="42"/>
        <v>Below salary</v>
      </c>
      <c r="AK660" t="str">
        <f t="shared" si="43"/>
        <v>High Risk</v>
      </c>
    </row>
    <row r="661" spans="1:37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916</v>
      </c>
      <c r="J661">
        <v>1</v>
      </c>
      <c r="K661" t="s">
        <v>46</v>
      </c>
      <c r="L661">
        <v>98</v>
      </c>
      <c r="M661">
        <v>3</v>
      </c>
      <c r="N661">
        <v>2</v>
      </c>
      <c r="O661" t="s">
        <v>40</v>
      </c>
      <c r="P661">
        <v>4</v>
      </c>
      <c r="Q661" t="s">
        <v>41</v>
      </c>
      <c r="R661" s="3">
        <v>4908</v>
      </c>
      <c r="S661">
        <v>24252</v>
      </c>
      <c r="T661">
        <v>1</v>
      </c>
      <c r="U661" t="s">
        <v>43</v>
      </c>
      <c r="V661" s="2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tr">
        <f t="shared" si="40"/>
        <v>26-35</v>
      </c>
      <c r="AH661" t="str">
        <f t="shared" si="41"/>
        <v>Mid</v>
      </c>
      <c r="AI661" s="1">
        <f>VLOOKUP(E661,Lookup_Tables!$A$3:$B$5,2,)</f>
        <v>6959.17264573991</v>
      </c>
      <c r="AJ661" t="str">
        <f t="shared" si="42"/>
        <v>Below salary</v>
      </c>
      <c r="AK661" t="str">
        <f t="shared" si="43"/>
        <v>Low Risk</v>
      </c>
    </row>
    <row r="662" spans="1:37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46</v>
      </c>
      <c r="L662">
        <v>57</v>
      </c>
      <c r="M662">
        <v>2</v>
      </c>
      <c r="N662">
        <v>1</v>
      </c>
      <c r="O662" t="s">
        <v>50</v>
      </c>
      <c r="P662">
        <v>4</v>
      </c>
      <c r="Q662" t="s">
        <v>52</v>
      </c>
      <c r="R662" s="3">
        <v>2380</v>
      </c>
      <c r="S662">
        <v>13384</v>
      </c>
      <c r="T662">
        <v>9</v>
      </c>
      <c r="U662" t="s">
        <v>35</v>
      </c>
      <c r="V662" s="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tr">
        <f t="shared" si="40"/>
        <v>46+</v>
      </c>
      <c r="AH662" t="str">
        <f t="shared" si="41"/>
        <v>Low</v>
      </c>
      <c r="AI662" s="1">
        <f>VLOOKUP(E662,Lookup_Tables!$A$3:$B$5,2,)</f>
        <v>6281.2528616024974</v>
      </c>
      <c r="AJ662" t="str">
        <f t="shared" si="42"/>
        <v>Below salary</v>
      </c>
      <c r="AK662" t="str">
        <f t="shared" si="43"/>
        <v>Medium Risk</v>
      </c>
    </row>
    <row r="663" spans="1:37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55</v>
      </c>
      <c r="M663">
        <v>3</v>
      </c>
      <c r="N663">
        <v>2</v>
      </c>
      <c r="O663" t="s">
        <v>53</v>
      </c>
      <c r="P663">
        <v>2</v>
      </c>
      <c r="Q663" t="s">
        <v>52</v>
      </c>
      <c r="R663" s="3">
        <v>4765</v>
      </c>
      <c r="S663">
        <v>23814</v>
      </c>
      <c r="T663">
        <v>4</v>
      </c>
      <c r="U663" t="s">
        <v>43</v>
      </c>
      <c r="V663" s="2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tr">
        <f t="shared" si="40"/>
        <v>36-45</v>
      </c>
      <c r="AH663" t="str">
        <f t="shared" si="41"/>
        <v>Mid</v>
      </c>
      <c r="AI663" s="1">
        <f>VLOOKUP(E663,Lookup_Tables!$A$3:$B$5,2,)</f>
        <v>6281.2528616024974</v>
      </c>
      <c r="AJ663" t="str">
        <f t="shared" si="42"/>
        <v>Below salary</v>
      </c>
      <c r="AK663" t="str">
        <f t="shared" si="43"/>
        <v>Medium Risk</v>
      </c>
    </row>
    <row r="664" spans="1:37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922</v>
      </c>
      <c r="J664">
        <v>3</v>
      </c>
      <c r="K664" t="s">
        <v>39</v>
      </c>
      <c r="L664">
        <v>49</v>
      </c>
      <c r="M664">
        <v>2</v>
      </c>
      <c r="N664">
        <v>1</v>
      </c>
      <c r="O664" t="s">
        <v>57</v>
      </c>
      <c r="P664">
        <v>3</v>
      </c>
      <c r="Q664" t="s">
        <v>41</v>
      </c>
      <c r="R664" s="3">
        <v>2044</v>
      </c>
      <c r="S664">
        <v>22052</v>
      </c>
      <c r="T664">
        <v>1</v>
      </c>
      <c r="U664" t="s">
        <v>43</v>
      </c>
      <c r="V664" s="2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tr">
        <f t="shared" si="40"/>
        <v>18-25</v>
      </c>
      <c r="AH664" t="str">
        <f t="shared" si="41"/>
        <v>Low</v>
      </c>
      <c r="AI664" s="1">
        <f>VLOOKUP(E664,Lookup_Tables!$A$3:$B$5,2,)</f>
        <v>6959.17264573991</v>
      </c>
      <c r="AJ664" t="str">
        <f t="shared" si="42"/>
        <v>Below salary</v>
      </c>
      <c r="AK664" t="str">
        <f t="shared" si="43"/>
        <v>Low Risk</v>
      </c>
    </row>
    <row r="665" spans="1:37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t="s">
        <v>39</v>
      </c>
      <c r="L665">
        <v>65</v>
      </c>
      <c r="M665">
        <v>3</v>
      </c>
      <c r="N665">
        <v>1</v>
      </c>
      <c r="O665" t="s">
        <v>47</v>
      </c>
      <c r="P665">
        <v>4</v>
      </c>
      <c r="Q665" t="s">
        <v>41</v>
      </c>
      <c r="R665" s="3">
        <v>2693</v>
      </c>
      <c r="S665">
        <v>8870</v>
      </c>
      <c r="T665">
        <v>1</v>
      </c>
      <c r="U665" t="s">
        <v>43</v>
      </c>
      <c r="V665" s="2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tr">
        <f t="shared" si="40"/>
        <v>18-25</v>
      </c>
      <c r="AH665" t="str">
        <f t="shared" si="41"/>
        <v>Low</v>
      </c>
      <c r="AI665" s="1">
        <f>VLOOKUP(E665,Lookup_Tables!$A$3:$B$5,2,)</f>
        <v>6281.2528616024974</v>
      </c>
      <c r="AJ665" t="str">
        <f t="shared" si="42"/>
        <v>Below salary</v>
      </c>
      <c r="AK665" t="str">
        <f t="shared" si="43"/>
        <v>Low Risk</v>
      </c>
    </row>
    <row r="666" spans="1:37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46</v>
      </c>
      <c r="L666">
        <v>68</v>
      </c>
      <c r="M666">
        <v>3</v>
      </c>
      <c r="N666">
        <v>2</v>
      </c>
      <c r="O666" t="s">
        <v>54</v>
      </c>
      <c r="P666">
        <v>4</v>
      </c>
      <c r="Q666" t="s">
        <v>48</v>
      </c>
      <c r="R666" s="3">
        <v>6586</v>
      </c>
      <c r="S666">
        <v>4821</v>
      </c>
      <c r="T666">
        <v>0</v>
      </c>
      <c r="U666" t="s">
        <v>35</v>
      </c>
      <c r="V666" s="2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tr">
        <f t="shared" si="40"/>
        <v>36-45</v>
      </c>
      <c r="AH666" t="str">
        <f t="shared" si="41"/>
        <v>Mid</v>
      </c>
      <c r="AI666" s="1">
        <f>VLOOKUP(E666,Lookup_Tables!$A$3:$B$5,2,)</f>
        <v>6281.2528616024974</v>
      </c>
      <c r="AJ666" t="str">
        <f t="shared" si="42"/>
        <v>Above salary</v>
      </c>
      <c r="AK666" t="str">
        <f t="shared" si="43"/>
        <v>Medium Risk</v>
      </c>
    </row>
    <row r="667" spans="1:37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65</v>
      </c>
      <c r="M667">
        <v>2</v>
      </c>
      <c r="N667">
        <v>1</v>
      </c>
      <c r="O667" t="s">
        <v>57</v>
      </c>
      <c r="P667">
        <v>4</v>
      </c>
      <c r="Q667" t="s">
        <v>41</v>
      </c>
      <c r="R667" s="3">
        <v>3294</v>
      </c>
      <c r="S667">
        <v>13137</v>
      </c>
      <c r="T667">
        <v>1</v>
      </c>
      <c r="U667" t="s">
        <v>35</v>
      </c>
      <c r="V667" s="2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tr">
        <f t="shared" si="40"/>
        <v>46+</v>
      </c>
      <c r="AH667" t="str">
        <f t="shared" si="41"/>
        <v>Mid</v>
      </c>
      <c r="AI667" s="1">
        <f>VLOOKUP(E667,Lookup_Tables!$A$3:$B$5,2,)</f>
        <v>6959.17264573991</v>
      </c>
      <c r="AJ667" t="str">
        <f t="shared" si="42"/>
        <v>Below salary</v>
      </c>
      <c r="AK667" t="str">
        <f t="shared" si="43"/>
        <v>Medium Risk</v>
      </c>
    </row>
    <row r="668" spans="1:37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34</v>
      </c>
      <c r="M668">
        <v>3</v>
      </c>
      <c r="N668">
        <v>2</v>
      </c>
      <c r="O668" t="s">
        <v>53</v>
      </c>
      <c r="P668">
        <v>3</v>
      </c>
      <c r="Q668" t="s">
        <v>48</v>
      </c>
      <c r="R668" s="3">
        <v>4171</v>
      </c>
      <c r="S668">
        <v>10022</v>
      </c>
      <c r="T668">
        <v>0</v>
      </c>
      <c r="U668" t="s">
        <v>35</v>
      </c>
      <c r="V668" s="2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tr">
        <f t="shared" si="40"/>
        <v>18-25</v>
      </c>
      <c r="AH668" t="str">
        <f t="shared" si="41"/>
        <v>Mid</v>
      </c>
      <c r="AI668" s="1">
        <f>VLOOKUP(E668,Lookup_Tables!$A$3:$B$5,2,)</f>
        <v>6281.2528616024974</v>
      </c>
      <c r="AJ668" t="str">
        <f t="shared" si="42"/>
        <v>Below salary</v>
      </c>
      <c r="AK668" t="str">
        <f t="shared" si="43"/>
        <v>Medium Risk</v>
      </c>
    </row>
    <row r="669" spans="1:37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57</v>
      </c>
      <c r="M669">
        <v>1</v>
      </c>
      <c r="N669">
        <v>1</v>
      </c>
      <c r="O669" t="s">
        <v>50</v>
      </c>
      <c r="P669">
        <v>4</v>
      </c>
      <c r="Q669" t="s">
        <v>52</v>
      </c>
      <c r="R669" s="3">
        <v>2778</v>
      </c>
      <c r="S669">
        <v>17725</v>
      </c>
      <c r="T669">
        <v>4</v>
      </c>
      <c r="U669" t="s">
        <v>35</v>
      </c>
      <c r="V669" s="2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tr">
        <f t="shared" si="40"/>
        <v>36-45</v>
      </c>
      <c r="AH669" t="str">
        <f t="shared" si="41"/>
        <v>Low</v>
      </c>
      <c r="AI669" s="1">
        <f>VLOOKUP(E669,Lookup_Tables!$A$3:$B$5,2,)</f>
        <v>6281.2528616024974</v>
      </c>
      <c r="AJ669" t="str">
        <f t="shared" si="42"/>
        <v>Below salary</v>
      </c>
      <c r="AK669" t="str">
        <f t="shared" si="43"/>
        <v>Medium Risk</v>
      </c>
    </row>
    <row r="670" spans="1:37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930</v>
      </c>
      <c r="J670">
        <v>3</v>
      </c>
      <c r="K670" t="s">
        <v>39</v>
      </c>
      <c r="L670">
        <v>77</v>
      </c>
      <c r="M670">
        <v>3</v>
      </c>
      <c r="N670">
        <v>1</v>
      </c>
      <c r="O670" t="s">
        <v>47</v>
      </c>
      <c r="P670">
        <v>3</v>
      </c>
      <c r="Q670" t="s">
        <v>52</v>
      </c>
      <c r="R670" s="3">
        <v>2377</v>
      </c>
      <c r="S670">
        <v>9834</v>
      </c>
      <c r="T670">
        <v>5</v>
      </c>
      <c r="U670" t="s">
        <v>43</v>
      </c>
      <c r="V670" s="2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tr">
        <f t="shared" si="40"/>
        <v>26-35</v>
      </c>
      <c r="AH670" t="str">
        <f t="shared" si="41"/>
        <v>Low</v>
      </c>
      <c r="AI670" s="1">
        <f>VLOOKUP(E670,Lookup_Tables!$A$3:$B$5,2,)</f>
        <v>6281.2528616024974</v>
      </c>
      <c r="AJ670" t="str">
        <f t="shared" si="42"/>
        <v>Below salary</v>
      </c>
      <c r="AK670" t="str">
        <f t="shared" si="43"/>
        <v>Low Risk</v>
      </c>
    </row>
    <row r="671" spans="1:37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932</v>
      </c>
      <c r="J671">
        <v>4</v>
      </c>
      <c r="K671" t="s">
        <v>46</v>
      </c>
      <c r="L671">
        <v>70</v>
      </c>
      <c r="M671">
        <v>3</v>
      </c>
      <c r="N671">
        <v>1</v>
      </c>
      <c r="O671" t="s">
        <v>50</v>
      </c>
      <c r="P671">
        <v>1</v>
      </c>
      <c r="Q671" t="s">
        <v>48</v>
      </c>
      <c r="R671" s="3">
        <v>2404</v>
      </c>
      <c r="S671">
        <v>4303</v>
      </c>
      <c r="T671">
        <v>7</v>
      </c>
      <c r="U671" t="s">
        <v>35</v>
      </c>
      <c r="V671" s="2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tr">
        <f t="shared" si="40"/>
        <v>36-45</v>
      </c>
      <c r="AH671" t="str">
        <f t="shared" si="41"/>
        <v>Low</v>
      </c>
      <c r="AI671" s="1">
        <f>VLOOKUP(E671,Lookup_Tables!$A$3:$B$5,2,)</f>
        <v>6281.2528616024974</v>
      </c>
      <c r="AJ671" t="str">
        <f t="shared" si="42"/>
        <v>Below salary</v>
      </c>
      <c r="AK671" t="str">
        <f t="shared" si="43"/>
        <v>High Risk</v>
      </c>
    </row>
    <row r="672" spans="1:37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76</v>
      </c>
      <c r="M672">
        <v>3</v>
      </c>
      <c r="N672">
        <v>1</v>
      </c>
      <c r="O672" t="s">
        <v>47</v>
      </c>
      <c r="P672">
        <v>3</v>
      </c>
      <c r="Q672" t="s">
        <v>41</v>
      </c>
      <c r="R672" s="3">
        <v>2318</v>
      </c>
      <c r="S672">
        <v>17808</v>
      </c>
      <c r="T672">
        <v>1</v>
      </c>
      <c r="U672" t="s">
        <v>43</v>
      </c>
      <c r="V672" s="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tr">
        <f t="shared" si="40"/>
        <v>26-35</v>
      </c>
      <c r="AH672" t="str">
        <f t="shared" si="41"/>
        <v>Low</v>
      </c>
      <c r="AI672" s="1">
        <f>VLOOKUP(E672,Lookup_Tables!$A$3:$B$5,2,)</f>
        <v>6281.2528616024974</v>
      </c>
      <c r="AJ672" t="str">
        <f t="shared" si="42"/>
        <v>Below salary</v>
      </c>
      <c r="AK672" t="str">
        <f t="shared" si="43"/>
        <v>Low Risk</v>
      </c>
    </row>
    <row r="673" spans="1:37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46</v>
      </c>
      <c r="L673">
        <v>83</v>
      </c>
      <c r="M673">
        <v>3</v>
      </c>
      <c r="N673">
        <v>1</v>
      </c>
      <c r="O673" t="s">
        <v>50</v>
      </c>
      <c r="P673">
        <v>2</v>
      </c>
      <c r="Q673" t="s">
        <v>52</v>
      </c>
      <c r="R673" s="3">
        <v>2008</v>
      </c>
      <c r="S673">
        <v>6896</v>
      </c>
      <c r="T673">
        <v>1</v>
      </c>
      <c r="U673" t="s">
        <v>43</v>
      </c>
      <c r="V673" s="2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tr">
        <f t="shared" si="40"/>
        <v>26-35</v>
      </c>
      <c r="AH673" t="str">
        <f t="shared" si="41"/>
        <v>Low</v>
      </c>
      <c r="AI673" s="1">
        <f>VLOOKUP(E673,Lookup_Tables!$A$3:$B$5,2,)</f>
        <v>6281.2528616024974</v>
      </c>
      <c r="AJ673" t="str">
        <f t="shared" si="42"/>
        <v>Below salary</v>
      </c>
      <c r="AK673" t="str">
        <f t="shared" si="43"/>
        <v>Medium Risk</v>
      </c>
    </row>
    <row r="674" spans="1:37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936</v>
      </c>
      <c r="J674">
        <v>3</v>
      </c>
      <c r="K674" t="s">
        <v>39</v>
      </c>
      <c r="L674">
        <v>68</v>
      </c>
      <c r="M674">
        <v>2</v>
      </c>
      <c r="N674">
        <v>2</v>
      </c>
      <c r="O674" t="s">
        <v>40</v>
      </c>
      <c r="P674">
        <v>3</v>
      </c>
      <c r="Q674" t="s">
        <v>41</v>
      </c>
      <c r="R674" s="3">
        <v>6244</v>
      </c>
      <c r="S674">
        <v>7824</v>
      </c>
      <c r="T674">
        <v>7</v>
      </c>
      <c r="U674" t="s">
        <v>43</v>
      </c>
      <c r="V674" s="2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tr">
        <f t="shared" si="40"/>
        <v>36-45</v>
      </c>
      <c r="AH674" t="str">
        <f t="shared" si="41"/>
        <v>Mid</v>
      </c>
      <c r="AI674" s="1">
        <f>VLOOKUP(E674,Lookup_Tables!$A$3:$B$5,2,)</f>
        <v>6959.17264573991</v>
      </c>
      <c r="AJ674" t="str">
        <f t="shared" si="42"/>
        <v>Below salary</v>
      </c>
      <c r="AK674" t="str">
        <f t="shared" si="43"/>
        <v>Low Risk</v>
      </c>
    </row>
    <row r="675" spans="1:37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t="s">
        <v>46</v>
      </c>
      <c r="L675">
        <v>100</v>
      </c>
      <c r="M675">
        <v>2</v>
      </c>
      <c r="N675">
        <v>1</v>
      </c>
      <c r="O675" t="s">
        <v>47</v>
      </c>
      <c r="P675">
        <v>1</v>
      </c>
      <c r="Q675" t="s">
        <v>41</v>
      </c>
      <c r="R675" s="3">
        <v>2799</v>
      </c>
      <c r="S675">
        <v>3339</v>
      </c>
      <c r="T675">
        <v>3</v>
      </c>
      <c r="U675" t="s">
        <v>35</v>
      </c>
      <c r="V675" s="2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tr">
        <f t="shared" si="40"/>
        <v>26-35</v>
      </c>
      <c r="AH675" t="str">
        <f t="shared" si="41"/>
        <v>Low</v>
      </c>
      <c r="AI675" s="1">
        <f>VLOOKUP(E675,Lookup_Tables!$A$3:$B$5,2,)</f>
        <v>6281.2528616024974</v>
      </c>
      <c r="AJ675" t="str">
        <f t="shared" si="42"/>
        <v>Below salary</v>
      </c>
      <c r="AK675" t="str">
        <f t="shared" si="43"/>
        <v>High Risk</v>
      </c>
    </row>
    <row r="676" spans="1:37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940</v>
      </c>
      <c r="J676">
        <v>3</v>
      </c>
      <c r="K676" t="s">
        <v>39</v>
      </c>
      <c r="L676">
        <v>37</v>
      </c>
      <c r="M676">
        <v>2</v>
      </c>
      <c r="N676">
        <v>3</v>
      </c>
      <c r="O676" t="s">
        <v>54</v>
      </c>
      <c r="P676">
        <v>2</v>
      </c>
      <c r="Q676" t="s">
        <v>52</v>
      </c>
      <c r="R676" s="3">
        <v>10552</v>
      </c>
      <c r="S676">
        <v>9255</v>
      </c>
      <c r="T676">
        <v>2</v>
      </c>
      <c r="U676" t="s">
        <v>35</v>
      </c>
      <c r="V676" s="2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tr">
        <f t="shared" si="40"/>
        <v>46+</v>
      </c>
      <c r="AH676" t="str">
        <f t="shared" si="41"/>
        <v>High</v>
      </c>
      <c r="AI676" s="1">
        <f>VLOOKUP(E676,Lookup_Tables!$A$3:$B$5,2,)</f>
        <v>6281.2528616024974</v>
      </c>
      <c r="AJ676" t="str">
        <f t="shared" si="42"/>
        <v>Above salary</v>
      </c>
      <c r="AK676" t="str">
        <f t="shared" si="43"/>
        <v>High Risk</v>
      </c>
    </row>
    <row r="677" spans="1:37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46</v>
      </c>
      <c r="L677">
        <v>41</v>
      </c>
      <c r="M677">
        <v>2</v>
      </c>
      <c r="N677">
        <v>1</v>
      </c>
      <c r="O677" t="s">
        <v>57</v>
      </c>
      <c r="P677">
        <v>3</v>
      </c>
      <c r="Q677" t="s">
        <v>48</v>
      </c>
      <c r="R677" s="3">
        <v>2329</v>
      </c>
      <c r="S677">
        <v>11737</v>
      </c>
      <c r="T677">
        <v>3</v>
      </c>
      <c r="U677" t="s">
        <v>43</v>
      </c>
      <c r="V677" s="2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tr">
        <f t="shared" si="40"/>
        <v>26-35</v>
      </c>
      <c r="AH677" t="str">
        <f t="shared" si="41"/>
        <v>Low</v>
      </c>
      <c r="AI677" s="1">
        <f>VLOOKUP(E677,Lookup_Tables!$A$3:$B$5,2,)</f>
        <v>6959.17264573991</v>
      </c>
      <c r="AJ677" t="str">
        <f t="shared" si="42"/>
        <v>Below salary</v>
      </c>
      <c r="AK677" t="str">
        <f t="shared" si="43"/>
        <v>Low Risk</v>
      </c>
    </row>
    <row r="678" spans="1:37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51</v>
      </c>
      <c r="M678">
        <v>3</v>
      </c>
      <c r="N678">
        <v>2</v>
      </c>
      <c r="O678" t="s">
        <v>54</v>
      </c>
      <c r="P678">
        <v>4</v>
      </c>
      <c r="Q678" t="s">
        <v>48</v>
      </c>
      <c r="R678" s="3">
        <v>4014</v>
      </c>
      <c r="S678">
        <v>19170</v>
      </c>
      <c r="T678">
        <v>1</v>
      </c>
      <c r="U678" t="s">
        <v>35</v>
      </c>
      <c r="V678" s="2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tr">
        <f t="shared" si="40"/>
        <v>26-35</v>
      </c>
      <c r="AH678" t="str">
        <f t="shared" si="41"/>
        <v>Mid</v>
      </c>
      <c r="AI678" s="1">
        <f>VLOOKUP(E678,Lookup_Tables!$A$3:$B$5,2,)</f>
        <v>6281.2528616024974</v>
      </c>
      <c r="AJ678" t="str">
        <f t="shared" si="42"/>
        <v>Below salary</v>
      </c>
      <c r="AK678" t="str">
        <f t="shared" si="43"/>
        <v>Medium Risk</v>
      </c>
    </row>
    <row r="679" spans="1:37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t="s">
        <v>39</v>
      </c>
      <c r="L679">
        <v>51</v>
      </c>
      <c r="M679">
        <v>3</v>
      </c>
      <c r="N679">
        <v>3</v>
      </c>
      <c r="O679" t="s">
        <v>50</v>
      </c>
      <c r="P679">
        <v>2</v>
      </c>
      <c r="Q679" t="s">
        <v>48</v>
      </c>
      <c r="R679" s="3">
        <v>7403</v>
      </c>
      <c r="S679">
        <v>22477</v>
      </c>
      <c r="T679">
        <v>4</v>
      </c>
      <c r="U679" t="s">
        <v>43</v>
      </c>
      <c r="V679" s="2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tr">
        <f t="shared" si="40"/>
        <v>46+</v>
      </c>
      <c r="AH679" t="str">
        <f t="shared" si="41"/>
        <v>High</v>
      </c>
      <c r="AI679" s="1">
        <f>VLOOKUP(E679,Lookup_Tables!$A$3:$B$5,2,)</f>
        <v>6281.2528616024974</v>
      </c>
      <c r="AJ679" t="str">
        <f t="shared" si="42"/>
        <v>Above salary</v>
      </c>
      <c r="AK679" t="str">
        <f t="shared" si="43"/>
        <v>Medium Risk</v>
      </c>
    </row>
    <row r="680" spans="1:37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945</v>
      </c>
      <c r="J680">
        <v>4</v>
      </c>
      <c r="K680" t="s">
        <v>46</v>
      </c>
      <c r="L680">
        <v>51</v>
      </c>
      <c r="M680">
        <v>3</v>
      </c>
      <c r="N680">
        <v>1</v>
      </c>
      <c r="O680" t="s">
        <v>47</v>
      </c>
      <c r="P680">
        <v>3</v>
      </c>
      <c r="Q680" t="s">
        <v>48</v>
      </c>
      <c r="R680" s="3">
        <v>2259</v>
      </c>
      <c r="S680">
        <v>5543</v>
      </c>
      <c r="T680">
        <v>4</v>
      </c>
      <c r="U680" t="s">
        <v>43</v>
      </c>
      <c r="V680" s="2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tr">
        <f t="shared" si="40"/>
        <v>46+</v>
      </c>
      <c r="AH680" t="str">
        <f t="shared" si="41"/>
        <v>Low</v>
      </c>
      <c r="AI680" s="1">
        <f>VLOOKUP(E680,Lookup_Tables!$A$3:$B$5,2,)</f>
        <v>6281.2528616024974</v>
      </c>
      <c r="AJ680" t="str">
        <f t="shared" si="42"/>
        <v>Below salary</v>
      </c>
      <c r="AK680" t="str">
        <f t="shared" si="43"/>
        <v>Low Risk</v>
      </c>
    </row>
    <row r="681" spans="1:37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947</v>
      </c>
      <c r="J681">
        <v>4</v>
      </c>
      <c r="K681" t="s">
        <v>39</v>
      </c>
      <c r="L681">
        <v>45</v>
      </c>
      <c r="M681">
        <v>3</v>
      </c>
      <c r="N681">
        <v>2</v>
      </c>
      <c r="O681" t="s">
        <v>40</v>
      </c>
      <c r="P681">
        <v>3</v>
      </c>
      <c r="Q681" t="s">
        <v>48</v>
      </c>
      <c r="R681" s="3">
        <v>6932</v>
      </c>
      <c r="S681">
        <v>24406</v>
      </c>
      <c r="T681">
        <v>1</v>
      </c>
      <c r="U681" t="s">
        <v>43</v>
      </c>
      <c r="V681" s="2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tr">
        <f t="shared" si="40"/>
        <v>26-35</v>
      </c>
      <c r="AH681" t="str">
        <f t="shared" si="41"/>
        <v>Mid</v>
      </c>
      <c r="AI681" s="1">
        <f>VLOOKUP(E681,Lookup_Tables!$A$3:$B$5,2,)</f>
        <v>6959.17264573991</v>
      </c>
      <c r="AJ681" t="str">
        <f t="shared" si="42"/>
        <v>Below salary</v>
      </c>
      <c r="AK681" t="str">
        <f t="shared" si="43"/>
        <v>Low Risk</v>
      </c>
    </row>
    <row r="682" spans="1:37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t="s">
        <v>46</v>
      </c>
      <c r="L682">
        <v>65</v>
      </c>
      <c r="M682">
        <v>3</v>
      </c>
      <c r="N682">
        <v>1</v>
      </c>
      <c r="O682" t="s">
        <v>47</v>
      </c>
      <c r="P682">
        <v>4</v>
      </c>
      <c r="Q682" t="s">
        <v>41</v>
      </c>
      <c r="R682" s="3">
        <v>4678</v>
      </c>
      <c r="S682">
        <v>23293</v>
      </c>
      <c r="T682">
        <v>2</v>
      </c>
      <c r="U682" t="s">
        <v>43</v>
      </c>
      <c r="V682" s="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tr">
        <f t="shared" si="40"/>
        <v>36-45</v>
      </c>
      <c r="AH682" t="str">
        <f t="shared" si="41"/>
        <v>Mid</v>
      </c>
      <c r="AI682" s="1">
        <f>VLOOKUP(E682,Lookup_Tables!$A$3:$B$5,2,)</f>
        <v>6281.2528616024974</v>
      </c>
      <c r="AJ682" t="str">
        <f t="shared" si="42"/>
        <v>Below salary</v>
      </c>
      <c r="AK682" t="str">
        <f t="shared" si="43"/>
        <v>Low Risk</v>
      </c>
    </row>
    <row r="683" spans="1:37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950</v>
      </c>
      <c r="J683">
        <v>4</v>
      </c>
      <c r="K683" t="s">
        <v>39</v>
      </c>
      <c r="L683">
        <v>80</v>
      </c>
      <c r="M683">
        <v>3</v>
      </c>
      <c r="N683">
        <v>3</v>
      </c>
      <c r="O683" t="s">
        <v>58</v>
      </c>
      <c r="P683">
        <v>1</v>
      </c>
      <c r="Q683" t="s">
        <v>48</v>
      </c>
      <c r="R683" s="3">
        <v>13582</v>
      </c>
      <c r="S683">
        <v>16292</v>
      </c>
      <c r="T683">
        <v>1</v>
      </c>
      <c r="U683" t="s">
        <v>43</v>
      </c>
      <c r="V683" s="2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tr">
        <f t="shared" si="40"/>
        <v>36-45</v>
      </c>
      <c r="AH683" t="str">
        <f t="shared" si="41"/>
        <v>Very High</v>
      </c>
      <c r="AI683" s="1">
        <f>VLOOKUP(E683,Lookup_Tables!$A$3:$B$5,2,)</f>
        <v>6281.2528616024974</v>
      </c>
      <c r="AJ683" t="str">
        <f t="shared" si="42"/>
        <v>Above salary</v>
      </c>
      <c r="AK683" t="str">
        <f t="shared" si="43"/>
        <v>Medium Risk</v>
      </c>
    </row>
    <row r="684" spans="1:37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70</v>
      </c>
      <c r="M684">
        <v>2</v>
      </c>
      <c r="N684">
        <v>1</v>
      </c>
      <c r="O684" t="s">
        <v>50</v>
      </c>
      <c r="P684">
        <v>2</v>
      </c>
      <c r="Q684" t="s">
        <v>48</v>
      </c>
      <c r="R684" s="3">
        <v>2332</v>
      </c>
      <c r="S684">
        <v>3974</v>
      </c>
      <c r="T684">
        <v>6</v>
      </c>
      <c r="U684" t="s">
        <v>43</v>
      </c>
      <c r="V684" s="2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tr">
        <f t="shared" si="40"/>
        <v>26-35</v>
      </c>
      <c r="AH684" t="str">
        <f t="shared" si="41"/>
        <v>Low</v>
      </c>
      <c r="AI684" s="1">
        <f>VLOOKUP(E684,Lookup_Tables!$A$3:$B$5,2,)</f>
        <v>6281.2528616024974</v>
      </c>
      <c r="AJ684" t="str">
        <f t="shared" si="42"/>
        <v>Below salary</v>
      </c>
      <c r="AK684" t="str">
        <f t="shared" si="43"/>
        <v>Medium Risk</v>
      </c>
    </row>
    <row r="685" spans="1:37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952</v>
      </c>
      <c r="J685">
        <v>3</v>
      </c>
      <c r="K685" t="s">
        <v>46</v>
      </c>
      <c r="L685">
        <v>36</v>
      </c>
      <c r="M685">
        <v>2</v>
      </c>
      <c r="N685">
        <v>1</v>
      </c>
      <c r="O685" t="s">
        <v>57</v>
      </c>
      <c r="P685">
        <v>2</v>
      </c>
      <c r="Q685" t="s">
        <v>48</v>
      </c>
      <c r="R685" s="3">
        <v>2413</v>
      </c>
      <c r="S685">
        <v>18798</v>
      </c>
      <c r="T685">
        <v>1</v>
      </c>
      <c r="U685" t="s">
        <v>35</v>
      </c>
      <c r="V685" s="2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tr">
        <f t="shared" si="40"/>
        <v>18-25</v>
      </c>
      <c r="AH685" t="str">
        <f t="shared" si="41"/>
        <v>Low</v>
      </c>
      <c r="AI685" s="1">
        <f>VLOOKUP(E685,Lookup_Tables!$A$3:$B$5,2,)</f>
        <v>6959.17264573991</v>
      </c>
      <c r="AJ685" t="str">
        <f t="shared" si="42"/>
        <v>Below salary</v>
      </c>
      <c r="AK685" t="str">
        <f t="shared" si="43"/>
        <v>High Risk</v>
      </c>
    </row>
    <row r="686" spans="1:37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954</v>
      </c>
      <c r="J686">
        <v>1</v>
      </c>
      <c r="K686" t="s">
        <v>46</v>
      </c>
      <c r="L686">
        <v>67</v>
      </c>
      <c r="M686">
        <v>2</v>
      </c>
      <c r="N686">
        <v>3</v>
      </c>
      <c r="O686" t="s">
        <v>40</v>
      </c>
      <c r="P686">
        <v>2</v>
      </c>
      <c r="Q686" t="s">
        <v>52</v>
      </c>
      <c r="R686" s="3">
        <v>9705</v>
      </c>
      <c r="S686">
        <v>20652</v>
      </c>
      <c r="T686">
        <v>2</v>
      </c>
      <c r="U686" t="s">
        <v>43</v>
      </c>
      <c r="V686" s="2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tr">
        <f t="shared" si="40"/>
        <v>36-45</v>
      </c>
      <c r="AH686" t="str">
        <f t="shared" si="41"/>
        <v>High</v>
      </c>
      <c r="AI686" s="1">
        <f>VLOOKUP(E686,Lookup_Tables!$A$3:$B$5,2,)</f>
        <v>6959.17264573991</v>
      </c>
      <c r="AJ686" t="str">
        <f t="shared" si="42"/>
        <v>Above salary</v>
      </c>
      <c r="AK686" t="str">
        <f t="shared" si="43"/>
        <v>Medium Risk</v>
      </c>
    </row>
    <row r="687" spans="1:37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956</v>
      </c>
      <c r="J687">
        <v>3</v>
      </c>
      <c r="K687" t="s">
        <v>46</v>
      </c>
      <c r="L687">
        <v>52</v>
      </c>
      <c r="M687">
        <v>2</v>
      </c>
      <c r="N687">
        <v>2</v>
      </c>
      <c r="O687" t="s">
        <v>40</v>
      </c>
      <c r="P687">
        <v>1</v>
      </c>
      <c r="Q687" t="s">
        <v>41</v>
      </c>
      <c r="R687" s="3">
        <v>4294</v>
      </c>
      <c r="S687">
        <v>11148</v>
      </c>
      <c r="T687">
        <v>1</v>
      </c>
      <c r="U687" t="s">
        <v>43</v>
      </c>
      <c r="V687" s="2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tr">
        <f t="shared" si="40"/>
        <v>26-35</v>
      </c>
      <c r="AH687" t="str">
        <f t="shared" si="41"/>
        <v>Mid</v>
      </c>
      <c r="AI687" s="1">
        <f>VLOOKUP(E687,Lookup_Tables!$A$3:$B$5,2,)</f>
        <v>6959.17264573991</v>
      </c>
      <c r="AJ687" t="str">
        <f t="shared" si="42"/>
        <v>Below salary</v>
      </c>
      <c r="AK687" t="str">
        <f t="shared" si="43"/>
        <v>Medium Risk</v>
      </c>
    </row>
    <row r="688" spans="1:37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957</v>
      </c>
      <c r="J688">
        <v>4</v>
      </c>
      <c r="K688" t="s">
        <v>46</v>
      </c>
      <c r="L688">
        <v>59</v>
      </c>
      <c r="M688">
        <v>3</v>
      </c>
      <c r="N688">
        <v>1</v>
      </c>
      <c r="O688" t="s">
        <v>50</v>
      </c>
      <c r="P688">
        <v>1</v>
      </c>
      <c r="Q688" t="s">
        <v>41</v>
      </c>
      <c r="R688" s="3">
        <v>4721</v>
      </c>
      <c r="S688">
        <v>3119</v>
      </c>
      <c r="T688">
        <v>2</v>
      </c>
      <c r="U688" t="s">
        <v>35</v>
      </c>
      <c r="V688" s="2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tr">
        <f t="shared" si="40"/>
        <v>36-45</v>
      </c>
      <c r="AH688" t="str">
        <f t="shared" si="41"/>
        <v>Mid</v>
      </c>
      <c r="AI688" s="1">
        <f>VLOOKUP(E688,Lookup_Tables!$A$3:$B$5,2,)</f>
        <v>6281.2528616024974</v>
      </c>
      <c r="AJ688" t="str">
        <f t="shared" si="42"/>
        <v>Below salary</v>
      </c>
      <c r="AK688" t="str">
        <f t="shared" si="43"/>
        <v>High Risk</v>
      </c>
    </row>
    <row r="689" spans="1:37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958</v>
      </c>
      <c r="J689">
        <v>3</v>
      </c>
      <c r="K689" t="s">
        <v>46</v>
      </c>
      <c r="L689">
        <v>79</v>
      </c>
      <c r="M689">
        <v>3</v>
      </c>
      <c r="N689">
        <v>1</v>
      </c>
      <c r="O689" t="s">
        <v>50</v>
      </c>
      <c r="P689">
        <v>3</v>
      </c>
      <c r="Q689" t="s">
        <v>41</v>
      </c>
      <c r="R689" s="3">
        <v>2519</v>
      </c>
      <c r="S689">
        <v>12287</v>
      </c>
      <c r="T689">
        <v>4</v>
      </c>
      <c r="U689" t="s">
        <v>43</v>
      </c>
      <c r="V689" s="2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tr">
        <f t="shared" si="40"/>
        <v>36-45</v>
      </c>
      <c r="AH689" t="str">
        <f t="shared" si="41"/>
        <v>Low</v>
      </c>
      <c r="AI689" s="1">
        <f>VLOOKUP(E689,Lookup_Tables!$A$3:$B$5,2,)</f>
        <v>6281.2528616024974</v>
      </c>
      <c r="AJ689" t="str">
        <f t="shared" si="42"/>
        <v>Below salary</v>
      </c>
      <c r="AK689" t="str">
        <f t="shared" si="43"/>
        <v>Low Risk</v>
      </c>
    </row>
    <row r="690" spans="1:37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959</v>
      </c>
      <c r="J690">
        <v>4</v>
      </c>
      <c r="K690" t="s">
        <v>46</v>
      </c>
      <c r="L690">
        <v>37</v>
      </c>
      <c r="M690">
        <v>2</v>
      </c>
      <c r="N690">
        <v>1</v>
      </c>
      <c r="O690" t="s">
        <v>57</v>
      </c>
      <c r="P690">
        <v>2</v>
      </c>
      <c r="Q690" t="s">
        <v>41</v>
      </c>
      <c r="R690" s="3">
        <v>2121</v>
      </c>
      <c r="S690">
        <v>9947</v>
      </c>
      <c r="T690">
        <v>1</v>
      </c>
      <c r="U690" t="s">
        <v>35</v>
      </c>
      <c r="V690" s="2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tr">
        <f t="shared" si="40"/>
        <v>18-25</v>
      </c>
      <c r="AH690" t="str">
        <f t="shared" si="41"/>
        <v>Low</v>
      </c>
      <c r="AI690" s="1">
        <f>VLOOKUP(E690,Lookup_Tables!$A$3:$B$5,2,)</f>
        <v>6959.17264573991</v>
      </c>
      <c r="AJ690" t="str">
        <f t="shared" si="42"/>
        <v>Below salary</v>
      </c>
      <c r="AK690" t="str">
        <f t="shared" si="43"/>
        <v>High Risk</v>
      </c>
    </row>
    <row r="691" spans="1:37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960</v>
      </c>
      <c r="J691">
        <v>1</v>
      </c>
      <c r="K691" t="s">
        <v>46</v>
      </c>
      <c r="L691">
        <v>84</v>
      </c>
      <c r="M691">
        <v>3</v>
      </c>
      <c r="N691">
        <v>1</v>
      </c>
      <c r="O691" t="s">
        <v>50</v>
      </c>
      <c r="P691">
        <v>1</v>
      </c>
      <c r="Q691" t="s">
        <v>41</v>
      </c>
      <c r="R691" s="3">
        <v>2973</v>
      </c>
      <c r="S691">
        <v>13008</v>
      </c>
      <c r="T691">
        <v>1</v>
      </c>
      <c r="U691" t="s">
        <v>43</v>
      </c>
      <c r="V691" s="2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tr">
        <f t="shared" si="40"/>
        <v>18-25</v>
      </c>
      <c r="AH691" t="str">
        <f t="shared" si="41"/>
        <v>Low</v>
      </c>
      <c r="AI691" s="1">
        <f>VLOOKUP(E691,Lookup_Tables!$A$3:$B$5,2,)</f>
        <v>6281.2528616024974</v>
      </c>
      <c r="AJ691" t="str">
        <f t="shared" si="42"/>
        <v>Below salary</v>
      </c>
      <c r="AK691" t="str">
        <f t="shared" si="43"/>
        <v>Medium Risk</v>
      </c>
    </row>
    <row r="692" spans="1:37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961</v>
      </c>
      <c r="J692">
        <v>4</v>
      </c>
      <c r="K692" t="s">
        <v>39</v>
      </c>
      <c r="L692">
        <v>41</v>
      </c>
      <c r="M692">
        <v>3</v>
      </c>
      <c r="N692">
        <v>2</v>
      </c>
      <c r="O692" t="s">
        <v>54</v>
      </c>
      <c r="P692">
        <v>4</v>
      </c>
      <c r="Q692" t="s">
        <v>48</v>
      </c>
      <c r="R692" s="3">
        <v>5855</v>
      </c>
      <c r="S692">
        <v>17369</v>
      </c>
      <c r="T692">
        <v>0</v>
      </c>
      <c r="U692" t="s">
        <v>35</v>
      </c>
      <c r="V692" s="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tr">
        <f t="shared" si="40"/>
        <v>26-35</v>
      </c>
      <c r="AH692" t="str">
        <f t="shared" si="41"/>
        <v>Mid</v>
      </c>
      <c r="AI692" s="1">
        <f>VLOOKUP(E692,Lookup_Tables!$A$3:$B$5,2,)</f>
        <v>6281.2528616024974</v>
      </c>
      <c r="AJ692" t="str">
        <f t="shared" si="42"/>
        <v>Below salary</v>
      </c>
      <c r="AK692" t="str">
        <f t="shared" si="43"/>
        <v>Medium Risk</v>
      </c>
    </row>
    <row r="693" spans="1:37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964</v>
      </c>
      <c r="J693">
        <v>4</v>
      </c>
      <c r="K693" t="s">
        <v>46</v>
      </c>
      <c r="L693">
        <v>35</v>
      </c>
      <c r="M693">
        <v>3</v>
      </c>
      <c r="N693">
        <v>1</v>
      </c>
      <c r="O693" t="s">
        <v>47</v>
      </c>
      <c r="P693">
        <v>2</v>
      </c>
      <c r="Q693" t="s">
        <v>52</v>
      </c>
      <c r="R693" s="3">
        <v>3617</v>
      </c>
      <c r="S693">
        <v>25063</v>
      </c>
      <c r="T693">
        <v>8</v>
      </c>
      <c r="U693" t="s">
        <v>35</v>
      </c>
      <c r="V693" s="2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tr">
        <f t="shared" si="40"/>
        <v>36-45</v>
      </c>
      <c r="AH693" t="str">
        <f t="shared" si="41"/>
        <v>Mid</v>
      </c>
      <c r="AI693" s="1">
        <f>VLOOKUP(E693,Lookup_Tables!$A$3:$B$5,2,)</f>
        <v>6281.2528616024974</v>
      </c>
      <c r="AJ693" t="str">
        <f t="shared" si="42"/>
        <v>Below salary</v>
      </c>
      <c r="AK693" t="str">
        <f t="shared" si="43"/>
        <v>High Risk</v>
      </c>
    </row>
    <row r="694" spans="1:37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966</v>
      </c>
      <c r="J694">
        <v>3</v>
      </c>
      <c r="K694" t="s">
        <v>39</v>
      </c>
      <c r="L694">
        <v>93</v>
      </c>
      <c r="M694">
        <v>3</v>
      </c>
      <c r="N694">
        <v>2</v>
      </c>
      <c r="O694" t="s">
        <v>53</v>
      </c>
      <c r="P694">
        <v>1</v>
      </c>
      <c r="Q694" t="s">
        <v>48</v>
      </c>
      <c r="R694" s="3">
        <v>6725</v>
      </c>
      <c r="S694">
        <v>13554</v>
      </c>
      <c r="T694">
        <v>1</v>
      </c>
      <c r="U694" t="s">
        <v>43</v>
      </c>
      <c r="V694" s="2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tr">
        <f t="shared" si="40"/>
        <v>26-35</v>
      </c>
      <c r="AH694" t="str">
        <f t="shared" si="41"/>
        <v>Mid</v>
      </c>
      <c r="AI694" s="1">
        <f>VLOOKUP(E694,Lookup_Tables!$A$3:$B$5,2,)</f>
        <v>6281.2528616024974</v>
      </c>
      <c r="AJ694" t="str">
        <f t="shared" si="42"/>
        <v>Above salary</v>
      </c>
      <c r="AK694" t="str">
        <f t="shared" si="43"/>
        <v>Medium Risk</v>
      </c>
    </row>
    <row r="695" spans="1:37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46</v>
      </c>
      <c r="L695">
        <v>51</v>
      </c>
      <c r="M695">
        <v>2</v>
      </c>
      <c r="N695">
        <v>3</v>
      </c>
      <c r="O695" t="s">
        <v>40</v>
      </c>
      <c r="P695">
        <v>4</v>
      </c>
      <c r="Q695" t="s">
        <v>48</v>
      </c>
      <c r="R695" s="3">
        <v>10325</v>
      </c>
      <c r="S695">
        <v>5518</v>
      </c>
      <c r="T695">
        <v>1</v>
      </c>
      <c r="U695" t="s">
        <v>35</v>
      </c>
      <c r="V695" s="2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tr">
        <f t="shared" si="40"/>
        <v>36-45</v>
      </c>
      <c r="AH695" t="str">
        <f t="shared" si="41"/>
        <v>High</v>
      </c>
      <c r="AI695" s="1">
        <f>VLOOKUP(E695,Lookup_Tables!$A$3:$B$5,2,)</f>
        <v>6959.17264573991</v>
      </c>
      <c r="AJ695" t="str">
        <f t="shared" si="42"/>
        <v>Above salary</v>
      </c>
      <c r="AK695" t="str">
        <f t="shared" si="43"/>
        <v>Medium Risk</v>
      </c>
    </row>
    <row r="696" spans="1:37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42</v>
      </c>
      <c r="M696">
        <v>2</v>
      </c>
      <c r="N696">
        <v>2</v>
      </c>
      <c r="O696" t="s">
        <v>54</v>
      </c>
      <c r="P696">
        <v>4</v>
      </c>
      <c r="Q696" t="s">
        <v>41</v>
      </c>
      <c r="R696" s="3">
        <v>6949</v>
      </c>
      <c r="S696">
        <v>12291</v>
      </c>
      <c r="T696">
        <v>0</v>
      </c>
      <c r="U696" t="s">
        <v>43</v>
      </c>
      <c r="V696" s="2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tr">
        <f t="shared" si="40"/>
        <v>26-35</v>
      </c>
      <c r="AH696" t="str">
        <f t="shared" si="41"/>
        <v>Mid</v>
      </c>
      <c r="AI696" s="1">
        <f>VLOOKUP(E696,Lookup_Tables!$A$3:$B$5,2,)</f>
        <v>6281.2528616024974</v>
      </c>
      <c r="AJ696" t="str">
        <f t="shared" si="42"/>
        <v>Above salary</v>
      </c>
      <c r="AK696" t="str">
        <f t="shared" si="43"/>
        <v>Low Risk</v>
      </c>
    </row>
    <row r="697" spans="1:37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46</v>
      </c>
      <c r="L697">
        <v>46</v>
      </c>
      <c r="M697">
        <v>2</v>
      </c>
      <c r="N697">
        <v>3</v>
      </c>
      <c r="O697" t="s">
        <v>40</v>
      </c>
      <c r="P697">
        <v>3</v>
      </c>
      <c r="Q697" t="s">
        <v>48</v>
      </c>
      <c r="R697" s="3">
        <v>10609</v>
      </c>
      <c r="S697">
        <v>14922</v>
      </c>
      <c r="T697">
        <v>5</v>
      </c>
      <c r="U697" t="s">
        <v>43</v>
      </c>
      <c r="V697" s="2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tr">
        <f t="shared" si="40"/>
        <v>36-45</v>
      </c>
      <c r="AH697" t="str">
        <f t="shared" si="41"/>
        <v>High</v>
      </c>
      <c r="AI697" s="1">
        <f>VLOOKUP(E697,Lookup_Tables!$A$3:$B$5,2,)</f>
        <v>6959.17264573991</v>
      </c>
      <c r="AJ697" t="str">
        <f t="shared" si="42"/>
        <v>Above salary</v>
      </c>
      <c r="AK697" t="str">
        <f t="shared" si="43"/>
        <v>Low Risk</v>
      </c>
    </row>
    <row r="698" spans="1:37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46</v>
      </c>
      <c r="L698">
        <v>57</v>
      </c>
      <c r="M698">
        <v>3</v>
      </c>
      <c r="N698">
        <v>2</v>
      </c>
      <c r="O698" t="s">
        <v>50</v>
      </c>
      <c r="P698">
        <v>2</v>
      </c>
      <c r="Q698" t="s">
        <v>48</v>
      </c>
      <c r="R698" s="3">
        <v>4447</v>
      </c>
      <c r="S698">
        <v>23163</v>
      </c>
      <c r="T698">
        <v>1</v>
      </c>
      <c r="U698" t="s">
        <v>43</v>
      </c>
      <c r="V698" s="2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tr">
        <f t="shared" si="40"/>
        <v>36-45</v>
      </c>
      <c r="AH698" t="str">
        <f t="shared" si="41"/>
        <v>Mid</v>
      </c>
      <c r="AI698" s="1">
        <f>VLOOKUP(E698,Lookup_Tables!$A$3:$B$5,2,)</f>
        <v>6281.2528616024974</v>
      </c>
      <c r="AJ698" t="str">
        <f t="shared" si="42"/>
        <v>Below salary</v>
      </c>
      <c r="AK698" t="str">
        <f t="shared" si="43"/>
        <v>Medium Risk</v>
      </c>
    </row>
    <row r="699" spans="1:37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974</v>
      </c>
      <c r="J699">
        <v>3</v>
      </c>
      <c r="K699" t="s">
        <v>39</v>
      </c>
      <c r="L699">
        <v>84</v>
      </c>
      <c r="M699">
        <v>3</v>
      </c>
      <c r="N699">
        <v>1</v>
      </c>
      <c r="O699" t="s">
        <v>57</v>
      </c>
      <c r="P699">
        <v>4</v>
      </c>
      <c r="Q699" t="s">
        <v>48</v>
      </c>
      <c r="R699" s="3">
        <v>2157</v>
      </c>
      <c r="S699">
        <v>18203</v>
      </c>
      <c r="T699">
        <v>1</v>
      </c>
      <c r="U699" t="s">
        <v>43</v>
      </c>
      <c r="V699" s="2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tr">
        <f t="shared" si="40"/>
        <v>26-35</v>
      </c>
      <c r="AH699" t="str">
        <f t="shared" si="41"/>
        <v>Low</v>
      </c>
      <c r="AI699" s="1">
        <f>VLOOKUP(E699,Lookup_Tables!$A$3:$B$5,2,)</f>
        <v>6959.17264573991</v>
      </c>
      <c r="AJ699" t="str">
        <f t="shared" si="42"/>
        <v>Below salary</v>
      </c>
      <c r="AK699" t="str">
        <f t="shared" si="43"/>
        <v>Low Risk</v>
      </c>
    </row>
    <row r="700" spans="1:37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975</v>
      </c>
      <c r="J700">
        <v>3</v>
      </c>
      <c r="K700" t="s">
        <v>39</v>
      </c>
      <c r="L700">
        <v>86</v>
      </c>
      <c r="M700">
        <v>3</v>
      </c>
      <c r="N700">
        <v>2</v>
      </c>
      <c r="O700" t="s">
        <v>40</v>
      </c>
      <c r="P700">
        <v>3</v>
      </c>
      <c r="Q700" t="s">
        <v>48</v>
      </c>
      <c r="R700" s="3">
        <v>4601</v>
      </c>
      <c r="S700">
        <v>6179</v>
      </c>
      <c r="T700">
        <v>1</v>
      </c>
      <c r="U700" t="s">
        <v>43</v>
      </c>
      <c r="V700" s="2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tr">
        <f t="shared" si="40"/>
        <v>26-35</v>
      </c>
      <c r="AH700" t="str">
        <f t="shared" si="41"/>
        <v>Mid</v>
      </c>
      <c r="AI700" s="1">
        <f>VLOOKUP(E700,Lookup_Tables!$A$3:$B$5,2,)</f>
        <v>6959.17264573991</v>
      </c>
      <c r="AJ700" t="str">
        <f t="shared" si="42"/>
        <v>Below salary</v>
      </c>
      <c r="AK700" t="str">
        <f t="shared" si="43"/>
        <v>Low Risk</v>
      </c>
    </row>
    <row r="701" spans="1:37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46</v>
      </c>
      <c r="L701">
        <v>70</v>
      </c>
      <c r="M701">
        <v>3</v>
      </c>
      <c r="N701">
        <v>4</v>
      </c>
      <c r="O701" t="s">
        <v>56</v>
      </c>
      <c r="P701">
        <v>4</v>
      </c>
      <c r="Q701" t="s">
        <v>48</v>
      </c>
      <c r="R701" s="3">
        <v>17099</v>
      </c>
      <c r="S701">
        <v>13829</v>
      </c>
      <c r="T701">
        <v>2</v>
      </c>
      <c r="U701" t="s">
        <v>43</v>
      </c>
      <c r="V701" s="2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tr">
        <f t="shared" si="40"/>
        <v>46+</v>
      </c>
      <c r="AH701" t="str">
        <f t="shared" si="41"/>
        <v>Very High</v>
      </c>
      <c r="AI701" s="1">
        <f>VLOOKUP(E701,Lookup_Tables!$A$3:$B$5,2,)</f>
        <v>6281.2528616024974</v>
      </c>
      <c r="AJ701" t="str">
        <f t="shared" si="42"/>
        <v>Above salary</v>
      </c>
      <c r="AK701" t="str">
        <f t="shared" si="43"/>
        <v>Low Risk</v>
      </c>
    </row>
    <row r="702" spans="1:37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977</v>
      </c>
      <c r="J702">
        <v>4</v>
      </c>
      <c r="K702" t="s">
        <v>46</v>
      </c>
      <c r="L702">
        <v>51</v>
      </c>
      <c r="M702">
        <v>3</v>
      </c>
      <c r="N702">
        <v>1</v>
      </c>
      <c r="O702" t="s">
        <v>47</v>
      </c>
      <c r="P702">
        <v>3</v>
      </c>
      <c r="Q702" t="s">
        <v>41</v>
      </c>
      <c r="R702" s="3">
        <v>2479</v>
      </c>
      <c r="S702">
        <v>26227</v>
      </c>
      <c r="T702">
        <v>4</v>
      </c>
      <c r="U702" t="s">
        <v>43</v>
      </c>
      <c r="V702" s="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tr">
        <f t="shared" si="40"/>
        <v>46+</v>
      </c>
      <c r="AH702" t="str">
        <f t="shared" si="41"/>
        <v>Low</v>
      </c>
      <c r="AI702" s="1">
        <f>VLOOKUP(E702,Lookup_Tables!$A$3:$B$5,2,)</f>
        <v>6281.2528616024974</v>
      </c>
      <c r="AJ702" t="str">
        <f t="shared" si="42"/>
        <v>Below salary</v>
      </c>
      <c r="AK702" t="str">
        <f t="shared" si="43"/>
        <v>Low Risk</v>
      </c>
    </row>
    <row r="703" spans="1:37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981</v>
      </c>
      <c r="J703">
        <v>3</v>
      </c>
      <c r="K703" t="s">
        <v>46</v>
      </c>
      <c r="L703">
        <v>45</v>
      </c>
      <c r="M703">
        <v>3</v>
      </c>
      <c r="N703">
        <v>4</v>
      </c>
      <c r="O703" t="s">
        <v>56</v>
      </c>
      <c r="P703">
        <v>3</v>
      </c>
      <c r="Q703" t="s">
        <v>52</v>
      </c>
      <c r="R703" s="3">
        <v>14852</v>
      </c>
      <c r="S703">
        <v>13938</v>
      </c>
      <c r="T703">
        <v>6</v>
      </c>
      <c r="U703" t="s">
        <v>43</v>
      </c>
      <c r="V703" s="2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tr">
        <f t="shared" si="40"/>
        <v>46+</v>
      </c>
      <c r="AH703" t="str">
        <f t="shared" si="41"/>
        <v>Very High</v>
      </c>
      <c r="AI703" s="1">
        <f>VLOOKUP(E703,Lookup_Tables!$A$3:$B$5,2,)</f>
        <v>6959.17264573991</v>
      </c>
      <c r="AJ703" t="str">
        <f t="shared" si="42"/>
        <v>Above salary</v>
      </c>
      <c r="AK703" t="str">
        <f t="shared" si="43"/>
        <v>Low Risk</v>
      </c>
    </row>
    <row r="704" spans="1:37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982</v>
      </c>
      <c r="J704">
        <v>3</v>
      </c>
      <c r="K704" t="s">
        <v>46</v>
      </c>
      <c r="L704">
        <v>62</v>
      </c>
      <c r="M704">
        <v>3</v>
      </c>
      <c r="N704">
        <v>3</v>
      </c>
      <c r="O704" t="s">
        <v>40</v>
      </c>
      <c r="P704">
        <v>3</v>
      </c>
      <c r="Q704" t="s">
        <v>52</v>
      </c>
      <c r="R704" s="3">
        <v>7264</v>
      </c>
      <c r="S704">
        <v>9977</v>
      </c>
      <c r="T704">
        <v>5</v>
      </c>
      <c r="U704" t="s">
        <v>43</v>
      </c>
      <c r="V704" s="2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tr">
        <f t="shared" si="40"/>
        <v>26-35</v>
      </c>
      <c r="AH704" t="str">
        <f t="shared" si="41"/>
        <v>High</v>
      </c>
      <c r="AI704" s="1">
        <f>VLOOKUP(E704,Lookup_Tables!$A$3:$B$5,2,)</f>
        <v>6959.17264573991</v>
      </c>
      <c r="AJ704" t="str">
        <f t="shared" si="42"/>
        <v>Above salary</v>
      </c>
      <c r="AK704" t="str">
        <f t="shared" si="43"/>
        <v>Low Risk</v>
      </c>
    </row>
    <row r="705" spans="1:37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983</v>
      </c>
      <c r="J705">
        <v>3</v>
      </c>
      <c r="K705" t="s">
        <v>39</v>
      </c>
      <c r="L705">
        <v>85</v>
      </c>
      <c r="M705">
        <v>3</v>
      </c>
      <c r="N705">
        <v>2</v>
      </c>
      <c r="O705" t="s">
        <v>40</v>
      </c>
      <c r="P705">
        <v>4</v>
      </c>
      <c r="Q705" t="s">
        <v>41</v>
      </c>
      <c r="R705" s="3">
        <v>5666</v>
      </c>
      <c r="S705">
        <v>19899</v>
      </c>
      <c r="T705">
        <v>1</v>
      </c>
      <c r="U705" t="s">
        <v>35</v>
      </c>
      <c r="V705" s="2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tr">
        <f t="shared" si="40"/>
        <v>36-45</v>
      </c>
      <c r="AH705" t="str">
        <f t="shared" si="41"/>
        <v>Mid</v>
      </c>
      <c r="AI705" s="1">
        <f>VLOOKUP(E705,Lookup_Tables!$A$3:$B$5,2,)</f>
        <v>6959.17264573991</v>
      </c>
      <c r="AJ705" t="str">
        <f t="shared" si="42"/>
        <v>Below salary</v>
      </c>
      <c r="AK705" t="str">
        <f t="shared" si="43"/>
        <v>Medium Risk</v>
      </c>
    </row>
    <row r="706" spans="1:37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46</v>
      </c>
      <c r="L706">
        <v>92</v>
      </c>
      <c r="M706">
        <v>3</v>
      </c>
      <c r="N706">
        <v>3</v>
      </c>
      <c r="O706" t="s">
        <v>40</v>
      </c>
      <c r="P706">
        <v>4</v>
      </c>
      <c r="Q706" t="s">
        <v>52</v>
      </c>
      <c r="R706" s="3">
        <v>7823</v>
      </c>
      <c r="S706">
        <v>6812</v>
      </c>
      <c r="T706">
        <v>6</v>
      </c>
      <c r="U706" t="s">
        <v>43</v>
      </c>
      <c r="V706" s="2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tr">
        <f t="shared" ref="AG706:AG769" si="44">IF(A706&lt;=25,"18-25",IF(A706&lt;= 35, "26-35",IF(A706&lt;=45, "36-45","46+")))</f>
        <v>26-35</v>
      </c>
      <c r="AH706" t="str">
        <f t="shared" ref="AH706:AH769" si="45">IF(R706&lt;3000,"Low",IF(R706&lt;7000,"Mid", IF(R706&lt;12000, "High", "Very High")))</f>
        <v>High</v>
      </c>
      <c r="AI706" s="1">
        <f>VLOOKUP(E706,Lookup_Tables!$A$3:$B$5,2,)</f>
        <v>6959.17264573991</v>
      </c>
      <c r="AJ706" t="str">
        <f t="shared" ref="AJ706:AJ769" si="46">IF(R706&gt;AI706, "Above salary","Below salary")</f>
        <v>Above salary</v>
      </c>
      <c r="AK706" t="str">
        <f t="shared" si="43"/>
        <v>Low Risk</v>
      </c>
    </row>
    <row r="707" spans="1:37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46</v>
      </c>
      <c r="L707">
        <v>41</v>
      </c>
      <c r="M707">
        <v>4</v>
      </c>
      <c r="N707">
        <v>3</v>
      </c>
      <c r="O707" t="s">
        <v>40</v>
      </c>
      <c r="P707">
        <v>3</v>
      </c>
      <c r="Q707" t="s">
        <v>41</v>
      </c>
      <c r="R707" s="3">
        <v>7880</v>
      </c>
      <c r="S707">
        <v>2560</v>
      </c>
      <c r="T707">
        <v>0</v>
      </c>
      <c r="U707" t="s">
        <v>43</v>
      </c>
      <c r="V707" s="2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tr">
        <f t="shared" si="44"/>
        <v>36-45</v>
      </c>
      <c r="AH707" t="str">
        <f t="shared" si="45"/>
        <v>High</v>
      </c>
      <c r="AI707" s="1">
        <f>VLOOKUP(E707,Lookup_Tables!$A$3:$B$5,2,)</f>
        <v>6959.17264573991</v>
      </c>
      <c r="AJ707" t="str">
        <f t="shared" si="46"/>
        <v>Above salary</v>
      </c>
      <c r="AK707" t="str">
        <f t="shared" ref="AK707:AK770" si="47">IF(AND(P707&lt;=2,U707="Yes"),"High Risk",IF(OR(P707&lt;=2,U707="Yes"),"Medium Risk","Low Risk"))</f>
        <v>Low Risk</v>
      </c>
    </row>
    <row r="708" spans="1:37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100</v>
      </c>
      <c r="M708">
        <v>4</v>
      </c>
      <c r="N708">
        <v>4</v>
      </c>
      <c r="O708" t="s">
        <v>40</v>
      </c>
      <c r="P708">
        <v>2</v>
      </c>
      <c r="Q708" t="s">
        <v>41</v>
      </c>
      <c r="R708" s="3">
        <v>13194</v>
      </c>
      <c r="S708">
        <v>17071</v>
      </c>
      <c r="T708">
        <v>4</v>
      </c>
      <c r="U708" t="s">
        <v>35</v>
      </c>
      <c r="V708" s="2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tr">
        <f t="shared" si="44"/>
        <v>36-45</v>
      </c>
      <c r="AH708" t="str">
        <f t="shared" si="45"/>
        <v>Very High</v>
      </c>
      <c r="AI708" s="1">
        <f>VLOOKUP(E708,Lookup_Tables!$A$3:$B$5,2,)</f>
        <v>6959.17264573991</v>
      </c>
      <c r="AJ708" t="str">
        <f t="shared" si="46"/>
        <v>Above salary</v>
      </c>
      <c r="AK708" t="str">
        <f t="shared" si="47"/>
        <v>High Risk</v>
      </c>
    </row>
    <row r="709" spans="1:37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987</v>
      </c>
      <c r="J709">
        <v>3</v>
      </c>
      <c r="K709" t="s">
        <v>46</v>
      </c>
      <c r="L709">
        <v>64</v>
      </c>
      <c r="M709">
        <v>4</v>
      </c>
      <c r="N709">
        <v>2</v>
      </c>
      <c r="O709" t="s">
        <v>53</v>
      </c>
      <c r="P709">
        <v>3</v>
      </c>
      <c r="Q709" t="s">
        <v>52</v>
      </c>
      <c r="R709" s="3">
        <v>5067</v>
      </c>
      <c r="S709">
        <v>6759</v>
      </c>
      <c r="T709">
        <v>1</v>
      </c>
      <c r="U709" t="s">
        <v>35</v>
      </c>
      <c r="V709" s="2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tr">
        <f t="shared" si="44"/>
        <v>46+</v>
      </c>
      <c r="AH709" t="str">
        <f t="shared" si="45"/>
        <v>Mid</v>
      </c>
      <c r="AI709" s="1">
        <f>VLOOKUP(E709,Lookup_Tables!$A$3:$B$5,2,)</f>
        <v>6281.2528616024974</v>
      </c>
      <c r="AJ709" t="str">
        <f t="shared" si="46"/>
        <v>Below salary</v>
      </c>
      <c r="AK709" t="str">
        <f t="shared" si="47"/>
        <v>Medium Risk</v>
      </c>
    </row>
    <row r="710" spans="1:37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990</v>
      </c>
      <c r="J710">
        <v>1</v>
      </c>
      <c r="K710" t="s">
        <v>46</v>
      </c>
      <c r="L710">
        <v>84</v>
      </c>
      <c r="M710">
        <v>3</v>
      </c>
      <c r="N710">
        <v>2</v>
      </c>
      <c r="O710" t="s">
        <v>40</v>
      </c>
      <c r="P710">
        <v>4</v>
      </c>
      <c r="Q710" t="s">
        <v>52</v>
      </c>
      <c r="R710" s="3">
        <v>5079</v>
      </c>
      <c r="S710">
        <v>25952</v>
      </c>
      <c r="T710">
        <v>4</v>
      </c>
      <c r="U710" t="s">
        <v>43</v>
      </c>
      <c r="V710" s="2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tr">
        <f t="shared" si="44"/>
        <v>36-45</v>
      </c>
      <c r="AH710" t="str">
        <f t="shared" si="45"/>
        <v>Mid</v>
      </c>
      <c r="AI710" s="1">
        <f>VLOOKUP(E710,Lookup_Tables!$A$3:$B$5,2,)</f>
        <v>6959.17264573991</v>
      </c>
      <c r="AJ710" t="str">
        <f t="shared" si="46"/>
        <v>Below salary</v>
      </c>
      <c r="AK710" t="str">
        <f t="shared" si="47"/>
        <v>Low Risk</v>
      </c>
    </row>
    <row r="711" spans="1:37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991</v>
      </c>
      <c r="J711">
        <v>3</v>
      </c>
      <c r="K711" t="s">
        <v>46</v>
      </c>
      <c r="L711">
        <v>46</v>
      </c>
      <c r="M711">
        <v>2</v>
      </c>
      <c r="N711">
        <v>1</v>
      </c>
      <c r="O711" t="s">
        <v>47</v>
      </c>
      <c r="P711">
        <v>1</v>
      </c>
      <c r="Q711" t="s">
        <v>41</v>
      </c>
      <c r="R711" s="3">
        <v>2321</v>
      </c>
      <c r="S711">
        <v>10322</v>
      </c>
      <c r="T711">
        <v>0</v>
      </c>
      <c r="U711" t="s">
        <v>35</v>
      </c>
      <c r="V711" s="2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tr">
        <f t="shared" si="44"/>
        <v>26-35</v>
      </c>
      <c r="AH711" t="str">
        <f t="shared" si="45"/>
        <v>Low</v>
      </c>
      <c r="AI711" s="1">
        <f>VLOOKUP(E711,Lookup_Tables!$A$3:$B$5,2,)</f>
        <v>6281.2528616024974</v>
      </c>
      <c r="AJ711" t="str">
        <f t="shared" si="46"/>
        <v>Below salary</v>
      </c>
      <c r="AK711" t="str">
        <f t="shared" si="47"/>
        <v>High Risk</v>
      </c>
    </row>
    <row r="712" spans="1:37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46</v>
      </c>
      <c r="L712">
        <v>38</v>
      </c>
      <c r="M712">
        <v>3</v>
      </c>
      <c r="N712">
        <v>4</v>
      </c>
      <c r="O712" t="s">
        <v>56</v>
      </c>
      <c r="P712">
        <v>3</v>
      </c>
      <c r="Q712" t="s">
        <v>41</v>
      </c>
      <c r="R712" s="3">
        <v>17444</v>
      </c>
      <c r="S712">
        <v>20489</v>
      </c>
      <c r="T712">
        <v>1</v>
      </c>
      <c r="U712" t="s">
        <v>43</v>
      </c>
      <c r="V712" s="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tr">
        <f t="shared" si="44"/>
        <v>26-35</v>
      </c>
      <c r="AH712" t="str">
        <f t="shared" si="45"/>
        <v>Very High</v>
      </c>
      <c r="AI712" s="1">
        <f>VLOOKUP(E712,Lookup_Tables!$A$3:$B$5,2,)</f>
        <v>6959.17264573991</v>
      </c>
      <c r="AJ712" t="str">
        <f t="shared" si="46"/>
        <v>Above salary</v>
      </c>
      <c r="AK712" t="str">
        <f t="shared" si="47"/>
        <v>Low Risk</v>
      </c>
    </row>
    <row r="713" spans="1:37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92</v>
      </c>
      <c r="M713">
        <v>2</v>
      </c>
      <c r="N713">
        <v>1</v>
      </c>
      <c r="O713" t="s">
        <v>47</v>
      </c>
      <c r="P713">
        <v>1</v>
      </c>
      <c r="Q713" t="s">
        <v>41</v>
      </c>
      <c r="R713" s="3">
        <v>2404</v>
      </c>
      <c r="S713">
        <v>11479</v>
      </c>
      <c r="T713">
        <v>6</v>
      </c>
      <c r="U713" t="s">
        <v>35</v>
      </c>
      <c r="V713" s="2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tr">
        <f t="shared" si="44"/>
        <v>26-35</v>
      </c>
      <c r="AH713" t="str">
        <f t="shared" si="45"/>
        <v>Low</v>
      </c>
      <c r="AI713" s="1">
        <f>VLOOKUP(E713,Lookup_Tables!$A$3:$B$5,2,)</f>
        <v>6281.2528616024974</v>
      </c>
      <c r="AJ713" t="str">
        <f t="shared" si="46"/>
        <v>Below salary</v>
      </c>
      <c r="AK713" t="str">
        <f t="shared" si="47"/>
        <v>High Risk</v>
      </c>
    </row>
    <row r="714" spans="1:37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53</v>
      </c>
      <c r="M714">
        <v>3</v>
      </c>
      <c r="N714">
        <v>1</v>
      </c>
      <c r="O714" t="s">
        <v>47</v>
      </c>
      <c r="P714">
        <v>4</v>
      </c>
      <c r="Q714" t="s">
        <v>41</v>
      </c>
      <c r="R714" s="3">
        <v>3452</v>
      </c>
      <c r="S714">
        <v>17241</v>
      </c>
      <c r="T714">
        <v>3</v>
      </c>
      <c r="U714" t="s">
        <v>43</v>
      </c>
      <c r="V714" s="2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tr">
        <f t="shared" si="44"/>
        <v>26-35</v>
      </c>
      <c r="AH714" t="str">
        <f t="shared" si="45"/>
        <v>Mid</v>
      </c>
      <c r="AI714" s="1">
        <f>VLOOKUP(E714,Lookup_Tables!$A$3:$B$5,2,)</f>
        <v>6281.2528616024974</v>
      </c>
      <c r="AJ714" t="str">
        <f t="shared" si="46"/>
        <v>Below salary</v>
      </c>
      <c r="AK714" t="str">
        <f t="shared" si="47"/>
        <v>Low Risk</v>
      </c>
    </row>
    <row r="715" spans="1:37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996</v>
      </c>
      <c r="J715">
        <v>4</v>
      </c>
      <c r="K715" t="s">
        <v>39</v>
      </c>
      <c r="L715">
        <v>91</v>
      </c>
      <c r="M715">
        <v>3</v>
      </c>
      <c r="N715">
        <v>1</v>
      </c>
      <c r="O715" t="s">
        <v>50</v>
      </c>
      <c r="P715">
        <v>4</v>
      </c>
      <c r="Q715" t="s">
        <v>52</v>
      </c>
      <c r="R715" s="3">
        <v>2270</v>
      </c>
      <c r="S715">
        <v>11005</v>
      </c>
      <c r="T715">
        <v>3</v>
      </c>
      <c r="U715" t="s">
        <v>43</v>
      </c>
      <c r="V715" s="2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tr">
        <f t="shared" si="44"/>
        <v>36-45</v>
      </c>
      <c r="AH715" t="str">
        <f t="shared" si="45"/>
        <v>Low</v>
      </c>
      <c r="AI715" s="1">
        <f>VLOOKUP(E715,Lookup_Tables!$A$3:$B$5,2,)</f>
        <v>6281.2528616024974</v>
      </c>
      <c r="AJ715" t="str">
        <f t="shared" si="46"/>
        <v>Below salary</v>
      </c>
      <c r="AK715" t="str">
        <f t="shared" si="47"/>
        <v>Low Risk</v>
      </c>
    </row>
    <row r="716" spans="1:37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997</v>
      </c>
      <c r="J716">
        <v>4</v>
      </c>
      <c r="K716" t="s">
        <v>46</v>
      </c>
      <c r="L716">
        <v>66</v>
      </c>
      <c r="M716">
        <v>3</v>
      </c>
      <c r="N716">
        <v>4</v>
      </c>
      <c r="O716" t="s">
        <v>58</v>
      </c>
      <c r="P716">
        <v>4</v>
      </c>
      <c r="Q716" t="s">
        <v>52</v>
      </c>
      <c r="R716" s="3">
        <v>17399</v>
      </c>
      <c r="S716">
        <v>6615</v>
      </c>
      <c r="T716">
        <v>9</v>
      </c>
      <c r="U716" t="s">
        <v>43</v>
      </c>
      <c r="V716" s="2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tr">
        <f t="shared" si="44"/>
        <v>46+</v>
      </c>
      <c r="AH716" t="str">
        <f t="shared" si="45"/>
        <v>Very High</v>
      </c>
      <c r="AI716" s="1">
        <f>VLOOKUP(E716,Lookup_Tables!$A$3:$B$5,2,)</f>
        <v>6281.2528616024974</v>
      </c>
      <c r="AJ716" t="str">
        <f t="shared" si="46"/>
        <v>Above salary</v>
      </c>
      <c r="AK716" t="str">
        <f t="shared" si="47"/>
        <v>Low Risk</v>
      </c>
    </row>
    <row r="717" spans="1:37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t="s">
        <v>39</v>
      </c>
      <c r="L717">
        <v>84</v>
      </c>
      <c r="M717">
        <v>4</v>
      </c>
      <c r="N717">
        <v>2</v>
      </c>
      <c r="O717" t="s">
        <v>54</v>
      </c>
      <c r="P717">
        <v>2</v>
      </c>
      <c r="Q717" t="s">
        <v>48</v>
      </c>
      <c r="R717" s="3">
        <v>5488</v>
      </c>
      <c r="S717">
        <v>20161</v>
      </c>
      <c r="T717">
        <v>1</v>
      </c>
      <c r="U717" t="s">
        <v>35</v>
      </c>
      <c r="V717" s="2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tr">
        <f t="shared" si="44"/>
        <v>26-35</v>
      </c>
      <c r="AH717" t="str">
        <f t="shared" si="45"/>
        <v>Mid</v>
      </c>
      <c r="AI717" s="1">
        <f>VLOOKUP(E717,Lookup_Tables!$A$3:$B$5,2,)</f>
        <v>6281.2528616024974</v>
      </c>
      <c r="AJ717" t="str">
        <f t="shared" si="46"/>
        <v>Below salary</v>
      </c>
      <c r="AK717" t="str">
        <f t="shared" si="47"/>
        <v>High Risk</v>
      </c>
    </row>
    <row r="718" spans="1:37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999</v>
      </c>
      <c r="J718">
        <v>1</v>
      </c>
      <c r="K718" t="s">
        <v>46</v>
      </c>
      <c r="L718">
        <v>64</v>
      </c>
      <c r="M718">
        <v>3</v>
      </c>
      <c r="N718">
        <v>5</v>
      </c>
      <c r="O718" t="s">
        <v>58</v>
      </c>
      <c r="P718">
        <v>3</v>
      </c>
      <c r="Q718" t="s">
        <v>52</v>
      </c>
      <c r="R718" s="3">
        <v>19419</v>
      </c>
      <c r="S718">
        <v>3735</v>
      </c>
      <c r="T718">
        <v>2</v>
      </c>
      <c r="U718" t="s">
        <v>43</v>
      </c>
      <c r="V718" s="2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tr">
        <f t="shared" si="44"/>
        <v>36-45</v>
      </c>
      <c r="AH718" t="str">
        <f t="shared" si="45"/>
        <v>Very High</v>
      </c>
      <c r="AI718" s="1">
        <f>VLOOKUP(E718,Lookup_Tables!$A$3:$B$5,2,)</f>
        <v>6281.2528616024974</v>
      </c>
      <c r="AJ718" t="str">
        <f t="shared" si="46"/>
        <v>Above salary</v>
      </c>
      <c r="AK718" t="str">
        <f t="shared" si="47"/>
        <v>Low Risk</v>
      </c>
    </row>
    <row r="719" spans="1:37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1001</v>
      </c>
      <c r="J719">
        <v>3</v>
      </c>
      <c r="K719" t="s">
        <v>39</v>
      </c>
      <c r="L719">
        <v>37</v>
      </c>
      <c r="M719">
        <v>3</v>
      </c>
      <c r="N719">
        <v>1</v>
      </c>
      <c r="O719" t="s">
        <v>50</v>
      </c>
      <c r="P719">
        <v>2</v>
      </c>
      <c r="Q719" t="s">
        <v>48</v>
      </c>
      <c r="R719" s="3">
        <v>2811</v>
      </c>
      <c r="S719">
        <v>12086</v>
      </c>
      <c r="T719">
        <v>9</v>
      </c>
      <c r="U719" t="s">
        <v>43</v>
      </c>
      <c r="V719" s="2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tr">
        <f t="shared" si="44"/>
        <v>26-35</v>
      </c>
      <c r="AH719" t="str">
        <f t="shared" si="45"/>
        <v>Low</v>
      </c>
      <c r="AI719" s="1">
        <f>VLOOKUP(E719,Lookup_Tables!$A$3:$B$5,2,)</f>
        <v>6281.2528616024974</v>
      </c>
      <c r="AJ719" t="str">
        <f t="shared" si="46"/>
        <v>Below salary</v>
      </c>
      <c r="AK719" t="str">
        <f t="shared" si="47"/>
        <v>Medium Risk</v>
      </c>
    </row>
    <row r="720" spans="1:37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46</v>
      </c>
      <c r="L720">
        <v>42</v>
      </c>
      <c r="M720">
        <v>3</v>
      </c>
      <c r="N720">
        <v>2</v>
      </c>
      <c r="O720" t="s">
        <v>50</v>
      </c>
      <c r="P720">
        <v>1</v>
      </c>
      <c r="Q720" t="s">
        <v>48</v>
      </c>
      <c r="R720" s="3">
        <v>3633</v>
      </c>
      <c r="S720">
        <v>14039</v>
      </c>
      <c r="T720">
        <v>1</v>
      </c>
      <c r="U720" t="s">
        <v>35</v>
      </c>
      <c r="V720" s="2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tr">
        <f t="shared" si="44"/>
        <v>36-45</v>
      </c>
      <c r="AH720" t="str">
        <f t="shared" si="45"/>
        <v>Mid</v>
      </c>
      <c r="AI720" s="1">
        <f>VLOOKUP(E720,Lookup_Tables!$A$3:$B$5,2,)</f>
        <v>6281.2528616024974</v>
      </c>
      <c r="AJ720" t="str">
        <f t="shared" si="46"/>
        <v>Below salary</v>
      </c>
      <c r="AK720" t="str">
        <f t="shared" si="47"/>
        <v>High Risk</v>
      </c>
    </row>
    <row r="721" spans="1:37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83</v>
      </c>
      <c r="M721">
        <v>3</v>
      </c>
      <c r="N721">
        <v>2</v>
      </c>
      <c r="O721" t="s">
        <v>40</v>
      </c>
      <c r="P721">
        <v>4</v>
      </c>
      <c r="Q721" t="s">
        <v>41</v>
      </c>
      <c r="R721" s="3">
        <v>4163</v>
      </c>
      <c r="S721">
        <v>8571</v>
      </c>
      <c r="T721">
        <v>1</v>
      </c>
      <c r="U721" t="s">
        <v>35</v>
      </c>
      <c r="V721" s="2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tr">
        <f t="shared" si="44"/>
        <v>46+</v>
      </c>
      <c r="AH721" t="str">
        <f t="shared" si="45"/>
        <v>Mid</v>
      </c>
      <c r="AI721" s="1">
        <f>VLOOKUP(E721,Lookup_Tables!$A$3:$B$5,2,)</f>
        <v>6959.17264573991</v>
      </c>
      <c r="AJ721" t="str">
        <f t="shared" si="46"/>
        <v>Below salary</v>
      </c>
      <c r="AK721" t="str">
        <f t="shared" si="47"/>
        <v>Medium Risk</v>
      </c>
    </row>
    <row r="722" spans="1:37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48</v>
      </c>
      <c r="M722">
        <v>3</v>
      </c>
      <c r="N722">
        <v>1</v>
      </c>
      <c r="O722" t="s">
        <v>47</v>
      </c>
      <c r="P722">
        <v>3</v>
      </c>
      <c r="Q722" t="s">
        <v>48</v>
      </c>
      <c r="R722" s="3">
        <v>2132</v>
      </c>
      <c r="S722">
        <v>11539</v>
      </c>
      <c r="T722">
        <v>4</v>
      </c>
      <c r="U722" t="s">
        <v>35</v>
      </c>
      <c r="V722" s="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tr">
        <f t="shared" si="44"/>
        <v>26-35</v>
      </c>
      <c r="AH722" t="str">
        <f t="shared" si="45"/>
        <v>Low</v>
      </c>
      <c r="AI722" s="1">
        <f>VLOOKUP(E722,Lookup_Tables!$A$3:$B$5,2,)</f>
        <v>6281.2528616024974</v>
      </c>
      <c r="AJ722" t="str">
        <f t="shared" si="46"/>
        <v>Below salary</v>
      </c>
      <c r="AK722" t="str">
        <f t="shared" si="47"/>
        <v>Medium Risk</v>
      </c>
    </row>
    <row r="723" spans="1:37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46</v>
      </c>
      <c r="L723">
        <v>95</v>
      </c>
      <c r="M723">
        <v>3</v>
      </c>
      <c r="N723">
        <v>4</v>
      </c>
      <c r="O723" t="s">
        <v>53</v>
      </c>
      <c r="P723">
        <v>3</v>
      </c>
      <c r="Q723" t="s">
        <v>48</v>
      </c>
      <c r="R723" s="3">
        <v>13973</v>
      </c>
      <c r="S723">
        <v>4161</v>
      </c>
      <c r="T723">
        <v>3</v>
      </c>
      <c r="U723" t="s">
        <v>35</v>
      </c>
      <c r="V723" s="2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tr">
        <f t="shared" si="44"/>
        <v>46+</v>
      </c>
      <c r="AH723" t="str">
        <f t="shared" si="45"/>
        <v>Very High</v>
      </c>
      <c r="AI723" s="1">
        <f>VLOOKUP(E723,Lookup_Tables!$A$3:$B$5,2,)</f>
        <v>6281.2528616024974</v>
      </c>
      <c r="AJ723" t="str">
        <f t="shared" si="46"/>
        <v>Above salary</v>
      </c>
      <c r="AK723" t="str">
        <f t="shared" si="47"/>
        <v>Medium Risk</v>
      </c>
    </row>
    <row r="724" spans="1:37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t="s">
        <v>46</v>
      </c>
      <c r="L724">
        <v>66</v>
      </c>
      <c r="M724">
        <v>3</v>
      </c>
      <c r="N724">
        <v>1</v>
      </c>
      <c r="O724" t="s">
        <v>47</v>
      </c>
      <c r="P724">
        <v>3</v>
      </c>
      <c r="Q724" t="s">
        <v>48</v>
      </c>
      <c r="R724" s="3">
        <v>2684</v>
      </c>
      <c r="S724">
        <v>12127</v>
      </c>
      <c r="T724">
        <v>0</v>
      </c>
      <c r="U724" t="s">
        <v>43</v>
      </c>
      <c r="V724" s="2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tr">
        <f t="shared" si="44"/>
        <v>36-45</v>
      </c>
      <c r="AH724" t="str">
        <f t="shared" si="45"/>
        <v>Low</v>
      </c>
      <c r="AI724" s="1">
        <f>VLOOKUP(E724,Lookup_Tables!$A$3:$B$5,2,)</f>
        <v>6281.2528616024974</v>
      </c>
      <c r="AJ724" t="str">
        <f t="shared" si="46"/>
        <v>Below salary</v>
      </c>
      <c r="AK724" t="str">
        <f t="shared" si="47"/>
        <v>Low Risk</v>
      </c>
    </row>
    <row r="725" spans="1:37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1007</v>
      </c>
      <c r="J725">
        <v>4</v>
      </c>
      <c r="K725" t="s">
        <v>46</v>
      </c>
      <c r="L725">
        <v>75</v>
      </c>
      <c r="M725">
        <v>3</v>
      </c>
      <c r="N725">
        <v>3</v>
      </c>
      <c r="O725" t="s">
        <v>53</v>
      </c>
      <c r="P725">
        <v>3</v>
      </c>
      <c r="Q725" t="s">
        <v>52</v>
      </c>
      <c r="R725" s="3">
        <v>10845</v>
      </c>
      <c r="S725">
        <v>24208</v>
      </c>
      <c r="T725">
        <v>6</v>
      </c>
      <c r="U725" t="s">
        <v>43</v>
      </c>
      <c r="V725" s="2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tr">
        <f t="shared" si="44"/>
        <v>46+</v>
      </c>
      <c r="AH725" t="str">
        <f t="shared" si="45"/>
        <v>High</v>
      </c>
      <c r="AI725" s="1">
        <f>VLOOKUP(E725,Lookup_Tables!$A$3:$B$5,2,)</f>
        <v>6281.2528616024974</v>
      </c>
      <c r="AJ725" t="str">
        <f t="shared" si="46"/>
        <v>Above salary</v>
      </c>
      <c r="AK725" t="str">
        <f t="shared" si="47"/>
        <v>Low Risk</v>
      </c>
    </row>
    <row r="726" spans="1:37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t="s">
        <v>39</v>
      </c>
      <c r="L726">
        <v>41</v>
      </c>
      <c r="M726">
        <v>2</v>
      </c>
      <c r="N726">
        <v>2</v>
      </c>
      <c r="O726" t="s">
        <v>53</v>
      </c>
      <c r="P726">
        <v>3</v>
      </c>
      <c r="Q726" t="s">
        <v>52</v>
      </c>
      <c r="R726" s="3">
        <v>4377</v>
      </c>
      <c r="S726">
        <v>24117</v>
      </c>
      <c r="T726">
        <v>1</v>
      </c>
      <c r="U726" t="s">
        <v>43</v>
      </c>
      <c r="V726" s="2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tr">
        <f t="shared" si="44"/>
        <v>18-25</v>
      </c>
      <c r="AH726" t="str">
        <f t="shared" si="45"/>
        <v>Mid</v>
      </c>
      <c r="AI726" s="1">
        <f>VLOOKUP(E726,Lookup_Tables!$A$3:$B$5,2,)</f>
        <v>6281.2528616024974</v>
      </c>
      <c r="AJ726" t="str">
        <f t="shared" si="46"/>
        <v>Below salary</v>
      </c>
      <c r="AK726" t="str">
        <f t="shared" si="47"/>
        <v>Low Risk</v>
      </c>
    </row>
    <row r="727" spans="1:37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t="s">
        <v>46</v>
      </c>
      <c r="L727">
        <v>39</v>
      </c>
      <c r="M727">
        <v>2</v>
      </c>
      <c r="N727">
        <v>1</v>
      </c>
      <c r="O727" t="s">
        <v>50</v>
      </c>
      <c r="P727">
        <v>2</v>
      </c>
      <c r="Q727" t="s">
        <v>52</v>
      </c>
      <c r="R727" s="3">
        <v>3743</v>
      </c>
      <c r="S727">
        <v>10074</v>
      </c>
      <c r="T727">
        <v>1</v>
      </c>
      <c r="U727" t="s">
        <v>35</v>
      </c>
      <c r="V727" s="2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tr">
        <f t="shared" si="44"/>
        <v>26-35</v>
      </c>
      <c r="AH727" t="str">
        <f t="shared" si="45"/>
        <v>Mid</v>
      </c>
      <c r="AI727" s="1">
        <f>VLOOKUP(E727,Lookup_Tables!$A$3:$B$5,2,)</f>
        <v>6281.2528616024974</v>
      </c>
      <c r="AJ727" t="str">
        <f t="shared" si="46"/>
        <v>Below salary</v>
      </c>
      <c r="AK727" t="str">
        <f t="shared" si="47"/>
        <v>High Risk</v>
      </c>
    </row>
    <row r="728" spans="1:37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96</v>
      </c>
      <c r="M728">
        <v>3</v>
      </c>
      <c r="N728">
        <v>2</v>
      </c>
      <c r="O728" t="s">
        <v>53</v>
      </c>
      <c r="P728">
        <v>1</v>
      </c>
      <c r="Q728" t="s">
        <v>48</v>
      </c>
      <c r="R728" s="3">
        <v>4148</v>
      </c>
      <c r="S728">
        <v>11275</v>
      </c>
      <c r="T728">
        <v>1</v>
      </c>
      <c r="U728" t="s">
        <v>43</v>
      </c>
      <c r="V728" s="2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tr">
        <f t="shared" si="44"/>
        <v>26-35</v>
      </c>
      <c r="AH728" t="str">
        <f t="shared" si="45"/>
        <v>Mid</v>
      </c>
      <c r="AI728" s="1">
        <f>VLOOKUP(E728,Lookup_Tables!$A$3:$B$5,2,)</f>
        <v>6281.2528616024974</v>
      </c>
      <c r="AJ728" t="str">
        <f t="shared" si="46"/>
        <v>Below salary</v>
      </c>
      <c r="AK728" t="str">
        <f t="shared" si="47"/>
        <v>Medium Risk</v>
      </c>
    </row>
    <row r="729" spans="1:37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46</v>
      </c>
      <c r="L729">
        <v>73</v>
      </c>
      <c r="M729">
        <v>3</v>
      </c>
      <c r="N729">
        <v>1</v>
      </c>
      <c r="O729" t="s">
        <v>47</v>
      </c>
      <c r="P729">
        <v>4</v>
      </c>
      <c r="Q729" t="s">
        <v>41</v>
      </c>
      <c r="R729" s="3">
        <v>1051</v>
      </c>
      <c r="S729">
        <v>13493</v>
      </c>
      <c r="T729">
        <v>1</v>
      </c>
      <c r="U729" t="s">
        <v>43</v>
      </c>
      <c r="V729" s="2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tr">
        <f t="shared" si="44"/>
        <v>18-25</v>
      </c>
      <c r="AH729" t="str">
        <f t="shared" si="45"/>
        <v>Low</v>
      </c>
      <c r="AI729" s="1">
        <f>VLOOKUP(E729,Lookup_Tables!$A$3:$B$5,2,)</f>
        <v>6281.2528616024974</v>
      </c>
      <c r="AJ729" t="str">
        <f t="shared" si="46"/>
        <v>Below salary</v>
      </c>
      <c r="AK729" t="str">
        <f t="shared" si="47"/>
        <v>Low Risk</v>
      </c>
    </row>
    <row r="730" spans="1:37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1013</v>
      </c>
      <c r="J730">
        <v>3</v>
      </c>
      <c r="K730" t="s">
        <v>39</v>
      </c>
      <c r="L730">
        <v>56</v>
      </c>
      <c r="M730">
        <v>3</v>
      </c>
      <c r="N730">
        <v>3</v>
      </c>
      <c r="O730" t="s">
        <v>53</v>
      </c>
      <c r="P730">
        <v>3</v>
      </c>
      <c r="Q730" t="s">
        <v>48</v>
      </c>
      <c r="R730" s="3">
        <v>10739</v>
      </c>
      <c r="S730">
        <v>13943</v>
      </c>
      <c r="T730">
        <v>8</v>
      </c>
      <c r="U730" t="s">
        <v>43</v>
      </c>
      <c r="V730" s="2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tr">
        <f t="shared" si="44"/>
        <v>46+</v>
      </c>
      <c r="AH730" t="str">
        <f t="shared" si="45"/>
        <v>High</v>
      </c>
      <c r="AI730" s="1">
        <f>VLOOKUP(E730,Lookup_Tables!$A$3:$B$5,2,)</f>
        <v>6281.2528616024974</v>
      </c>
      <c r="AJ730" t="str">
        <f t="shared" si="46"/>
        <v>Above salary</v>
      </c>
      <c r="AK730" t="str">
        <f t="shared" si="47"/>
        <v>Low Risk</v>
      </c>
    </row>
    <row r="731" spans="1:37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t="s">
        <v>39</v>
      </c>
      <c r="L731">
        <v>57</v>
      </c>
      <c r="M731">
        <v>3</v>
      </c>
      <c r="N731">
        <v>3</v>
      </c>
      <c r="O731" t="s">
        <v>54</v>
      </c>
      <c r="P731">
        <v>3</v>
      </c>
      <c r="Q731" t="s">
        <v>52</v>
      </c>
      <c r="R731" s="3">
        <v>10388</v>
      </c>
      <c r="S731">
        <v>6975</v>
      </c>
      <c r="T731">
        <v>1</v>
      </c>
      <c r="U731" t="s">
        <v>35</v>
      </c>
      <c r="V731" s="2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tr">
        <f t="shared" si="44"/>
        <v>26-35</v>
      </c>
      <c r="AH731" t="str">
        <f t="shared" si="45"/>
        <v>High</v>
      </c>
      <c r="AI731" s="1">
        <f>VLOOKUP(E731,Lookup_Tables!$A$3:$B$5,2,)</f>
        <v>6281.2528616024974</v>
      </c>
      <c r="AJ731" t="str">
        <f t="shared" si="46"/>
        <v>Above salary</v>
      </c>
      <c r="AK731" t="str">
        <f t="shared" si="47"/>
        <v>Medium Risk</v>
      </c>
    </row>
    <row r="732" spans="1:37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73</v>
      </c>
      <c r="M732">
        <v>4</v>
      </c>
      <c r="N732">
        <v>3</v>
      </c>
      <c r="O732" t="s">
        <v>58</v>
      </c>
      <c r="P732">
        <v>1</v>
      </c>
      <c r="Q732" t="s">
        <v>48</v>
      </c>
      <c r="R732" s="3">
        <v>11416</v>
      </c>
      <c r="S732">
        <v>17802</v>
      </c>
      <c r="T732">
        <v>0</v>
      </c>
      <c r="U732" t="s">
        <v>35</v>
      </c>
      <c r="V732" s="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tr">
        <f t="shared" si="44"/>
        <v>26-35</v>
      </c>
      <c r="AH732" t="str">
        <f t="shared" si="45"/>
        <v>High</v>
      </c>
      <c r="AI732" s="1">
        <f>VLOOKUP(E732,Lookup_Tables!$A$3:$B$5,2,)</f>
        <v>6281.2528616024974</v>
      </c>
      <c r="AJ732" t="str">
        <f t="shared" si="46"/>
        <v>Above salary</v>
      </c>
      <c r="AK732" t="str">
        <f t="shared" si="47"/>
        <v>High Risk</v>
      </c>
    </row>
    <row r="733" spans="1:37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t="s">
        <v>39</v>
      </c>
      <c r="L733">
        <v>98</v>
      </c>
      <c r="M733">
        <v>2</v>
      </c>
      <c r="N733">
        <v>1</v>
      </c>
      <c r="O733" t="s">
        <v>47</v>
      </c>
      <c r="P733">
        <v>1</v>
      </c>
      <c r="Q733" t="s">
        <v>41</v>
      </c>
      <c r="R733" s="3">
        <v>2600</v>
      </c>
      <c r="S733">
        <v>18275</v>
      </c>
      <c r="T733">
        <v>1</v>
      </c>
      <c r="U733" t="s">
        <v>35</v>
      </c>
      <c r="V733" s="2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tr">
        <f t="shared" si="44"/>
        <v>18-25</v>
      </c>
      <c r="AH733" t="str">
        <f t="shared" si="45"/>
        <v>Low</v>
      </c>
      <c r="AI733" s="1">
        <f>VLOOKUP(E733,Lookup_Tables!$A$3:$B$5,2,)</f>
        <v>6281.2528616024974</v>
      </c>
      <c r="AJ733" t="str">
        <f t="shared" si="46"/>
        <v>Below salary</v>
      </c>
      <c r="AK733" t="str">
        <f t="shared" si="47"/>
        <v>High Risk</v>
      </c>
    </row>
    <row r="734" spans="1:37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1017</v>
      </c>
      <c r="J734">
        <v>2</v>
      </c>
      <c r="K734" t="s">
        <v>39</v>
      </c>
      <c r="L734">
        <v>60</v>
      </c>
      <c r="M734">
        <v>3</v>
      </c>
      <c r="N734">
        <v>1</v>
      </c>
      <c r="O734" t="s">
        <v>50</v>
      </c>
      <c r="P734">
        <v>2</v>
      </c>
      <c r="Q734" t="s">
        <v>41</v>
      </c>
      <c r="R734" s="3">
        <v>2422</v>
      </c>
      <c r="S734">
        <v>25725</v>
      </c>
      <c r="T734">
        <v>0</v>
      </c>
      <c r="U734" t="s">
        <v>43</v>
      </c>
      <c r="V734" s="2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tr">
        <f t="shared" si="44"/>
        <v>26-35</v>
      </c>
      <c r="AH734" t="str">
        <f t="shared" si="45"/>
        <v>Low</v>
      </c>
      <c r="AI734" s="1">
        <f>VLOOKUP(E734,Lookup_Tables!$A$3:$B$5,2,)</f>
        <v>6281.2528616024974</v>
      </c>
      <c r="AJ734" t="str">
        <f t="shared" si="46"/>
        <v>Below salary</v>
      </c>
      <c r="AK734" t="str">
        <f t="shared" si="47"/>
        <v>Medium Risk</v>
      </c>
    </row>
    <row r="735" spans="1:37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1018</v>
      </c>
      <c r="J735">
        <v>4</v>
      </c>
      <c r="K735" t="s">
        <v>46</v>
      </c>
      <c r="L735">
        <v>32</v>
      </c>
      <c r="M735">
        <v>4</v>
      </c>
      <c r="N735">
        <v>2</v>
      </c>
      <c r="O735" t="s">
        <v>53</v>
      </c>
      <c r="P735">
        <v>4</v>
      </c>
      <c r="Q735" t="s">
        <v>48</v>
      </c>
      <c r="R735" s="3">
        <v>5472</v>
      </c>
      <c r="S735">
        <v>3334</v>
      </c>
      <c r="T735">
        <v>1</v>
      </c>
      <c r="U735" t="s">
        <v>43</v>
      </c>
      <c r="V735" s="2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tr">
        <f t="shared" si="44"/>
        <v>26-35</v>
      </c>
      <c r="AH735" t="str">
        <f t="shared" si="45"/>
        <v>Mid</v>
      </c>
      <c r="AI735" s="1">
        <f>VLOOKUP(E735,Lookup_Tables!$A$3:$B$5,2,)</f>
        <v>6281.2528616024974</v>
      </c>
      <c r="AJ735" t="str">
        <f t="shared" si="46"/>
        <v>Below salary</v>
      </c>
      <c r="AK735" t="str">
        <f t="shared" si="47"/>
        <v>Low Risk</v>
      </c>
    </row>
    <row r="736" spans="1:37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46</v>
      </c>
      <c r="L736">
        <v>94</v>
      </c>
      <c r="M736">
        <v>1</v>
      </c>
      <c r="N736">
        <v>1</v>
      </c>
      <c r="O736" t="s">
        <v>50</v>
      </c>
      <c r="P736">
        <v>1</v>
      </c>
      <c r="Q736" t="s">
        <v>48</v>
      </c>
      <c r="R736" s="3">
        <v>2451</v>
      </c>
      <c r="S736">
        <v>6881</v>
      </c>
      <c r="T736">
        <v>1</v>
      </c>
      <c r="U736" t="s">
        <v>43</v>
      </c>
      <c r="V736" s="2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tr">
        <f t="shared" si="44"/>
        <v>18-25</v>
      </c>
      <c r="AH736" t="str">
        <f t="shared" si="45"/>
        <v>Low</v>
      </c>
      <c r="AI736" s="1">
        <f>VLOOKUP(E736,Lookup_Tables!$A$3:$B$5,2,)</f>
        <v>6281.2528616024974</v>
      </c>
      <c r="AJ736" t="str">
        <f t="shared" si="46"/>
        <v>Below salary</v>
      </c>
      <c r="AK736" t="str">
        <f t="shared" si="47"/>
        <v>Medium Risk</v>
      </c>
    </row>
    <row r="737" spans="1:37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46</v>
      </c>
      <c r="L737">
        <v>97</v>
      </c>
      <c r="M737">
        <v>2</v>
      </c>
      <c r="N737">
        <v>2</v>
      </c>
      <c r="O737" t="s">
        <v>54</v>
      </c>
      <c r="P737">
        <v>3</v>
      </c>
      <c r="Q737" t="s">
        <v>41</v>
      </c>
      <c r="R737" s="3">
        <v>4240</v>
      </c>
      <c r="S737">
        <v>13119</v>
      </c>
      <c r="T737">
        <v>2</v>
      </c>
      <c r="U737" t="s">
        <v>43</v>
      </c>
      <c r="V737" s="2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tr">
        <f t="shared" si="44"/>
        <v>46+</v>
      </c>
      <c r="AH737" t="str">
        <f t="shared" si="45"/>
        <v>Mid</v>
      </c>
      <c r="AI737" s="1">
        <f>VLOOKUP(E737,Lookup_Tables!$A$3:$B$5,2,)</f>
        <v>6281.2528616024974</v>
      </c>
      <c r="AJ737" t="str">
        <f t="shared" si="46"/>
        <v>Below salary</v>
      </c>
      <c r="AK737" t="str">
        <f t="shared" si="47"/>
        <v>Low Risk</v>
      </c>
    </row>
    <row r="738" spans="1:37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46</v>
      </c>
      <c r="L738">
        <v>78</v>
      </c>
      <c r="M738">
        <v>2</v>
      </c>
      <c r="N738">
        <v>3</v>
      </c>
      <c r="O738" t="s">
        <v>54</v>
      </c>
      <c r="P738">
        <v>3</v>
      </c>
      <c r="Q738" t="s">
        <v>41</v>
      </c>
      <c r="R738" s="3">
        <v>10999</v>
      </c>
      <c r="S738">
        <v>22245</v>
      </c>
      <c r="T738">
        <v>7</v>
      </c>
      <c r="U738" t="s">
        <v>43</v>
      </c>
      <c r="V738" s="2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tr">
        <f t="shared" si="44"/>
        <v>46+</v>
      </c>
      <c r="AH738" t="str">
        <f t="shared" si="45"/>
        <v>High</v>
      </c>
      <c r="AI738" s="1">
        <f>VLOOKUP(E738,Lookup_Tables!$A$3:$B$5,2,)</f>
        <v>6281.2528616024974</v>
      </c>
      <c r="AJ738" t="str">
        <f t="shared" si="46"/>
        <v>Above salary</v>
      </c>
      <c r="AK738" t="str">
        <f t="shared" si="47"/>
        <v>Low Risk</v>
      </c>
    </row>
    <row r="739" spans="1:37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1025</v>
      </c>
      <c r="J739">
        <v>4</v>
      </c>
      <c r="K739" t="s">
        <v>39</v>
      </c>
      <c r="L739">
        <v>42</v>
      </c>
      <c r="M739">
        <v>3</v>
      </c>
      <c r="N739">
        <v>2</v>
      </c>
      <c r="O739" t="s">
        <v>53</v>
      </c>
      <c r="P739">
        <v>3</v>
      </c>
      <c r="Q739" t="s">
        <v>41</v>
      </c>
      <c r="R739" s="3">
        <v>5003</v>
      </c>
      <c r="S739">
        <v>23371</v>
      </c>
      <c r="T739">
        <v>6</v>
      </c>
      <c r="U739" t="s">
        <v>43</v>
      </c>
      <c r="V739" s="2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tr">
        <f t="shared" si="44"/>
        <v>36-45</v>
      </c>
      <c r="AH739" t="str">
        <f t="shared" si="45"/>
        <v>Mid</v>
      </c>
      <c r="AI739" s="1">
        <f>VLOOKUP(E739,Lookup_Tables!$A$3:$B$5,2,)</f>
        <v>6281.2528616024974</v>
      </c>
      <c r="AJ739" t="str">
        <f t="shared" si="46"/>
        <v>Below salary</v>
      </c>
      <c r="AK739" t="str">
        <f t="shared" si="47"/>
        <v>Low Risk</v>
      </c>
    </row>
    <row r="740" spans="1:37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65</v>
      </c>
      <c r="M740">
        <v>2</v>
      </c>
      <c r="N740">
        <v>4</v>
      </c>
      <c r="O740" t="s">
        <v>53</v>
      </c>
      <c r="P740">
        <v>4</v>
      </c>
      <c r="Q740" t="s">
        <v>48</v>
      </c>
      <c r="R740" s="3">
        <v>12742</v>
      </c>
      <c r="S740">
        <v>7060</v>
      </c>
      <c r="T740">
        <v>1</v>
      </c>
      <c r="U740" t="s">
        <v>43</v>
      </c>
      <c r="V740" s="2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tr">
        <f t="shared" si="44"/>
        <v>36-45</v>
      </c>
      <c r="AH740" t="str">
        <f t="shared" si="45"/>
        <v>Very High</v>
      </c>
      <c r="AI740" s="1">
        <f>VLOOKUP(E740,Lookup_Tables!$A$3:$B$5,2,)</f>
        <v>6281.2528616024974</v>
      </c>
      <c r="AJ740" t="str">
        <f t="shared" si="46"/>
        <v>Above salary</v>
      </c>
      <c r="AK740" t="str">
        <f t="shared" si="47"/>
        <v>Low Risk</v>
      </c>
    </row>
    <row r="741" spans="1:37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47</v>
      </c>
      <c r="M741">
        <v>3</v>
      </c>
      <c r="N741">
        <v>2</v>
      </c>
      <c r="O741" t="s">
        <v>53</v>
      </c>
      <c r="P741">
        <v>4</v>
      </c>
      <c r="Q741" t="s">
        <v>48</v>
      </c>
      <c r="R741" s="3">
        <v>4227</v>
      </c>
      <c r="S741">
        <v>4658</v>
      </c>
      <c r="T741">
        <v>0</v>
      </c>
      <c r="U741" t="s">
        <v>43</v>
      </c>
      <c r="V741" s="2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tr">
        <f t="shared" si="44"/>
        <v>26-35</v>
      </c>
      <c r="AH741" t="str">
        <f t="shared" si="45"/>
        <v>Mid</v>
      </c>
      <c r="AI741" s="1">
        <f>VLOOKUP(E741,Lookup_Tables!$A$3:$B$5,2,)</f>
        <v>6281.2528616024974</v>
      </c>
      <c r="AJ741" t="str">
        <f t="shared" si="46"/>
        <v>Below salary</v>
      </c>
      <c r="AK741" t="str">
        <f t="shared" si="47"/>
        <v>Low Risk</v>
      </c>
    </row>
    <row r="742" spans="1:37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t="s">
        <v>46</v>
      </c>
      <c r="L742">
        <v>45</v>
      </c>
      <c r="M742">
        <v>3</v>
      </c>
      <c r="N742">
        <v>1</v>
      </c>
      <c r="O742" t="s">
        <v>50</v>
      </c>
      <c r="P742">
        <v>4</v>
      </c>
      <c r="Q742" t="s">
        <v>52</v>
      </c>
      <c r="R742" s="3">
        <v>3917</v>
      </c>
      <c r="S742">
        <v>9541</v>
      </c>
      <c r="T742">
        <v>1</v>
      </c>
      <c r="U742" t="s">
        <v>43</v>
      </c>
      <c r="V742" s="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tr">
        <f t="shared" si="44"/>
        <v>26-35</v>
      </c>
      <c r="AH742" t="str">
        <f t="shared" si="45"/>
        <v>Mid</v>
      </c>
      <c r="AI742" s="1">
        <f>VLOOKUP(E742,Lookup_Tables!$A$3:$B$5,2,)</f>
        <v>6281.2528616024974</v>
      </c>
      <c r="AJ742" t="str">
        <f t="shared" si="46"/>
        <v>Below salary</v>
      </c>
      <c r="AK742" t="str">
        <f t="shared" si="47"/>
        <v>Low Risk</v>
      </c>
    </row>
    <row r="743" spans="1:37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1029</v>
      </c>
      <c r="J743">
        <v>4</v>
      </c>
      <c r="K743" t="s">
        <v>46</v>
      </c>
      <c r="L743">
        <v>90</v>
      </c>
      <c r="M743">
        <v>3</v>
      </c>
      <c r="N743">
        <v>5</v>
      </c>
      <c r="O743" t="s">
        <v>56</v>
      </c>
      <c r="P743">
        <v>3</v>
      </c>
      <c r="Q743" t="s">
        <v>48</v>
      </c>
      <c r="R743" s="3">
        <v>18303</v>
      </c>
      <c r="S743">
        <v>7770</v>
      </c>
      <c r="T743">
        <v>6</v>
      </c>
      <c r="U743" t="s">
        <v>43</v>
      </c>
      <c r="V743" s="2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tr">
        <f t="shared" si="44"/>
        <v>36-45</v>
      </c>
      <c r="AH743" t="str">
        <f t="shared" si="45"/>
        <v>Very High</v>
      </c>
      <c r="AI743" s="1">
        <f>VLOOKUP(E743,Lookup_Tables!$A$3:$B$5,2,)</f>
        <v>6959.17264573991</v>
      </c>
      <c r="AJ743" t="str">
        <f t="shared" si="46"/>
        <v>Above salary</v>
      </c>
      <c r="AK743" t="str">
        <f t="shared" si="47"/>
        <v>Low Risk</v>
      </c>
    </row>
    <row r="744" spans="1:37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46</v>
      </c>
      <c r="L744">
        <v>64</v>
      </c>
      <c r="M744">
        <v>3</v>
      </c>
      <c r="N744">
        <v>1</v>
      </c>
      <c r="O744" t="s">
        <v>50</v>
      </c>
      <c r="P744">
        <v>4</v>
      </c>
      <c r="Q744" t="s">
        <v>48</v>
      </c>
      <c r="R744" s="3">
        <v>2380</v>
      </c>
      <c r="S744">
        <v>20165</v>
      </c>
      <c r="T744">
        <v>4</v>
      </c>
      <c r="U744" t="s">
        <v>43</v>
      </c>
      <c r="V744" s="2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tr">
        <f t="shared" si="44"/>
        <v>46+</v>
      </c>
      <c r="AH744" t="str">
        <f t="shared" si="45"/>
        <v>Low</v>
      </c>
      <c r="AI744" s="1">
        <f>VLOOKUP(E744,Lookup_Tables!$A$3:$B$5,2,)</f>
        <v>6281.2528616024974</v>
      </c>
      <c r="AJ744" t="str">
        <f t="shared" si="46"/>
        <v>Below salary</v>
      </c>
      <c r="AK744" t="str">
        <f t="shared" si="47"/>
        <v>Low Risk</v>
      </c>
    </row>
    <row r="745" spans="1:37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69</v>
      </c>
      <c r="M745">
        <v>2</v>
      </c>
      <c r="N745">
        <v>4</v>
      </c>
      <c r="O745" t="s">
        <v>53</v>
      </c>
      <c r="P745">
        <v>4</v>
      </c>
      <c r="Q745" t="s">
        <v>41</v>
      </c>
      <c r="R745" s="3">
        <v>13726</v>
      </c>
      <c r="S745">
        <v>21829</v>
      </c>
      <c r="T745">
        <v>3</v>
      </c>
      <c r="U745" t="s">
        <v>35</v>
      </c>
      <c r="V745" s="2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tr">
        <f t="shared" si="44"/>
        <v>46+</v>
      </c>
      <c r="AH745" t="str">
        <f t="shared" si="45"/>
        <v>Very High</v>
      </c>
      <c r="AI745" s="1">
        <f>VLOOKUP(E745,Lookup_Tables!$A$3:$B$5,2,)</f>
        <v>6281.2528616024974</v>
      </c>
      <c r="AJ745" t="str">
        <f t="shared" si="46"/>
        <v>Above salary</v>
      </c>
      <c r="AK745" t="str">
        <f t="shared" si="47"/>
        <v>Medium Risk</v>
      </c>
    </row>
    <row r="746" spans="1:37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t="s">
        <v>39</v>
      </c>
      <c r="L746">
        <v>61</v>
      </c>
      <c r="M746">
        <v>1</v>
      </c>
      <c r="N746">
        <v>2</v>
      </c>
      <c r="O746" t="s">
        <v>54</v>
      </c>
      <c r="P746">
        <v>2</v>
      </c>
      <c r="Q746" t="s">
        <v>48</v>
      </c>
      <c r="R746" s="3">
        <v>4777</v>
      </c>
      <c r="S746">
        <v>14382</v>
      </c>
      <c r="T746">
        <v>5</v>
      </c>
      <c r="U746" t="s">
        <v>43</v>
      </c>
      <c r="V746" s="2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tr">
        <f t="shared" si="44"/>
        <v>36-45</v>
      </c>
      <c r="AH746" t="str">
        <f t="shared" si="45"/>
        <v>Mid</v>
      </c>
      <c r="AI746" s="1">
        <f>VLOOKUP(E746,Lookup_Tables!$A$3:$B$5,2,)</f>
        <v>6281.2528616024974</v>
      </c>
      <c r="AJ746" t="str">
        <f t="shared" si="46"/>
        <v>Below salary</v>
      </c>
      <c r="AK746" t="str">
        <f t="shared" si="47"/>
        <v>Medium Risk</v>
      </c>
    </row>
    <row r="747" spans="1:37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t="s">
        <v>46</v>
      </c>
      <c r="L747">
        <v>62</v>
      </c>
      <c r="M747">
        <v>3</v>
      </c>
      <c r="N747">
        <v>2</v>
      </c>
      <c r="O747" t="s">
        <v>54</v>
      </c>
      <c r="P747">
        <v>2</v>
      </c>
      <c r="Q747" t="s">
        <v>48</v>
      </c>
      <c r="R747" s="3">
        <v>6385</v>
      </c>
      <c r="S747">
        <v>12992</v>
      </c>
      <c r="T747">
        <v>3</v>
      </c>
      <c r="U747" t="s">
        <v>35</v>
      </c>
      <c r="V747" s="2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tr">
        <f t="shared" si="44"/>
        <v>46+</v>
      </c>
      <c r="AH747" t="str">
        <f t="shared" si="45"/>
        <v>Mid</v>
      </c>
      <c r="AI747" s="1">
        <f>VLOOKUP(E747,Lookup_Tables!$A$3:$B$5,2,)</f>
        <v>6281.2528616024974</v>
      </c>
      <c r="AJ747" t="str">
        <f t="shared" si="46"/>
        <v>Above salary</v>
      </c>
      <c r="AK747" t="str">
        <f t="shared" si="47"/>
        <v>High Risk</v>
      </c>
    </row>
    <row r="748" spans="1:37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55</v>
      </c>
      <c r="M748">
        <v>1</v>
      </c>
      <c r="N748">
        <v>5</v>
      </c>
      <c r="O748" t="s">
        <v>58</v>
      </c>
      <c r="P748">
        <v>3</v>
      </c>
      <c r="Q748" t="s">
        <v>52</v>
      </c>
      <c r="R748" s="3">
        <v>19973</v>
      </c>
      <c r="S748">
        <v>20284</v>
      </c>
      <c r="T748">
        <v>1</v>
      </c>
      <c r="U748" t="s">
        <v>43</v>
      </c>
      <c r="V748" s="2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tr">
        <f t="shared" si="44"/>
        <v>36-45</v>
      </c>
      <c r="AH748" t="str">
        <f t="shared" si="45"/>
        <v>Very High</v>
      </c>
      <c r="AI748" s="1">
        <f>VLOOKUP(E748,Lookup_Tables!$A$3:$B$5,2,)</f>
        <v>6281.2528616024974</v>
      </c>
      <c r="AJ748" t="str">
        <f t="shared" si="46"/>
        <v>Above salary</v>
      </c>
      <c r="AK748" t="str">
        <f t="shared" si="47"/>
        <v>Low Risk</v>
      </c>
    </row>
    <row r="749" spans="1:37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46</v>
      </c>
      <c r="L749">
        <v>42</v>
      </c>
      <c r="M749">
        <v>3</v>
      </c>
      <c r="N749">
        <v>2</v>
      </c>
      <c r="O749" t="s">
        <v>40</v>
      </c>
      <c r="P749">
        <v>4</v>
      </c>
      <c r="Q749" t="s">
        <v>41</v>
      </c>
      <c r="R749" s="3">
        <v>6861</v>
      </c>
      <c r="S749">
        <v>4981</v>
      </c>
      <c r="T749">
        <v>8</v>
      </c>
      <c r="U749" t="s">
        <v>35</v>
      </c>
      <c r="V749" s="2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tr">
        <f t="shared" si="44"/>
        <v>36-45</v>
      </c>
      <c r="AH749" t="str">
        <f t="shared" si="45"/>
        <v>Mid</v>
      </c>
      <c r="AI749" s="1">
        <f>VLOOKUP(E749,Lookup_Tables!$A$3:$B$5,2,)</f>
        <v>6959.17264573991</v>
      </c>
      <c r="AJ749" t="str">
        <f t="shared" si="46"/>
        <v>Below salary</v>
      </c>
      <c r="AK749" t="str">
        <f t="shared" si="47"/>
        <v>Medium Risk</v>
      </c>
    </row>
    <row r="750" spans="1:37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t="s">
        <v>46</v>
      </c>
      <c r="L750">
        <v>79</v>
      </c>
      <c r="M750">
        <v>1</v>
      </c>
      <c r="N750">
        <v>2</v>
      </c>
      <c r="O750" t="s">
        <v>40</v>
      </c>
      <c r="P750">
        <v>1</v>
      </c>
      <c r="Q750" t="s">
        <v>41</v>
      </c>
      <c r="R750" s="3">
        <v>4969</v>
      </c>
      <c r="S750">
        <v>21813</v>
      </c>
      <c r="T750">
        <v>8</v>
      </c>
      <c r="U750" t="s">
        <v>43</v>
      </c>
      <c r="V750" s="2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tr">
        <f t="shared" si="44"/>
        <v>26-35</v>
      </c>
      <c r="AH750" t="str">
        <f t="shared" si="45"/>
        <v>Mid</v>
      </c>
      <c r="AI750" s="1">
        <f>VLOOKUP(E750,Lookup_Tables!$A$3:$B$5,2,)</f>
        <v>6959.17264573991</v>
      </c>
      <c r="AJ750" t="str">
        <f t="shared" si="46"/>
        <v>Below salary</v>
      </c>
      <c r="AK750" t="str">
        <f t="shared" si="47"/>
        <v>Medium Risk</v>
      </c>
    </row>
    <row r="751" spans="1:37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1038</v>
      </c>
      <c r="J751">
        <v>1</v>
      </c>
      <c r="K751" t="s">
        <v>39</v>
      </c>
      <c r="L751">
        <v>57</v>
      </c>
      <c r="M751">
        <v>1</v>
      </c>
      <c r="N751">
        <v>5</v>
      </c>
      <c r="O751" t="s">
        <v>56</v>
      </c>
      <c r="P751">
        <v>4</v>
      </c>
      <c r="Q751" t="s">
        <v>48</v>
      </c>
      <c r="R751" s="3">
        <v>19845</v>
      </c>
      <c r="S751">
        <v>25846</v>
      </c>
      <c r="T751">
        <v>1</v>
      </c>
      <c r="U751" t="s">
        <v>43</v>
      </c>
      <c r="V751" s="2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tr">
        <f t="shared" si="44"/>
        <v>46+</v>
      </c>
      <c r="AH751" t="str">
        <f t="shared" si="45"/>
        <v>Very High</v>
      </c>
      <c r="AI751" s="1">
        <f>VLOOKUP(E751,Lookup_Tables!$A$3:$B$5,2,)</f>
        <v>6959.17264573991</v>
      </c>
      <c r="AJ751" t="str">
        <f t="shared" si="46"/>
        <v>Above salary</v>
      </c>
      <c r="AK751" t="str">
        <f t="shared" si="47"/>
        <v>Low Risk</v>
      </c>
    </row>
    <row r="752" spans="1:37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t="s">
        <v>39</v>
      </c>
      <c r="L752">
        <v>53</v>
      </c>
      <c r="M752">
        <v>4</v>
      </c>
      <c r="N752">
        <v>4</v>
      </c>
      <c r="O752" t="s">
        <v>40</v>
      </c>
      <c r="P752">
        <v>4</v>
      </c>
      <c r="Q752" t="s">
        <v>48</v>
      </c>
      <c r="R752" s="3">
        <v>13320</v>
      </c>
      <c r="S752">
        <v>11737</v>
      </c>
      <c r="T752">
        <v>3</v>
      </c>
      <c r="U752" t="s">
        <v>35</v>
      </c>
      <c r="V752" s="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tr">
        <f t="shared" si="44"/>
        <v>36-45</v>
      </c>
      <c r="AH752" t="str">
        <f t="shared" si="45"/>
        <v>Very High</v>
      </c>
      <c r="AI752" s="1">
        <f>VLOOKUP(E752,Lookup_Tables!$A$3:$B$5,2,)</f>
        <v>6959.17264573991</v>
      </c>
      <c r="AJ752" t="str">
        <f t="shared" si="46"/>
        <v>Above salary</v>
      </c>
      <c r="AK752" t="str">
        <f t="shared" si="47"/>
        <v>Medium Risk</v>
      </c>
    </row>
    <row r="753" spans="1:37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95</v>
      </c>
      <c r="M753">
        <v>3</v>
      </c>
      <c r="N753">
        <v>2</v>
      </c>
      <c r="O753" t="s">
        <v>40</v>
      </c>
      <c r="P753">
        <v>3</v>
      </c>
      <c r="Q753" t="s">
        <v>48</v>
      </c>
      <c r="R753" s="3">
        <v>6347</v>
      </c>
      <c r="S753">
        <v>24920</v>
      </c>
      <c r="T753">
        <v>0</v>
      </c>
      <c r="U753" t="s">
        <v>43</v>
      </c>
      <c r="V753" s="2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tr">
        <f t="shared" si="44"/>
        <v>46+</v>
      </c>
      <c r="AH753" t="str">
        <f t="shared" si="45"/>
        <v>Mid</v>
      </c>
      <c r="AI753" s="1">
        <f>VLOOKUP(E753,Lookup_Tables!$A$3:$B$5,2,)</f>
        <v>6959.17264573991</v>
      </c>
      <c r="AJ753" t="str">
        <f t="shared" si="46"/>
        <v>Below salary</v>
      </c>
      <c r="AK753" t="str">
        <f t="shared" si="47"/>
        <v>Low Risk</v>
      </c>
    </row>
    <row r="754" spans="1:37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43</v>
      </c>
      <c r="M754">
        <v>4</v>
      </c>
      <c r="N754">
        <v>1</v>
      </c>
      <c r="O754" t="s">
        <v>50</v>
      </c>
      <c r="P754">
        <v>1</v>
      </c>
      <c r="Q754" t="s">
        <v>41</v>
      </c>
      <c r="R754" s="3">
        <v>2743</v>
      </c>
      <c r="S754">
        <v>8269</v>
      </c>
      <c r="T754">
        <v>1</v>
      </c>
      <c r="U754" t="s">
        <v>43</v>
      </c>
      <c r="V754" s="2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tr">
        <f t="shared" si="44"/>
        <v>36-45</v>
      </c>
      <c r="AH754" t="str">
        <f t="shared" si="45"/>
        <v>Low</v>
      </c>
      <c r="AI754" s="1">
        <f>VLOOKUP(E754,Lookup_Tables!$A$3:$B$5,2,)</f>
        <v>6281.2528616024974</v>
      </c>
      <c r="AJ754" t="str">
        <f t="shared" si="46"/>
        <v>Below salary</v>
      </c>
      <c r="AK754" t="str">
        <f t="shared" si="47"/>
        <v>Medium Risk</v>
      </c>
    </row>
    <row r="755" spans="1:37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t="s">
        <v>39</v>
      </c>
      <c r="L755">
        <v>82</v>
      </c>
      <c r="M755">
        <v>3</v>
      </c>
      <c r="N755">
        <v>3</v>
      </c>
      <c r="O755" t="s">
        <v>53</v>
      </c>
      <c r="P755">
        <v>1</v>
      </c>
      <c r="Q755" t="s">
        <v>41</v>
      </c>
      <c r="R755" s="3">
        <v>10880</v>
      </c>
      <c r="S755">
        <v>5083</v>
      </c>
      <c r="T755">
        <v>1</v>
      </c>
      <c r="U755" t="s">
        <v>35</v>
      </c>
      <c r="V755" s="2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tr">
        <f t="shared" si="44"/>
        <v>36-45</v>
      </c>
      <c r="AH755" t="str">
        <f t="shared" si="45"/>
        <v>High</v>
      </c>
      <c r="AI755" s="1">
        <f>VLOOKUP(E755,Lookup_Tables!$A$3:$B$5,2,)</f>
        <v>6281.2528616024974</v>
      </c>
      <c r="AJ755" t="str">
        <f t="shared" si="46"/>
        <v>Above salary</v>
      </c>
      <c r="AK755" t="str">
        <f t="shared" si="47"/>
        <v>High Risk</v>
      </c>
    </row>
    <row r="756" spans="1:37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88</v>
      </c>
      <c r="M756">
        <v>2</v>
      </c>
      <c r="N756">
        <v>1</v>
      </c>
      <c r="O756" t="s">
        <v>57</v>
      </c>
      <c r="P756">
        <v>4</v>
      </c>
      <c r="Q756" t="s">
        <v>41</v>
      </c>
      <c r="R756" s="3">
        <v>2342</v>
      </c>
      <c r="S756">
        <v>21437</v>
      </c>
      <c r="T756">
        <v>0</v>
      </c>
      <c r="U756" t="s">
        <v>43</v>
      </c>
      <c r="V756" s="2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tr">
        <f t="shared" si="44"/>
        <v>26-35</v>
      </c>
      <c r="AH756" t="str">
        <f t="shared" si="45"/>
        <v>Low</v>
      </c>
      <c r="AI756" s="1">
        <f>VLOOKUP(E756,Lookup_Tables!$A$3:$B$5,2,)</f>
        <v>6959.17264573991</v>
      </c>
      <c r="AJ756" t="str">
        <f t="shared" si="46"/>
        <v>Below salary</v>
      </c>
      <c r="AK756" t="str">
        <f t="shared" si="47"/>
        <v>Low Risk</v>
      </c>
    </row>
    <row r="757" spans="1:37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90</v>
      </c>
      <c r="M757">
        <v>3</v>
      </c>
      <c r="N757">
        <v>4</v>
      </c>
      <c r="O757" t="s">
        <v>56</v>
      </c>
      <c r="P757">
        <v>4</v>
      </c>
      <c r="Q757" t="s">
        <v>48</v>
      </c>
      <c r="R757" s="3">
        <v>17650</v>
      </c>
      <c r="S757">
        <v>5404</v>
      </c>
      <c r="T757">
        <v>3</v>
      </c>
      <c r="U757" t="s">
        <v>43</v>
      </c>
      <c r="V757" s="2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tr">
        <f t="shared" si="44"/>
        <v>36-45</v>
      </c>
      <c r="AH757" t="str">
        <f t="shared" si="45"/>
        <v>Very High</v>
      </c>
      <c r="AI757" s="1">
        <f>VLOOKUP(E757,Lookup_Tables!$A$3:$B$5,2,)</f>
        <v>6959.17264573991</v>
      </c>
      <c r="AJ757" t="str">
        <f t="shared" si="46"/>
        <v>Above salary</v>
      </c>
      <c r="AK757" t="str">
        <f t="shared" si="47"/>
        <v>Low Risk</v>
      </c>
    </row>
    <row r="758" spans="1:37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t="s">
        <v>39</v>
      </c>
      <c r="L758">
        <v>69</v>
      </c>
      <c r="M758">
        <v>3</v>
      </c>
      <c r="N758">
        <v>1</v>
      </c>
      <c r="O758" t="s">
        <v>50</v>
      </c>
      <c r="P758">
        <v>3</v>
      </c>
      <c r="Q758" t="s">
        <v>41</v>
      </c>
      <c r="R758" s="3">
        <v>4025</v>
      </c>
      <c r="S758">
        <v>11135</v>
      </c>
      <c r="T758">
        <v>9</v>
      </c>
      <c r="U758" t="s">
        <v>43</v>
      </c>
      <c r="V758" s="2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tr">
        <f t="shared" si="44"/>
        <v>26-35</v>
      </c>
      <c r="AH758" t="str">
        <f t="shared" si="45"/>
        <v>Mid</v>
      </c>
      <c r="AI758" s="1">
        <f>VLOOKUP(E758,Lookup_Tables!$A$3:$B$5,2,)</f>
        <v>6281.2528616024974</v>
      </c>
      <c r="AJ758" t="str">
        <f t="shared" si="46"/>
        <v>Below salary</v>
      </c>
      <c r="AK758" t="str">
        <f t="shared" si="47"/>
        <v>Low Risk</v>
      </c>
    </row>
    <row r="759" spans="1:37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1047</v>
      </c>
      <c r="J759">
        <v>2</v>
      </c>
      <c r="K759" t="s">
        <v>46</v>
      </c>
      <c r="L759">
        <v>75</v>
      </c>
      <c r="M759">
        <v>4</v>
      </c>
      <c r="N759">
        <v>2</v>
      </c>
      <c r="O759" t="s">
        <v>40</v>
      </c>
      <c r="P759">
        <v>4</v>
      </c>
      <c r="Q759" t="s">
        <v>52</v>
      </c>
      <c r="R759" s="3">
        <v>9725</v>
      </c>
      <c r="S759">
        <v>12278</v>
      </c>
      <c r="T759">
        <v>0</v>
      </c>
      <c r="U759" t="s">
        <v>43</v>
      </c>
      <c r="V759" s="2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tr">
        <f t="shared" si="44"/>
        <v>26-35</v>
      </c>
      <c r="AH759" t="str">
        <f t="shared" si="45"/>
        <v>High</v>
      </c>
      <c r="AI759" s="1">
        <f>VLOOKUP(E759,Lookup_Tables!$A$3:$B$5,2,)</f>
        <v>6959.17264573991</v>
      </c>
      <c r="AJ759" t="str">
        <f t="shared" si="46"/>
        <v>Above salary</v>
      </c>
      <c r="AK759" t="str">
        <f t="shared" si="47"/>
        <v>Low Risk</v>
      </c>
    </row>
    <row r="760" spans="1:37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1048</v>
      </c>
      <c r="J760">
        <v>2</v>
      </c>
      <c r="K760" t="s">
        <v>46</v>
      </c>
      <c r="L760">
        <v>66</v>
      </c>
      <c r="M760">
        <v>3</v>
      </c>
      <c r="N760">
        <v>3</v>
      </c>
      <c r="O760" t="s">
        <v>56</v>
      </c>
      <c r="P760">
        <v>4</v>
      </c>
      <c r="Q760" t="s">
        <v>48</v>
      </c>
      <c r="R760" s="3">
        <v>11904</v>
      </c>
      <c r="S760">
        <v>11038</v>
      </c>
      <c r="T760">
        <v>3</v>
      </c>
      <c r="U760" t="s">
        <v>35</v>
      </c>
      <c r="V760" s="2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tr">
        <f t="shared" si="44"/>
        <v>46+</v>
      </c>
      <c r="AH760" t="str">
        <f t="shared" si="45"/>
        <v>High</v>
      </c>
      <c r="AI760" s="1">
        <f>VLOOKUP(E760,Lookup_Tables!$A$3:$B$5,2,)</f>
        <v>6959.17264573991</v>
      </c>
      <c r="AJ760" t="str">
        <f t="shared" si="46"/>
        <v>Above salary</v>
      </c>
      <c r="AK760" t="str">
        <f t="shared" si="47"/>
        <v>Medium Risk</v>
      </c>
    </row>
    <row r="761" spans="1:37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t="s">
        <v>46</v>
      </c>
      <c r="L761">
        <v>36</v>
      </c>
      <c r="M761">
        <v>3</v>
      </c>
      <c r="N761">
        <v>1</v>
      </c>
      <c r="O761" t="s">
        <v>61</v>
      </c>
      <c r="P761">
        <v>2</v>
      </c>
      <c r="Q761" t="s">
        <v>41</v>
      </c>
      <c r="R761" s="3">
        <v>2177</v>
      </c>
      <c r="S761">
        <v>8318</v>
      </c>
      <c r="T761">
        <v>1</v>
      </c>
      <c r="U761" t="s">
        <v>43</v>
      </c>
      <c r="V761" s="2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tr">
        <f t="shared" si="44"/>
        <v>36-45</v>
      </c>
      <c r="AH761" t="str">
        <f t="shared" si="45"/>
        <v>Low</v>
      </c>
      <c r="AI761" s="1">
        <f>VLOOKUP(E761,Lookup_Tables!$A$3:$B$5,2,)</f>
        <v>6654.5079365079364</v>
      </c>
      <c r="AJ761" t="str">
        <f t="shared" si="46"/>
        <v>Below salary</v>
      </c>
      <c r="AK761" t="str">
        <f t="shared" si="47"/>
        <v>Medium Risk</v>
      </c>
    </row>
    <row r="762" spans="1:37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1050</v>
      </c>
      <c r="J762">
        <v>3</v>
      </c>
      <c r="K762" t="s">
        <v>39</v>
      </c>
      <c r="L762">
        <v>38</v>
      </c>
      <c r="M762">
        <v>2</v>
      </c>
      <c r="N762">
        <v>3</v>
      </c>
      <c r="O762" t="s">
        <v>40</v>
      </c>
      <c r="P762">
        <v>2</v>
      </c>
      <c r="Q762" t="s">
        <v>48</v>
      </c>
      <c r="R762" s="3">
        <v>7525</v>
      </c>
      <c r="S762">
        <v>23537</v>
      </c>
      <c r="T762">
        <v>2</v>
      </c>
      <c r="U762" t="s">
        <v>43</v>
      </c>
      <c r="V762" s="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tr">
        <f t="shared" si="44"/>
        <v>46+</v>
      </c>
      <c r="AH762" t="str">
        <f t="shared" si="45"/>
        <v>High</v>
      </c>
      <c r="AI762" s="1">
        <f>VLOOKUP(E762,Lookup_Tables!$A$3:$B$5,2,)</f>
        <v>6959.17264573991</v>
      </c>
      <c r="AJ762" t="str">
        <f t="shared" si="46"/>
        <v>Above salary</v>
      </c>
      <c r="AK762" t="str">
        <f t="shared" si="47"/>
        <v>Medium Risk</v>
      </c>
    </row>
    <row r="763" spans="1:37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t="s">
        <v>46</v>
      </c>
      <c r="L763">
        <v>81</v>
      </c>
      <c r="M763">
        <v>3</v>
      </c>
      <c r="N763">
        <v>2</v>
      </c>
      <c r="O763" t="s">
        <v>50</v>
      </c>
      <c r="P763">
        <v>3</v>
      </c>
      <c r="Q763" t="s">
        <v>52</v>
      </c>
      <c r="R763" s="3">
        <v>4834</v>
      </c>
      <c r="S763">
        <v>7858</v>
      </c>
      <c r="T763">
        <v>7</v>
      </c>
      <c r="U763" t="s">
        <v>43</v>
      </c>
      <c r="V763" s="2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tr">
        <f t="shared" si="44"/>
        <v>36-45</v>
      </c>
      <c r="AH763" t="str">
        <f t="shared" si="45"/>
        <v>Mid</v>
      </c>
      <c r="AI763" s="1">
        <f>VLOOKUP(E763,Lookup_Tables!$A$3:$B$5,2,)</f>
        <v>6281.2528616024974</v>
      </c>
      <c r="AJ763" t="str">
        <f t="shared" si="46"/>
        <v>Below salary</v>
      </c>
      <c r="AK763" t="str">
        <f t="shared" si="47"/>
        <v>Low Risk</v>
      </c>
    </row>
    <row r="764" spans="1:37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46</v>
      </c>
      <c r="L764">
        <v>57</v>
      </c>
      <c r="M764">
        <v>3</v>
      </c>
      <c r="N764">
        <v>1</v>
      </c>
      <c r="O764" t="s">
        <v>47</v>
      </c>
      <c r="P764">
        <v>1</v>
      </c>
      <c r="Q764" t="s">
        <v>48</v>
      </c>
      <c r="R764" s="3">
        <v>2042</v>
      </c>
      <c r="S764">
        <v>15346</v>
      </c>
      <c r="T764">
        <v>6</v>
      </c>
      <c r="U764" t="s">
        <v>35</v>
      </c>
      <c r="V764" s="2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tr">
        <f t="shared" si="44"/>
        <v>26-35</v>
      </c>
      <c r="AH764" t="str">
        <f t="shared" si="45"/>
        <v>Low</v>
      </c>
      <c r="AI764" s="1">
        <f>VLOOKUP(E764,Lookup_Tables!$A$3:$B$5,2,)</f>
        <v>6281.2528616024974</v>
      </c>
      <c r="AJ764" t="str">
        <f t="shared" si="46"/>
        <v>Below salary</v>
      </c>
      <c r="AK764" t="str">
        <f t="shared" si="47"/>
        <v>High Risk</v>
      </c>
    </row>
    <row r="765" spans="1:37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87</v>
      </c>
      <c r="M765">
        <v>3</v>
      </c>
      <c r="N765">
        <v>1</v>
      </c>
      <c r="O765" t="s">
        <v>57</v>
      </c>
      <c r="P765">
        <v>3</v>
      </c>
      <c r="Q765" t="s">
        <v>48</v>
      </c>
      <c r="R765" s="3">
        <v>2220</v>
      </c>
      <c r="S765">
        <v>18410</v>
      </c>
      <c r="T765">
        <v>1</v>
      </c>
      <c r="U765" t="s">
        <v>35</v>
      </c>
      <c r="V765" s="2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tr">
        <f t="shared" si="44"/>
        <v>26-35</v>
      </c>
      <c r="AH765" t="str">
        <f t="shared" si="45"/>
        <v>Low</v>
      </c>
      <c r="AI765" s="1">
        <f>VLOOKUP(E765,Lookup_Tables!$A$3:$B$5,2,)</f>
        <v>6959.17264573991</v>
      </c>
      <c r="AJ765" t="str">
        <f t="shared" si="46"/>
        <v>Below salary</v>
      </c>
      <c r="AK765" t="str">
        <f t="shared" si="47"/>
        <v>Medium Risk</v>
      </c>
    </row>
    <row r="766" spans="1:37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t="s">
        <v>46</v>
      </c>
      <c r="L766">
        <v>74</v>
      </c>
      <c r="M766">
        <v>3</v>
      </c>
      <c r="N766">
        <v>1</v>
      </c>
      <c r="O766" t="s">
        <v>57</v>
      </c>
      <c r="P766">
        <v>2</v>
      </c>
      <c r="Q766" t="s">
        <v>48</v>
      </c>
      <c r="R766" s="3">
        <v>1052</v>
      </c>
      <c r="S766">
        <v>23384</v>
      </c>
      <c r="T766">
        <v>1</v>
      </c>
      <c r="U766" t="s">
        <v>43</v>
      </c>
      <c r="V766" s="2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tr">
        <f t="shared" si="44"/>
        <v>26-35</v>
      </c>
      <c r="AH766" t="str">
        <f t="shared" si="45"/>
        <v>Low</v>
      </c>
      <c r="AI766" s="1">
        <f>VLOOKUP(E766,Lookup_Tables!$A$3:$B$5,2,)</f>
        <v>6959.17264573991</v>
      </c>
      <c r="AJ766" t="str">
        <f t="shared" si="46"/>
        <v>Below salary</v>
      </c>
      <c r="AK766" t="str">
        <f t="shared" si="47"/>
        <v>Medium Risk</v>
      </c>
    </row>
    <row r="767" spans="1:37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t="s">
        <v>46</v>
      </c>
      <c r="L767">
        <v>44</v>
      </c>
      <c r="M767">
        <v>3</v>
      </c>
      <c r="N767">
        <v>1</v>
      </c>
      <c r="O767" t="s">
        <v>47</v>
      </c>
      <c r="P767">
        <v>3</v>
      </c>
      <c r="Q767" t="s">
        <v>48</v>
      </c>
      <c r="R767" s="3">
        <v>2821</v>
      </c>
      <c r="S767">
        <v>2997</v>
      </c>
      <c r="T767">
        <v>3</v>
      </c>
      <c r="U767" t="s">
        <v>43</v>
      </c>
      <c r="V767" s="2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tr">
        <f t="shared" si="44"/>
        <v>36-45</v>
      </c>
      <c r="AH767" t="str">
        <f t="shared" si="45"/>
        <v>Low</v>
      </c>
      <c r="AI767" s="1">
        <f>VLOOKUP(E767,Lookup_Tables!$A$3:$B$5,2,)</f>
        <v>6281.2528616024974</v>
      </c>
      <c r="AJ767" t="str">
        <f t="shared" si="46"/>
        <v>Below salary</v>
      </c>
      <c r="AK767" t="str">
        <f t="shared" si="47"/>
        <v>Low Risk</v>
      </c>
    </row>
    <row r="768" spans="1:37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1061</v>
      </c>
      <c r="J768">
        <v>2</v>
      </c>
      <c r="K768" t="s">
        <v>46</v>
      </c>
      <c r="L768">
        <v>62</v>
      </c>
      <c r="M768">
        <v>3</v>
      </c>
      <c r="N768">
        <v>5</v>
      </c>
      <c r="O768" t="s">
        <v>58</v>
      </c>
      <c r="P768">
        <v>3</v>
      </c>
      <c r="Q768" t="s">
        <v>48</v>
      </c>
      <c r="R768" s="3">
        <v>19237</v>
      </c>
      <c r="S768">
        <v>12853</v>
      </c>
      <c r="T768">
        <v>2</v>
      </c>
      <c r="U768" t="s">
        <v>35</v>
      </c>
      <c r="V768" s="2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tr">
        <f t="shared" si="44"/>
        <v>46+</v>
      </c>
      <c r="AH768" t="str">
        <f t="shared" si="45"/>
        <v>Very High</v>
      </c>
      <c r="AI768" s="1">
        <f>VLOOKUP(E768,Lookup_Tables!$A$3:$B$5,2,)</f>
        <v>6281.2528616024974</v>
      </c>
      <c r="AJ768" t="str">
        <f t="shared" si="46"/>
        <v>Above salary</v>
      </c>
      <c r="AK768" t="str">
        <f t="shared" si="47"/>
        <v>Medium Risk</v>
      </c>
    </row>
    <row r="769" spans="1:37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t="s">
        <v>39</v>
      </c>
      <c r="L769">
        <v>35</v>
      </c>
      <c r="M769">
        <v>3</v>
      </c>
      <c r="N769">
        <v>2</v>
      </c>
      <c r="O769" t="s">
        <v>54</v>
      </c>
      <c r="P769">
        <v>2</v>
      </c>
      <c r="Q769" t="s">
        <v>41</v>
      </c>
      <c r="R769" s="3">
        <v>4107</v>
      </c>
      <c r="S769">
        <v>13848</v>
      </c>
      <c r="T769">
        <v>3</v>
      </c>
      <c r="U769" t="s">
        <v>43</v>
      </c>
      <c r="V769" s="2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tr">
        <f t="shared" si="44"/>
        <v>36-45</v>
      </c>
      <c r="AH769" t="str">
        <f t="shared" si="45"/>
        <v>Mid</v>
      </c>
      <c r="AI769" s="1">
        <f>VLOOKUP(E769,Lookup_Tables!$A$3:$B$5,2,)</f>
        <v>6281.2528616024974</v>
      </c>
      <c r="AJ769" t="str">
        <f t="shared" si="46"/>
        <v>Below salary</v>
      </c>
      <c r="AK769" t="str">
        <f t="shared" si="47"/>
        <v>Medium Risk</v>
      </c>
    </row>
    <row r="770" spans="1:37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1066</v>
      </c>
      <c r="J770">
        <v>3</v>
      </c>
      <c r="K770" t="s">
        <v>46</v>
      </c>
      <c r="L770">
        <v>74</v>
      </c>
      <c r="M770">
        <v>3</v>
      </c>
      <c r="N770">
        <v>2</v>
      </c>
      <c r="O770" t="s">
        <v>40</v>
      </c>
      <c r="P770">
        <v>1</v>
      </c>
      <c r="Q770" t="s">
        <v>48</v>
      </c>
      <c r="R770" s="3">
        <v>8396</v>
      </c>
      <c r="S770">
        <v>22217</v>
      </c>
      <c r="T770">
        <v>1</v>
      </c>
      <c r="U770" t="s">
        <v>43</v>
      </c>
      <c r="V770" s="2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tr">
        <f t="shared" ref="AG770:AG833" si="48">IF(A770&lt;=25,"18-25",IF(A770&lt;= 35, "26-35",IF(A770&lt;=45, "36-45","46+")))</f>
        <v>36-45</v>
      </c>
      <c r="AH770" t="str">
        <f t="shared" ref="AH770:AH833" si="49">IF(R770&lt;3000,"Low",IF(R770&lt;7000,"Mid", IF(R770&lt;12000, "High", "Very High")))</f>
        <v>High</v>
      </c>
      <c r="AI770" s="1">
        <f>VLOOKUP(E770,Lookup_Tables!$A$3:$B$5,2,)</f>
        <v>6959.17264573991</v>
      </c>
      <c r="AJ770" t="str">
        <f t="shared" ref="AJ770:AJ833" si="50">IF(R770&gt;AI770, "Above salary","Below salary")</f>
        <v>Above salary</v>
      </c>
      <c r="AK770" t="str">
        <f t="shared" si="47"/>
        <v>Medium Risk</v>
      </c>
    </row>
    <row r="771" spans="1:37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1068</v>
      </c>
      <c r="J771">
        <v>1</v>
      </c>
      <c r="K771" t="s">
        <v>39</v>
      </c>
      <c r="L771">
        <v>66</v>
      </c>
      <c r="M771">
        <v>2</v>
      </c>
      <c r="N771">
        <v>1</v>
      </c>
      <c r="O771" t="s">
        <v>47</v>
      </c>
      <c r="P771">
        <v>3</v>
      </c>
      <c r="Q771" t="s">
        <v>52</v>
      </c>
      <c r="R771" s="3">
        <v>2007</v>
      </c>
      <c r="S771">
        <v>25265</v>
      </c>
      <c r="T771">
        <v>1</v>
      </c>
      <c r="U771" t="s">
        <v>43</v>
      </c>
      <c r="V771" s="2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tr">
        <f t="shared" si="48"/>
        <v>26-35</v>
      </c>
      <c r="AH771" t="str">
        <f t="shared" si="49"/>
        <v>Low</v>
      </c>
      <c r="AI771" s="1">
        <f>VLOOKUP(E771,Lookup_Tables!$A$3:$B$5,2,)</f>
        <v>6281.2528616024974</v>
      </c>
      <c r="AJ771" t="str">
        <f t="shared" si="50"/>
        <v>Below salary</v>
      </c>
      <c r="AK771" t="str">
        <f t="shared" ref="AK771:AK834" si="51">IF(AND(P771&lt;=2,U771="Yes"),"High Risk",IF(OR(P771&lt;=2,U771="Yes"),"Medium Risk","Low Risk"))</f>
        <v>Low Risk</v>
      </c>
    </row>
    <row r="772" spans="1:37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1069</v>
      </c>
      <c r="J772">
        <v>4</v>
      </c>
      <c r="K772" t="s">
        <v>46</v>
      </c>
      <c r="L772">
        <v>40</v>
      </c>
      <c r="M772">
        <v>3</v>
      </c>
      <c r="N772">
        <v>5</v>
      </c>
      <c r="O772" t="s">
        <v>58</v>
      </c>
      <c r="P772">
        <v>4</v>
      </c>
      <c r="Q772" t="s">
        <v>52</v>
      </c>
      <c r="R772" s="3">
        <v>19627</v>
      </c>
      <c r="S772">
        <v>21445</v>
      </c>
      <c r="T772">
        <v>9</v>
      </c>
      <c r="U772" t="s">
        <v>43</v>
      </c>
      <c r="V772" s="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tr">
        <f t="shared" si="48"/>
        <v>46+</v>
      </c>
      <c r="AH772" t="str">
        <f t="shared" si="49"/>
        <v>Very High</v>
      </c>
      <c r="AI772" s="1">
        <f>VLOOKUP(E772,Lookup_Tables!$A$3:$B$5,2,)</f>
        <v>6281.2528616024974</v>
      </c>
      <c r="AJ772" t="str">
        <f t="shared" si="50"/>
        <v>Above salary</v>
      </c>
      <c r="AK772" t="str">
        <f t="shared" si="51"/>
        <v>Low Risk</v>
      </c>
    </row>
    <row r="773" spans="1:37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41</v>
      </c>
      <c r="M773">
        <v>2</v>
      </c>
      <c r="N773">
        <v>3</v>
      </c>
      <c r="O773" t="s">
        <v>40</v>
      </c>
      <c r="P773">
        <v>3</v>
      </c>
      <c r="Q773" t="s">
        <v>48</v>
      </c>
      <c r="R773" s="3">
        <v>10686</v>
      </c>
      <c r="S773">
        <v>8392</v>
      </c>
      <c r="T773">
        <v>6</v>
      </c>
      <c r="U773" t="s">
        <v>43</v>
      </c>
      <c r="V773" s="2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tr">
        <f t="shared" si="48"/>
        <v>46+</v>
      </c>
      <c r="AH773" t="str">
        <f t="shared" si="49"/>
        <v>High</v>
      </c>
      <c r="AI773" s="1">
        <f>VLOOKUP(E773,Lookup_Tables!$A$3:$B$5,2,)</f>
        <v>6959.17264573991</v>
      </c>
      <c r="AJ773" t="str">
        <f t="shared" si="50"/>
        <v>Above salary</v>
      </c>
      <c r="AK773" t="str">
        <f t="shared" si="51"/>
        <v>Low Risk</v>
      </c>
    </row>
    <row r="774" spans="1:37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1071</v>
      </c>
      <c r="J774">
        <v>1</v>
      </c>
      <c r="K774" t="s">
        <v>39</v>
      </c>
      <c r="L774">
        <v>63</v>
      </c>
      <c r="M774">
        <v>3</v>
      </c>
      <c r="N774">
        <v>1</v>
      </c>
      <c r="O774" t="s">
        <v>47</v>
      </c>
      <c r="P774">
        <v>3</v>
      </c>
      <c r="Q774" t="s">
        <v>48</v>
      </c>
      <c r="R774" s="3">
        <v>2942</v>
      </c>
      <c r="S774">
        <v>12154</v>
      </c>
      <c r="T774">
        <v>2</v>
      </c>
      <c r="U774" t="s">
        <v>43</v>
      </c>
      <c r="V774" s="2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tr">
        <f t="shared" si="48"/>
        <v>46+</v>
      </c>
      <c r="AH774" t="str">
        <f t="shared" si="49"/>
        <v>Low</v>
      </c>
      <c r="AI774" s="1">
        <f>VLOOKUP(E774,Lookup_Tables!$A$3:$B$5,2,)</f>
        <v>6281.2528616024974</v>
      </c>
      <c r="AJ774" t="str">
        <f t="shared" si="50"/>
        <v>Below salary</v>
      </c>
      <c r="AK774" t="str">
        <f t="shared" si="51"/>
        <v>Low Risk</v>
      </c>
    </row>
    <row r="775" spans="1:37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t="s">
        <v>39</v>
      </c>
      <c r="L775">
        <v>51</v>
      </c>
      <c r="M775">
        <v>2</v>
      </c>
      <c r="N775">
        <v>3</v>
      </c>
      <c r="O775" t="s">
        <v>53</v>
      </c>
      <c r="P775">
        <v>4</v>
      </c>
      <c r="Q775" t="s">
        <v>41</v>
      </c>
      <c r="R775" s="3">
        <v>8858</v>
      </c>
      <c r="S775">
        <v>15669</v>
      </c>
      <c r="T775">
        <v>0</v>
      </c>
      <c r="U775" t="s">
        <v>43</v>
      </c>
      <c r="V775" s="2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tr">
        <f t="shared" si="48"/>
        <v>36-45</v>
      </c>
      <c r="AH775" t="str">
        <f t="shared" si="49"/>
        <v>High</v>
      </c>
      <c r="AI775" s="1">
        <f>VLOOKUP(E775,Lookup_Tables!$A$3:$B$5,2,)</f>
        <v>6281.2528616024974</v>
      </c>
      <c r="AJ775" t="str">
        <f t="shared" si="50"/>
        <v>Above salary</v>
      </c>
      <c r="AK775" t="str">
        <f t="shared" si="51"/>
        <v>Low Risk</v>
      </c>
    </row>
    <row r="776" spans="1:37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1074</v>
      </c>
      <c r="J776">
        <v>3</v>
      </c>
      <c r="K776" t="s">
        <v>46</v>
      </c>
      <c r="L776">
        <v>40</v>
      </c>
      <c r="M776">
        <v>2</v>
      </c>
      <c r="N776">
        <v>4</v>
      </c>
      <c r="O776" t="s">
        <v>56</v>
      </c>
      <c r="P776">
        <v>1</v>
      </c>
      <c r="Q776" t="s">
        <v>41</v>
      </c>
      <c r="R776" s="3">
        <v>16756</v>
      </c>
      <c r="S776">
        <v>17323</v>
      </c>
      <c r="T776">
        <v>7</v>
      </c>
      <c r="U776" t="s">
        <v>43</v>
      </c>
      <c r="V776" s="2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tr">
        <f t="shared" si="48"/>
        <v>46+</v>
      </c>
      <c r="AH776" t="str">
        <f t="shared" si="49"/>
        <v>Very High</v>
      </c>
      <c r="AI776" s="1">
        <f>VLOOKUP(E776,Lookup_Tables!$A$3:$B$5,2,)</f>
        <v>6281.2528616024974</v>
      </c>
      <c r="AJ776" t="str">
        <f t="shared" si="50"/>
        <v>Above salary</v>
      </c>
      <c r="AK776" t="str">
        <f t="shared" si="51"/>
        <v>Medium Risk</v>
      </c>
    </row>
    <row r="777" spans="1:37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t="s">
        <v>46</v>
      </c>
      <c r="L777">
        <v>79</v>
      </c>
      <c r="M777">
        <v>2</v>
      </c>
      <c r="N777">
        <v>3</v>
      </c>
      <c r="O777" t="s">
        <v>40</v>
      </c>
      <c r="P777">
        <v>4</v>
      </c>
      <c r="Q777" t="s">
        <v>52</v>
      </c>
      <c r="R777" s="3">
        <v>10798</v>
      </c>
      <c r="S777">
        <v>5268</v>
      </c>
      <c r="T777">
        <v>5</v>
      </c>
      <c r="U777" t="s">
        <v>43</v>
      </c>
      <c r="V777" s="2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tr">
        <f t="shared" si="48"/>
        <v>36-45</v>
      </c>
      <c r="AH777" t="str">
        <f t="shared" si="49"/>
        <v>High</v>
      </c>
      <c r="AI777" s="1">
        <f>VLOOKUP(E777,Lookup_Tables!$A$3:$B$5,2,)</f>
        <v>6959.17264573991</v>
      </c>
      <c r="AJ777" t="str">
        <f t="shared" si="50"/>
        <v>Above salary</v>
      </c>
      <c r="AK777" t="str">
        <f t="shared" si="51"/>
        <v>Low Risk</v>
      </c>
    </row>
    <row r="778" spans="1:37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1077</v>
      </c>
      <c r="J778">
        <v>4</v>
      </c>
      <c r="K778" t="s">
        <v>39</v>
      </c>
      <c r="L778">
        <v>54</v>
      </c>
      <c r="M778">
        <v>3</v>
      </c>
      <c r="N778">
        <v>1</v>
      </c>
      <c r="O778" t="s">
        <v>57</v>
      </c>
      <c r="P778">
        <v>4</v>
      </c>
      <c r="Q778" t="s">
        <v>41</v>
      </c>
      <c r="R778" s="3">
        <v>2323</v>
      </c>
      <c r="S778">
        <v>17205</v>
      </c>
      <c r="T778">
        <v>1</v>
      </c>
      <c r="U778" t="s">
        <v>35</v>
      </c>
      <c r="V778" s="2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tr">
        <f t="shared" si="48"/>
        <v>18-25</v>
      </c>
      <c r="AH778" t="str">
        <f t="shared" si="49"/>
        <v>Low</v>
      </c>
      <c r="AI778" s="1">
        <f>VLOOKUP(E778,Lookup_Tables!$A$3:$B$5,2,)</f>
        <v>6959.17264573991</v>
      </c>
      <c r="AJ778" t="str">
        <f t="shared" si="50"/>
        <v>Below salary</v>
      </c>
      <c r="AK778" t="str">
        <f t="shared" si="51"/>
        <v>Medium Risk</v>
      </c>
    </row>
    <row r="779" spans="1:37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36</v>
      </c>
      <c r="M779">
        <v>2</v>
      </c>
      <c r="N779">
        <v>1</v>
      </c>
      <c r="O779" t="s">
        <v>50</v>
      </c>
      <c r="P779">
        <v>1</v>
      </c>
      <c r="Q779" t="s">
        <v>41</v>
      </c>
      <c r="R779" s="3">
        <v>1416</v>
      </c>
      <c r="S779">
        <v>17258</v>
      </c>
      <c r="T779">
        <v>1</v>
      </c>
      <c r="U779" t="s">
        <v>43</v>
      </c>
      <c r="V779" s="2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tr">
        <f t="shared" si="48"/>
        <v>18-25</v>
      </c>
      <c r="AH779" t="str">
        <f t="shared" si="49"/>
        <v>Low</v>
      </c>
      <c r="AI779" s="1">
        <f>VLOOKUP(E779,Lookup_Tables!$A$3:$B$5,2,)</f>
        <v>6281.2528616024974</v>
      </c>
      <c r="AJ779" t="str">
        <f t="shared" si="50"/>
        <v>Below salary</v>
      </c>
      <c r="AK779" t="str">
        <f t="shared" si="51"/>
        <v>Medium Risk</v>
      </c>
    </row>
    <row r="780" spans="1:37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74</v>
      </c>
      <c r="M780">
        <v>2</v>
      </c>
      <c r="N780">
        <v>2</v>
      </c>
      <c r="O780" t="s">
        <v>47</v>
      </c>
      <c r="P780">
        <v>1</v>
      </c>
      <c r="Q780" t="s">
        <v>52</v>
      </c>
      <c r="R780" s="3">
        <v>4615</v>
      </c>
      <c r="S780">
        <v>21029</v>
      </c>
      <c r="T780">
        <v>8</v>
      </c>
      <c r="U780" t="s">
        <v>35</v>
      </c>
      <c r="V780" s="2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tr">
        <f t="shared" si="48"/>
        <v>46+</v>
      </c>
      <c r="AH780" t="str">
        <f t="shared" si="49"/>
        <v>Mid</v>
      </c>
      <c r="AI780" s="1">
        <f>VLOOKUP(E780,Lookup_Tables!$A$3:$B$5,2,)</f>
        <v>6281.2528616024974</v>
      </c>
      <c r="AJ780" t="str">
        <f t="shared" si="50"/>
        <v>Below salary</v>
      </c>
      <c r="AK780" t="str">
        <f t="shared" si="51"/>
        <v>High Risk</v>
      </c>
    </row>
    <row r="781" spans="1:37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46</v>
      </c>
      <c r="L781">
        <v>34</v>
      </c>
      <c r="M781">
        <v>3</v>
      </c>
      <c r="N781">
        <v>1</v>
      </c>
      <c r="O781" t="s">
        <v>47</v>
      </c>
      <c r="P781">
        <v>3</v>
      </c>
      <c r="Q781" t="s">
        <v>48</v>
      </c>
      <c r="R781" s="3">
        <v>2461</v>
      </c>
      <c r="S781">
        <v>10332</v>
      </c>
      <c r="T781">
        <v>9</v>
      </c>
      <c r="U781" t="s">
        <v>35</v>
      </c>
      <c r="V781" s="2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tr">
        <f t="shared" si="48"/>
        <v>46+</v>
      </c>
      <c r="AH781" t="str">
        <f t="shared" si="49"/>
        <v>Low</v>
      </c>
      <c r="AI781" s="1">
        <f>VLOOKUP(E781,Lookup_Tables!$A$3:$B$5,2,)</f>
        <v>6281.2528616024974</v>
      </c>
      <c r="AJ781" t="str">
        <f t="shared" si="50"/>
        <v>Below salary</v>
      </c>
      <c r="AK781" t="str">
        <f t="shared" si="51"/>
        <v>Medium Risk</v>
      </c>
    </row>
    <row r="782" spans="1:37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1082</v>
      </c>
      <c r="J782">
        <v>2</v>
      </c>
      <c r="K782" t="s">
        <v>46</v>
      </c>
      <c r="L782">
        <v>72</v>
      </c>
      <c r="M782">
        <v>2</v>
      </c>
      <c r="N782">
        <v>3</v>
      </c>
      <c r="O782" t="s">
        <v>54</v>
      </c>
      <c r="P782">
        <v>1</v>
      </c>
      <c r="Q782" t="s">
        <v>41</v>
      </c>
      <c r="R782" s="3">
        <v>8722</v>
      </c>
      <c r="S782">
        <v>12355</v>
      </c>
      <c r="T782">
        <v>1</v>
      </c>
      <c r="U782" t="s">
        <v>43</v>
      </c>
      <c r="V782" s="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tr">
        <f t="shared" si="48"/>
        <v>26-35</v>
      </c>
      <c r="AH782" t="str">
        <f t="shared" si="49"/>
        <v>High</v>
      </c>
      <c r="AI782" s="1">
        <f>VLOOKUP(E782,Lookup_Tables!$A$3:$B$5,2,)</f>
        <v>6281.2528616024974</v>
      </c>
      <c r="AJ782" t="str">
        <f t="shared" si="50"/>
        <v>Above salary</v>
      </c>
      <c r="AK782" t="str">
        <f t="shared" si="51"/>
        <v>Medium Risk</v>
      </c>
    </row>
    <row r="783" spans="1:37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1083</v>
      </c>
      <c r="J783">
        <v>1</v>
      </c>
      <c r="K783" t="s">
        <v>46</v>
      </c>
      <c r="L783">
        <v>59</v>
      </c>
      <c r="M783">
        <v>2</v>
      </c>
      <c r="N783">
        <v>1</v>
      </c>
      <c r="O783" t="s">
        <v>50</v>
      </c>
      <c r="P783">
        <v>1</v>
      </c>
      <c r="Q783" t="s">
        <v>48</v>
      </c>
      <c r="R783" s="3">
        <v>3955</v>
      </c>
      <c r="S783">
        <v>11141</v>
      </c>
      <c r="T783">
        <v>1</v>
      </c>
      <c r="U783" t="s">
        <v>43</v>
      </c>
      <c r="V783" s="2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tr">
        <f t="shared" si="48"/>
        <v>26-35</v>
      </c>
      <c r="AH783" t="str">
        <f t="shared" si="49"/>
        <v>Mid</v>
      </c>
      <c r="AI783" s="1">
        <f>VLOOKUP(E783,Lookup_Tables!$A$3:$B$5,2,)</f>
        <v>6281.2528616024974</v>
      </c>
      <c r="AJ783" t="str">
        <f t="shared" si="50"/>
        <v>Below salary</v>
      </c>
      <c r="AK783" t="str">
        <f t="shared" si="51"/>
        <v>Medium Risk</v>
      </c>
    </row>
    <row r="784" spans="1:37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t="s">
        <v>46</v>
      </c>
      <c r="L784">
        <v>85</v>
      </c>
      <c r="M784">
        <v>3</v>
      </c>
      <c r="N784">
        <v>2</v>
      </c>
      <c r="O784" t="s">
        <v>53</v>
      </c>
      <c r="P784">
        <v>1</v>
      </c>
      <c r="Q784" t="s">
        <v>48</v>
      </c>
      <c r="R784" s="3">
        <v>9957</v>
      </c>
      <c r="S784">
        <v>9096</v>
      </c>
      <c r="T784">
        <v>0</v>
      </c>
      <c r="U784" t="s">
        <v>43</v>
      </c>
      <c r="V784" s="2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tr">
        <f t="shared" si="48"/>
        <v>26-35</v>
      </c>
      <c r="AH784" t="str">
        <f t="shared" si="49"/>
        <v>High</v>
      </c>
      <c r="AI784" s="1">
        <f>VLOOKUP(E784,Lookup_Tables!$A$3:$B$5,2,)</f>
        <v>6281.2528616024974</v>
      </c>
      <c r="AJ784" t="str">
        <f t="shared" si="50"/>
        <v>Above salary</v>
      </c>
      <c r="AK784" t="str">
        <f t="shared" si="51"/>
        <v>Medium Risk</v>
      </c>
    </row>
    <row r="785" spans="1:37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1085</v>
      </c>
      <c r="J785">
        <v>2</v>
      </c>
      <c r="K785" t="s">
        <v>39</v>
      </c>
      <c r="L785">
        <v>43</v>
      </c>
      <c r="M785">
        <v>4</v>
      </c>
      <c r="N785">
        <v>1</v>
      </c>
      <c r="O785" t="s">
        <v>47</v>
      </c>
      <c r="P785">
        <v>3</v>
      </c>
      <c r="Q785" t="s">
        <v>48</v>
      </c>
      <c r="R785" s="3">
        <v>3376</v>
      </c>
      <c r="S785">
        <v>18863</v>
      </c>
      <c r="T785">
        <v>1</v>
      </c>
      <c r="U785" t="s">
        <v>43</v>
      </c>
      <c r="V785" s="2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tr">
        <f t="shared" si="48"/>
        <v>36-45</v>
      </c>
      <c r="AH785" t="str">
        <f t="shared" si="49"/>
        <v>Mid</v>
      </c>
      <c r="AI785" s="1">
        <f>VLOOKUP(E785,Lookup_Tables!$A$3:$B$5,2,)</f>
        <v>6281.2528616024974</v>
      </c>
      <c r="AJ785" t="str">
        <f t="shared" si="50"/>
        <v>Below salary</v>
      </c>
      <c r="AK785" t="str">
        <f t="shared" si="51"/>
        <v>Low Risk</v>
      </c>
    </row>
    <row r="786" spans="1:37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65</v>
      </c>
      <c r="M786">
        <v>2</v>
      </c>
      <c r="N786">
        <v>3</v>
      </c>
      <c r="O786" t="s">
        <v>54</v>
      </c>
      <c r="P786">
        <v>3</v>
      </c>
      <c r="Q786" t="s">
        <v>48</v>
      </c>
      <c r="R786" s="3">
        <v>8823</v>
      </c>
      <c r="S786">
        <v>24608</v>
      </c>
      <c r="T786">
        <v>0</v>
      </c>
      <c r="U786" t="s">
        <v>43</v>
      </c>
      <c r="V786" s="2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tr">
        <f t="shared" si="48"/>
        <v>36-45</v>
      </c>
      <c r="AH786" t="str">
        <f t="shared" si="49"/>
        <v>High</v>
      </c>
      <c r="AI786" s="1">
        <f>VLOOKUP(E786,Lookup_Tables!$A$3:$B$5,2,)</f>
        <v>6281.2528616024974</v>
      </c>
      <c r="AJ786" t="str">
        <f t="shared" si="50"/>
        <v>Above salary</v>
      </c>
      <c r="AK786" t="str">
        <f t="shared" si="51"/>
        <v>Low Risk</v>
      </c>
    </row>
    <row r="787" spans="1:37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1092</v>
      </c>
      <c r="J787">
        <v>1</v>
      </c>
      <c r="K787" t="s">
        <v>46</v>
      </c>
      <c r="L787">
        <v>61</v>
      </c>
      <c r="M787">
        <v>3</v>
      </c>
      <c r="N787">
        <v>3</v>
      </c>
      <c r="O787" t="s">
        <v>54</v>
      </c>
      <c r="P787">
        <v>4</v>
      </c>
      <c r="Q787" t="s">
        <v>48</v>
      </c>
      <c r="R787" s="3">
        <v>10322</v>
      </c>
      <c r="S787">
        <v>26542</v>
      </c>
      <c r="T787">
        <v>4</v>
      </c>
      <c r="U787" t="s">
        <v>43</v>
      </c>
      <c r="V787" s="2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tr">
        <f t="shared" si="48"/>
        <v>36-45</v>
      </c>
      <c r="AH787" t="str">
        <f t="shared" si="49"/>
        <v>High</v>
      </c>
      <c r="AI787" s="1">
        <f>VLOOKUP(E787,Lookup_Tables!$A$3:$B$5,2,)</f>
        <v>6281.2528616024974</v>
      </c>
      <c r="AJ787" t="str">
        <f t="shared" si="50"/>
        <v>Above salary</v>
      </c>
      <c r="AK787" t="str">
        <f t="shared" si="51"/>
        <v>Low Risk</v>
      </c>
    </row>
    <row r="788" spans="1:37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46</v>
      </c>
      <c r="L788">
        <v>87</v>
      </c>
      <c r="M788">
        <v>1</v>
      </c>
      <c r="N788">
        <v>1</v>
      </c>
      <c r="O788" t="s">
        <v>50</v>
      </c>
      <c r="P788">
        <v>3</v>
      </c>
      <c r="Q788" t="s">
        <v>48</v>
      </c>
      <c r="R788" s="3">
        <v>4621</v>
      </c>
      <c r="S788">
        <v>5869</v>
      </c>
      <c r="T788">
        <v>1</v>
      </c>
      <c r="U788" t="s">
        <v>43</v>
      </c>
      <c r="V788" s="2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tr">
        <f t="shared" si="48"/>
        <v>26-35</v>
      </c>
      <c r="AH788" t="str">
        <f t="shared" si="49"/>
        <v>Mid</v>
      </c>
      <c r="AI788" s="1">
        <f>VLOOKUP(E788,Lookup_Tables!$A$3:$B$5,2,)</f>
        <v>6281.2528616024974</v>
      </c>
      <c r="AJ788" t="str">
        <f t="shared" si="50"/>
        <v>Below salary</v>
      </c>
      <c r="AK788" t="str">
        <f t="shared" si="51"/>
        <v>Low Risk</v>
      </c>
    </row>
    <row r="789" spans="1:37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46</v>
      </c>
      <c r="L789">
        <v>65</v>
      </c>
      <c r="M789">
        <v>3</v>
      </c>
      <c r="N789">
        <v>3</v>
      </c>
      <c r="O789" t="s">
        <v>53</v>
      </c>
      <c r="P789">
        <v>2</v>
      </c>
      <c r="Q789" t="s">
        <v>48</v>
      </c>
      <c r="R789" s="3">
        <v>10976</v>
      </c>
      <c r="S789">
        <v>15813</v>
      </c>
      <c r="T789">
        <v>3</v>
      </c>
      <c r="U789" t="s">
        <v>43</v>
      </c>
      <c r="V789" s="2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tr">
        <f t="shared" si="48"/>
        <v>46+</v>
      </c>
      <c r="AH789" t="str">
        <f t="shared" si="49"/>
        <v>High</v>
      </c>
      <c r="AI789" s="1">
        <f>VLOOKUP(E789,Lookup_Tables!$A$3:$B$5,2,)</f>
        <v>6281.2528616024974</v>
      </c>
      <c r="AJ789" t="str">
        <f t="shared" si="50"/>
        <v>Above salary</v>
      </c>
      <c r="AK789" t="str">
        <f t="shared" si="51"/>
        <v>Medium Risk</v>
      </c>
    </row>
    <row r="790" spans="1:37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t="s">
        <v>39</v>
      </c>
      <c r="L790">
        <v>59</v>
      </c>
      <c r="M790">
        <v>3</v>
      </c>
      <c r="N790">
        <v>2</v>
      </c>
      <c r="O790" t="s">
        <v>47</v>
      </c>
      <c r="P790">
        <v>3</v>
      </c>
      <c r="Q790" t="s">
        <v>41</v>
      </c>
      <c r="R790" s="3">
        <v>3660</v>
      </c>
      <c r="S790">
        <v>7909</v>
      </c>
      <c r="T790">
        <v>3</v>
      </c>
      <c r="U790" t="s">
        <v>43</v>
      </c>
      <c r="V790" s="2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tr">
        <f t="shared" si="48"/>
        <v>26-35</v>
      </c>
      <c r="AH790" t="str">
        <f t="shared" si="49"/>
        <v>Mid</v>
      </c>
      <c r="AI790" s="1">
        <f>VLOOKUP(E790,Lookup_Tables!$A$3:$B$5,2,)</f>
        <v>6281.2528616024974</v>
      </c>
      <c r="AJ790" t="str">
        <f t="shared" si="50"/>
        <v>Below salary</v>
      </c>
      <c r="AK790" t="str">
        <f t="shared" si="51"/>
        <v>Low Risk</v>
      </c>
    </row>
    <row r="791" spans="1:37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1098</v>
      </c>
      <c r="J791">
        <v>2</v>
      </c>
      <c r="K791" t="s">
        <v>46</v>
      </c>
      <c r="L791">
        <v>91</v>
      </c>
      <c r="M791">
        <v>2</v>
      </c>
      <c r="N791">
        <v>3</v>
      </c>
      <c r="O791" t="s">
        <v>61</v>
      </c>
      <c r="P791">
        <v>1</v>
      </c>
      <c r="Q791" t="s">
        <v>48</v>
      </c>
      <c r="R791" s="3">
        <v>10482</v>
      </c>
      <c r="S791">
        <v>2326</v>
      </c>
      <c r="T791">
        <v>9</v>
      </c>
      <c r="U791" t="s">
        <v>43</v>
      </c>
      <c r="V791" s="2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tr">
        <f t="shared" si="48"/>
        <v>36-45</v>
      </c>
      <c r="AH791" t="str">
        <f t="shared" si="49"/>
        <v>High</v>
      </c>
      <c r="AI791" s="1">
        <f>VLOOKUP(E791,Lookup_Tables!$A$3:$B$5,2,)</f>
        <v>6654.5079365079364</v>
      </c>
      <c r="AJ791" t="str">
        <f t="shared" si="50"/>
        <v>Above salary</v>
      </c>
      <c r="AK791" t="str">
        <f t="shared" si="51"/>
        <v>Medium Risk</v>
      </c>
    </row>
    <row r="792" spans="1:37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46</v>
      </c>
      <c r="L792">
        <v>34</v>
      </c>
      <c r="M792">
        <v>2</v>
      </c>
      <c r="N792">
        <v>3</v>
      </c>
      <c r="O792" t="s">
        <v>54</v>
      </c>
      <c r="P792">
        <v>4</v>
      </c>
      <c r="Q792" t="s">
        <v>52</v>
      </c>
      <c r="R792" s="3">
        <v>7119</v>
      </c>
      <c r="S792">
        <v>21214</v>
      </c>
      <c r="T792">
        <v>4</v>
      </c>
      <c r="U792" t="s">
        <v>43</v>
      </c>
      <c r="V792" s="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tr">
        <f t="shared" si="48"/>
        <v>26-35</v>
      </c>
      <c r="AH792" t="str">
        <f t="shared" si="49"/>
        <v>High</v>
      </c>
      <c r="AI792" s="1">
        <f>VLOOKUP(E792,Lookup_Tables!$A$3:$B$5,2,)</f>
        <v>6281.2528616024974</v>
      </c>
      <c r="AJ792" t="str">
        <f t="shared" si="50"/>
        <v>Above salary</v>
      </c>
      <c r="AK792" t="str">
        <f t="shared" si="51"/>
        <v>Low Risk</v>
      </c>
    </row>
    <row r="793" spans="1:37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1100</v>
      </c>
      <c r="J793">
        <v>4</v>
      </c>
      <c r="K793" t="s">
        <v>46</v>
      </c>
      <c r="L793">
        <v>86</v>
      </c>
      <c r="M793">
        <v>3</v>
      </c>
      <c r="N793">
        <v>3</v>
      </c>
      <c r="O793" t="s">
        <v>40</v>
      </c>
      <c r="P793">
        <v>1</v>
      </c>
      <c r="Q793" t="s">
        <v>41</v>
      </c>
      <c r="R793" s="3">
        <v>9582</v>
      </c>
      <c r="S793">
        <v>10333</v>
      </c>
      <c r="T793">
        <v>0</v>
      </c>
      <c r="U793" t="s">
        <v>35</v>
      </c>
      <c r="V793" s="2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tr">
        <f t="shared" si="48"/>
        <v>26-35</v>
      </c>
      <c r="AH793" t="str">
        <f t="shared" si="49"/>
        <v>High</v>
      </c>
      <c r="AI793" s="1">
        <f>VLOOKUP(E793,Lookup_Tables!$A$3:$B$5,2,)</f>
        <v>6959.17264573991</v>
      </c>
      <c r="AJ793" t="str">
        <f t="shared" si="50"/>
        <v>Above salary</v>
      </c>
      <c r="AK793" t="str">
        <f t="shared" si="51"/>
        <v>High Risk</v>
      </c>
    </row>
    <row r="794" spans="1:37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t="s">
        <v>39</v>
      </c>
      <c r="L794">
        <v>54</v>
      </c>
      <c r="M794">
        <v>2</v>
      </c>
      <c r="N794">
        <v>2</v>
      </c>
      <c r="O794" t="s">
        <v>47</v>
      </c>
      <c r="P794">
        <v>3</v>
      </c>
      <c r="Q794" t="s">
        <v>41</v>
      </c>
      <c r="R794" s="3">
        <v>4508</v>
      </c>
      <c r="S794">
        <v>3129</v>
      </c>
      <c r="T794">
        <v>1</v>
      </c>
      <c r="U794" t="s">
        <v>43</v>
      </c>
      <c r="V794" s="2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tr">
        <f t="shared" si="48"/>
        <v>26-35</v>
      </c>
      <c r="AH794" t="str">
        <f t="shared" si="49"/>
        <v>Mid</v>
      </c>
      <c r="AI794" s="1">
        <f>VLOOKUP(E794,Lookup_Tables!$A$3:$B$5,2,)</f>
        <v>6281.2528616024974</v>
      </c>
      <c r="AJ794" t="str">
        <f t="shared" si="50"/>
        <v>Below salary</v>
      </c>
      <c r="AK794" t="str">
        <f t="shared" si="51"/>
        <v>Low Risk</v>
      </c>
    </row>
    <row r="795" spans="1:37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46</v>
      </c>
      <c r="L795">
        <v>50</v>
      </c>
      <c r="M795">
        <v>3</v>
      </c>
      <c r="N795">
        <v>1</v>
      </c>
      <c r="O795" t="s">
        <v>50</v>
      </c>
      <c r="P795">
        <v>3</v>
      </c>
      <c r="Q795" t="s">
        <v>52</v>
      </c>
      <c r="R795" s="3">
        <v>2207</v>
      </c>
      <c r="S795">
        <v>22482</v>
      </c>
      <c r="T795">
        <v>1</v>
      </c>
      <c r="U795" t="s">
        <v>43</v>
      </c>
      <c r="V795" s="2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tr">
        <f t="shared" si="48"/>
        <v>26-35</v>
      </c>
      <c r="AH795" t="str">
        <f t="shared" si="49"/>
        <v>Low</v>
      </c>
      <c r="AI795" s="1">
        <f>VLOOKUP(E795,Lookup_Tables!$A$3:$B$5,2,)</f>
        <v>6281.2528616024974</v>
      </c>
      <c r="AJ795" t="str">
        <f t="shared" si="50"/>
        <v>Below salary</v>
      </c>
      <c r="AK795" t="str">
        <f t="shared" si="51"/>
        <v>Low Risk</v>
      </c>
    </row>
    <row r="796" spans="1:37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46</v>
      </c>
      <c r="L796">
        <v>45</v>
      </c>
      <c r="M796">
        <v>3</v>
      </c>
      <c r="N796">
        <v>2</v>
      </c>
      <c r="O796" t="s">
        <v>54</v>
      </c>
      <c r="P796">
        <v>4</v>
      </c>
      <c r="Q796" t="s">
        <v>41</v>
      </c>
      <c r="R796" s="3">
        <v>7756</v>
      </c>
      <c r="S796">
        <v>22266</v>
      </c>
      <c r="T796">
        <v>0</v>
      </c>
      <c r="U796" t="s">
        <v>43</v>
      </c>
      <c r="V796" s="2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tr">
        <f t="shared" si="48"/>
        <v>26-35</v>
      </c>
      <c r="AH796" t="str">
        <f t="shared" si="49"/>
        <v>High</v>
      </c>
      <c r="AI796" s="1">
        <f>VLOOKUP(E796,Lookup_Tables!$A$3:$B$5,2,)</f>
        <v>6281.2528616024974</v>
      </c>
      <c r="AJ796" t="str">
        <f t="shared" si="50"/>
        <v>Above salary</v>
      </c>
      <c r="AK796" t="str">
        <f t="shared" si="51"/>
        <v>Low Risk</v>
      </c>
    </row>
    <row r="797" spans="1:37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88</v>
      </c>
      <c r="M797">
        <v>2</v>
      </c>
      <c r="N797">
        <v>2</v>
      </c>
      <c r="O797" t="s">
        <v>40</v>
      </c>
      <c r="P797">
        <v>4</v>
      </c>
      <c r="Q797" t="s">
        <v>52</v>
      </c>
      <c r="R797" s="3">
        <v>6694</v>
      </c>
      <c r="S797">
        <v>24223</v>
      </c>
      <c r="T797">
        <v>2</v>
      </c>
      <c r="U797" t="s">
        <v>35</v>
      </c>
      <c r="V797" s="2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tr">
        <f t="shared" si="48"/>
        <v>36-45</v>
      </c>
      <c r="AH797" t="str">
        <f t="shared" si="49"/>
        <v>Mid</v>
      </c>
      <c r="AI797" s="1">
        <f>VLOOKUP(E797,Lookup_Tables!$A$3:$B$5,2,)</f>
        <v>6959.17264573991</v>
      </c>
      <c r="AJ797" t="str">
        <f t="shared" si="50"/>
        <v>Below salary</v>
      </c>
      <c r="AK797" t="str">
        <f t="shared" si="51"/>
        <v>Medium Risk</v>
      </c>
    </row>
    <row r="798" spans="1:37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1106</v>
      </c>
      <c r="J798">
        <v>4</v>
      </c>
      <c r="K798" t="s">
        <v>46</v>
      </c>
      <c r="L798">
        <v>32</v>
      </c>
      <c r="M798">
        <v>3</v>
      </c>
      <c r="N798">
        <v>1</v>
      </c>
      <c r="O798" t="s">
        <v>50</v>
      </c>
      <c r="P798">
        <v>4</v>
      </c>
      <c r="Q798" t="s">
        <v>48</v>
      </c>
      <c r="R798" s="3">
        <v>3691</v>
      </c>
      <c r="S798">
        <v>4605</v>
      </c>
      <c r="T798">
        <v>1</v>
      </c>
      <c r="U798" t="s">
        <v>35</v>
      </c>
      <c r="V798" s="2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tr">
        <f t="shared" si="48"/>
        <v>18-25</v>
      </c>
      <c r="AH798" t="str">
        <f t="shared" si="49"/>
        <v>Mid</v>
      </c>
      <c r="AI798" s="1">
        <f>VLOOKUP(E798,Lookup_Tables!$A$3:$B$5,2,)</f>
        <v>6281.2528616024974</v>
      </c>
      <c r="AJ798" t="str">
        <f t="shared" si="50"/>
        <v>Below salary</v>
      </c>
      <c r="AK798" t="str">
        <f t="shared" si="51"/>
        <v>Medium Risk</v>
      </c>
    </row>
    <row r="799" spans="1:37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t="s">
        <v>46</v>
      </c>
      <c r="L799">
        <v>37</v>
      </c>
      <c r="M799">
        <v>3</v>
      </c>
      <c r="N799">
        <v>1</v>
      </c>
      <c r="O799" t="s">
        <v>50</v>
      </c>
      <c r="P799">
        <v>3</v>
      </c>
      <c r="Q799" t="s">
        <v>52</v>
      </c>
      <c r="R799" s="3">
        <v>2377</v>
      </c>
      <c r="S799">
        <v>19373</v>
      </c>
      <c r="T799">
        <v>1</v>
      </c>
      <c r="U799" t="s">
        <v>43</v>
      </c>
      <c r="V799" s="2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tr">
        <f t="shared" si="48"/>
        <v>26-35</v>
      </c>
      <c r="AH799" t="str">
        <f t="shared" si="49"/>
        <v>Low</v>
      </c>
      <c r="AI799" s="1">
        <f>VLOOKUP(E799,Lookup_Tables!$A$3:$B$5,2,)</f>
        <v>6281.2528616024974</v>
      </c>
      <c r="AJ799" t="str">
        <f t="shared" si="50"/>
        <v>Below salary</v>
      </c>
      <c r="AK799" t="str">
        <f t="shared" si="51"/>
        <v>Low Risk</v>
      </c>
    </row>
    <row r="800" spans="1:37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t="s">
        <v>46</v>
      </c>
      <c r="L800">
        <v>55</v>
      </c>
      <c r="M800">
        <v>2</v>
      </c>
      <c r="N800">
        <v>1</v>
      </c>
      <c r="O800" t="s">
        <v>47</v>
      </c>
      <c r="P800">
        <v>2</v>
      </c>
      <c r="Q800" t="s">
        <v>41</v>
      </c>
      <c r="R800" s="3">
        <v>2313</v>
      </c>
      <c r="S800">
        <v>2993</v>
      </c>
      <c r="T800">
        <v>4</v>
      </c>
      <c r="U800" t="s">
        <v>35</v>
      </c>
      <c r="V800" s="2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tr">
        <f t="shared" si="48"/>
        <v>26-35</v>
      </c>
      <c r="AH800" t="str">
        <f t="shared" si="49"/>
        <v>Low</v>
      </c>
      <c r="AI800" s="1">
        <f>VLOOKUP(E800,Lookup_Tables!$A$3:$B$5,2,)</f>
        <v>6281.2528616024974</v>
      </c>
      <c r="AJ800" t="str">
        <f t="shared" si="50"/>
        <v>Below salary</v>
      </c>
      <c r="AK800" t="str">
        <f t="shared" si="51"/>
        <v>High Risk</v>
      </c>
    </row>
    <row r="801" spans="1:37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1109</v>
      </c>
      <c r="J801">
        <v>4</v>
      </c>
      <c r="K801" t="s">
        <v>46</v>
      </c>
      <c r="L801">
        <v>35</v>
      </c>
      <c r="M801">
        <v>3</v>
      </c>
      <c r="N801">
        <v>4</v>
      </c>
      <c r="O801" t="s">
        <v>56</v>
      </c>
      <c r="P801">
        <v>1</v>
      </c>
      <c r="Q801" t="s">
        <v>48</v>
      </c>
      <c r="R801" s="3">
        <v>17665</v>
      </c>
      <c r="S801">
        <v>14399</v>
      </c>
      <c r="T801">
        <v>0</v>
      </c>
      <c r="U801" t="s">
        <v>43</v>
      </c>
      <c r="V801" s="2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tr">
        <f t="shared" si="48"/>
        <v>36-45</v>
      </c>
      <c r="AH801" t="str">
        <f t="shared" si="49"/>
        <v>Very High</v>
      </c>
      <c r="AI801" s="1">
        <f>VLOOKUP(E801,Lookup_Tables!$A$3:$B$5,2,)</f>
        <v>6281.2528616024974</v>
      </c>
      <c r="AJ801" t="str">
        <f t="shared" si="50"/>
        <v>Above salary</v>
      </c>
      <c r="AK801" t="str">
        <f t="shared" si="51"/>
        <v>Medium Risk</v>
      </c>
    </row>
    <row r="802" spans="1:37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1111</v>
      </c>
      <c r="J802">
        <v>1</v>
      </c>
      <c r="K802" t="s">
        <v>46</v>
      </c>
      <c r="L802">
        <v>45</v>
      </c>
      <c r="M802">
        <v>2</v>
      </c>
      <c r="N802">
        <v>1</v>
      </c>
      <c r="O802" t="s">
        <v>50</v>
      </c>
      <c r="P802">
        <v>2</v>
      </c>
      <c r="Q802" t="s">
        <v>52</v>
      </c>
      <c r="R802" s="3">
        <v>2596</v>
      </c>
      <c r="S802">
        <v>7160</v>
      </c>
      <c r="T802">
        <v>1</v>
      </c>
      <c r="U802" t="s">
        <v>43</v>
      </c>
      <c r="V802" s="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tr">
        <f t="shared" si="48"/>
        <v>26-35</v>
      </c>
      <c r="AH802" t="str">
        <f t="shared" si="49"/>
        <v>Low</v>
      </c>
      <c r="AI802" s="1">
        <f>VLOOKUP(E802,Lookup_Tables!$A$3:$B$5,2,)</f>
        <v>6281.2528616024974</v>
      </c>
      <c r="AJ802" t="str">
        <f t="shared" si="50"/>
        <v>Below salary</v>
      </c>
      <c r="AK802" t="str">
        <f t="shared" si="51"/>
        <v>Medium Risk</v>
      </c>
    </row>
    <row r="803" spans="1:37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1113</v>
      </c>
      <c r="J803">
        <v>4</v>
      </c>
      <c r="K803" t="s">
        <v>46</v>
      </c>
      <c r="L803">
        <v>81</v>
      </c>
      <c r="M803">
        <v>3</v>
      </c>
      <c r="N803">
        <v>2</v>
      </c>
      <c r="O803" t="s">
        <v>40</v>
      </c>
      <c r="P803">
        <v>3</v>
      </c>
      <c r="Q803" t="s">
        <v>41</v>
      </c>
      <c r="R803" s="3">
        <v>4728</v>
      </c>
      <c r="S803">
        <v>17251</v>
      </c>
      <c r="T803">
        <v>3</v>
      </c>
      <c r="U803" t="s">
        <v>35</v>
      </c>
      <c r="V803" s="2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tr">
        <f t="shared" si="48"/>
        <v>46+</v>
      </c>
      <c r="AH803" t="str">
        <f t="shared" si="49"/>
        <v>Mid</v>
      </c>
      <c r="AI803" s="1">
        <f>VLOOKUP(E803,Lookup_Tables!$A$3:$B$5,2,)</f>
        <v>6959.17264573991</v>
      </c>
      <c r="AJ803" t="str">
        <f t="shared" si="50"/>
        <v>Below salary</v>
      </c>
      <c r="AK803" t="str">
        <f t="shared" si="51"/>
        <v>Medium Risk</v>
      </c>
    </row>
    <row r="804" spans="1:37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30</v>
      </c>
      <c r="M804">
        <v>3</v>
      </c>
      <c r="N804">
        <v>2</v>
      </c>
      <c r="O804" t="s">
        <v>40</v>
      </c>
      <c r="P804">
        <v>2</v>
      </c>
      <c r="Q804" t="s">
        <v>48</v>
      </c>
      <c r="R804" s="3">
        <v>4302</v>
      </c>
      <c r="S804">
        <v>13401</v>
      </c>
      <c r="T804">
        <v>0</v>
      </c>
      <c r="U804" t="s">
        <v>43</v>
      </c>
      <c r="V804" s="2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tr">
        <f t="shared" si="48"/>
        <v>26-35</v>
      </c>
      <c r="AH804" t="str">
        <f t="shared" si="49"/>
        <v>Mid</v>
      </c>
      <c r="AI804" s="1">
        <f>VLOOKUP(E804,Lookup_Tables!$A$3:$B$5,2,)</f>
        <v>6959.17264573991</v>
      </c>
      <c r="AJ804" t="str">
        <f t="shared" si="50"/>
        <v>Below salary</v>
      </c>
      <c r="AK804" t="str">
        <f t="shared" si="51"/>
        <v>Medium Risk</v>
      </c>
    </row>
    <row r="805" spans="1:37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46</v>
      </c>
      <c r="L805">
        <v>40</v>
      </c>
      <c r="M805">
        <v>2</v>
      </c>
      <c r="N805">
        <v>1</v>
      </c>
      <c r="O805" t="s">
        <v>47</v>
      </c>
      <c r="P805">
        <v>4</v>
      </c>
      <c r="Q805" t="s">
        <v>48</v>
      </c>
      <c r="R805" s="3">
        <v>2979</v>
      </c>
      <c r="S805">
        <v>22478</v>
      </c>
      <c r="T805">
        <v>3</v>
      </c>
      <c r="U805" t="s">
        <v>43</v>
      </c>
      <c r="V805" s="2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tr">
        <f t="shared" si="48"/>
        <v>26-35</v>
      </c>
      <c r="AH805" t="str">
        <f t="shared" si="49"/>
        <v>Low</v>
      </c>
      <c r="AI805" s="1">
        <f>VLOOKUP(E805,Lookup_Tables!$A$3:$B$5,2,)</f>
        <v>6281.2528616024974</v>
      </c>
      <c r="AJ805" t="str">
        <f t="shared" si="50"/>
        <v>Below salary</v>
      </c>
      <c r="AK805" t="str">
        <f t="shared" si="51"/>
        <v>Low Risk</v>
      </c>
    </row>
    <row r="806" spans="1:37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1116</v>
      </c>
      <c r="J806">
        <v>1</v>
      </c>
      <c r="K806" t="s">
        <v>46</v>
      </c>
      <c r="L806">
        <v>35</v>
      </c>
      <c r="M806">
        <v>4</v>
      </c>
      <c r="N806">
        <v>4</v>
      </c>
      <c r="O806" t="s">
        <v>56</v>
      </c>
      <c r="P806">
        <v>4</v>
      </c>
      <c r="Q806" t="s">
        <v>41</v>
      </c>
      <c r="R806" s="3">
        <v>16885</v>
      </c>
      <c r="S806">
        <v>16154</v>
      </c>
      <c r="T806">
        <v>2</v>
      </c>
      <c r="U806" t="s">
        <v>43</v>
      </c>
      <c r="V806" s="2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tr">
        <f t="shared" si="48"/>
        <v>46+</v>
      </c>
      <c r="AH806" t="str">
        <f t="shared" si="49"/>
        <v>Very High</v>
      </c>
      <c r="AI806" s="1">
        <f>VLOOKUP(E806,Lookup_Tables!$A$3:$B$5,2,)</f>
        <v>6281.2528616024974</v>
      </c>
      <c r="AJ806" t="str">
        <f t="shared" si="50"/>
        <v>Above salary</v>
      </c>
      <c r="AK806" t="str">
        <f t="shared" si="51"/>
        <v>Low Risk</v>
      </c>
    </row>
    <row r="807" spans="1:37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65</v>
      </c>
      <c r="M807">
        <v>2</v>
      </c>
      <c r="N807">
        <v>2</v>
      </c>
      <c r="O807" t="s">
        <v>40</v>
      </c>
      <c r="P807">
        <v>3</v>
      </c>
      <c r="Q807" t="s">
        <v>48</v>
      </c>
      <c r="R807" s="3">
        <v>5593</v>
      </c>
      <c r="S807">
        <v>17970</v>
      </c>
      <c r="T807">
        <v>1</v>
      </c>
      <c r="U807" t="s">
        <v>43</v>
      </c>
      <c r="V807" s="2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tr">
        <f t="shared" si="48"/>
        <v>36-45</v>
      </c>
      <c r="AH807" t="str">
        <f t="shared" si="49"/>
        <v>Mid</v>
      </c>
      <c r="AI807" s="1">
        <f>VLOOKUP(E807,Lookup_Tables!$A$3:$B$5,2,)</f>
        <v>6959.17264573991</v>
      </c>
      <c r="AJ807" t="str">
        <f t="shared" si="50"/>
        <v>Below salary</v>
      </c>
      <c r="AK807" t="str">
        <f t="shared" si="51"/>
        <v>Low Risk</v>
      </c>
    </row>
    <row r="808" spans="1:37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46</v>
      </c>
      <c r="L808">
        <v>87</v>
      </c>
      <c r="M808">
        <v>3</v>
      </c>
      <c r="N808">
        <v>3</v>
      </c>
      <c r="O808" t="s">
        <v>54</v>
      </c>
      <c r="P808">
        <v>2</v>
      </c>
      <c r="Q808" t="s">
        <v>41</v>
      </c>
      <c r="R808" s="3">
        <v>10445</v>
      </c>
      <c r="S808">
        <v>15322</v>
      </c>
      <c r="T808">
        <v>7</v>
      </c>
      <c r="U808" t="s">
        <v>43</v>
      </c>
      <c r="V808" s="2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tr">
        <f t="shared" si="48"/>
        <v>46+</v>
      </c>
      <c r="AH808" t="str">
        <f t="shared" si="49"/>
        <v>High</v>
      </c>
      <c r="AI808" s="1">
        <f>VLOOKUP(E808,Lookup_Tables!$A$3:$B$5,2,)</f>
        <v>6281.2528616024974</v>
      </c>
      <c r="AJ808" t="str">
        <f t="shared" si="50"/>
        <v>Above salary</v>
      </c>
      <c r="AK808" t="str">
        <f t="shared" si="51"/>
        <v>Medium Risk</v>
      </c>
    </row>
    <row r="809" spans="1:37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1119</v>
      </c>
      <c r="J809">
        <v>3</v>
      </c>
      <c r="K809" t="s">
        <v>46</v>
      </c>
      <c r="L809">
        <v>73</v>
      </c>
      <c r="M809">
        <v>2</v>
      </c>
      <c r="N809">
        <v>3</v>
      </c>
      <c r="O809" t="s">
        <v>40</v>
      </c>
      <c r="P809">
        <v>3</v>
      </c>
      <c r="Q809" t="s">
        <v>52</v>
      </c>
      <c r="R809" s="3">
        <v>8740</v>
      </c>
      <c r="S809">
        <v>5569</v>
      </c>
      <c r="T809">
        <v>0</v>
      </c>
      <c r="U809" t="s">
        <v>35</v>
      </c>
      <c r="V809" s="2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tr">
        <f t="shared" si="48"/>
        <v>36-45</v>
      </c>
      <c r="AH809" t="str">
        <f t="shared" si="49"/>
        <v>High</v>
      </c>
      <c r="AI809" s="1">
        <f>VLOOKUP(E809,Lookup_Tables!$A$3:$B$5,2,)</f>
        <v>6959.17264573991</v>
      </c>
      <c r="AJ809" t="str">
        <f t="shared" si="50"/>
        <v>Above salary</v>
      </c>
      <c r="AK809" t="str">
        <f t="shared" si="51"/>
        <v>Medium Risk</v>
      </c>
    </row>
    <row r="810" spans="1:37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93</v>
      </c>
      <c r="M810">
        <v>3</v>
      </c>
      <c r="N810">
        <v>1</v>
      </c>
      <c r="O810" t="s">
        <v>47</v>
      </c>
      <c r="P810">
        <v>4</v>
      </c>
      <c r="Q810" t="s">
        <v>52</v>
      </c>
      <c r="R810" s="3">
        <v>2514</v>
      </c>
      <c r="S810">
        <v>26968</v>
      </c>
      <c r="T810">
        <v>4</v>
      </c>
      <c r="U810" t="s">
        <v>43</v>
      </c>
      <c r="V810" s="2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tr">
        <f t="shared" si="48"/>
        <v>26-35</v>
      </c>
      <c r="AH810" t="str">
        <f t="shared" si="49"/>
        <v>Low</v>
      </c>
      <c r="AI810" s="1">
        <f>VLOOKUP(E810,Lookup_Tables!$A$3:$B$5,2,)</f>
        <v>6281.2528616024974</v>
      </c>
      <c r="AJ810" t="str">
        <f t="shared" si="50"/>
        <v>Below salary</v>
      </c>
      <c r="AK810" t="str">
        <f t="shared" si="51"/>
        <v>Low Risk</v>
      </c>
    </row>
    <row r="811" spans="1:37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1121</v>
      </c>
      <c r="J811">
        <v>4</v>
      </c>
      <c r="K811" t="s">
        <v>39</v>
      </c>
      <c r="L811">
        <v>93</v>
      </c>
      <c r="M811">
        <v>3</v>
      </c>
      <c r="N811">
        <v>3</v>
      </c>
      <c r="O811" t="s">
        <v>53</v>
      </c>
      <c r="P811">
        <v>2</v>
      </c>
      <c r="Q811" t="s">
        <v>52</v>
      </c>
      <c r="R811" s="3">
        <v>7655</v>
      </c>
      <c r="S811">
        <v>8039</v>
      </c>
      <c r="T811">
        <v>0</v>
      </c>
      <c r="U811" t="s">
        <v>43</v>
      </c>
      <c r="V811" s="2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tr">
        <f t="shared" si="48"/>
        <v>26-35</v>
      </c>
      <c r="AH811" t="str">
        <f t="shared" si="49"/>
        <v>High</v>
      </c>
      <c r="AI811" s="1">
        <f>VLOOKUP(E811,Lookup_Tables!$A$3:$B$5,2,)</f>
        <v>6281.2528616024974</v>
      </c>
      <c r="AJ811" t="str">
        <f t="shared" si="50"/>
        <v>Above salary</v>
      </c>
      <c r="AK811" t="str">
        <f t="shared" si="51"/>
        <v>Medium Risk</v>
      </c>
    </row>
    <row r="812" spans="1:37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1124</v>
      </c>
      <c r="J812">
        <v>1</v>
      </c>
      <c r="K812" t="s">
        <v>46</v>
      </c>
      <c r="L812">
        <v>52</v>
      </c>
      <c r="M812">
        <v>3</v>
      </c>
      <c r="N812">
        <v>4</v>
      </c>
      <c r="O812" t="s">
        <v>56</v>
      </c>
      <c r="P812">
        <v>3</v>
      </c>
      <c r="Q812" t="s">
        <v>48</v>
      </c>
      <c r="R812" s="3">
        <v>17465</v>
      </c>
      <c r="S812">
        <v>15596</v>
      </c>
      <c r="T812">
        <v>3</v>
      </c>
      <c r="U812" t="s">
        <v>43</v>
      </c>
      <c r="V812" s="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tr">
        <f t="shared" si="48"/>
        <v>46+</v>
      </c>
      <c r="AH812" t="str">
        <f t="shared" si="49"/>
        <v>Very High</v>
      </c>
      <c r="AI812" s="1">
        <f>VLOOKUP(E812,Lookup_Tables!$A$3:$B$5,2,)</f>
        <v>6959.17264573991</v>
      </c>
      <c r="AJ812" t="str">
        <f t="shared" si="50"/>
        <v>Above salary</v>
      </c>
      <c r="AK812" t="str">
        <f t="shared" si="51"/>
        <v>Low Risk</v>
      </c>
    </row>
    <row r="813" spans="1:37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1125</v>
      </c>
      <c r="J813">
        <v>4</v>
      </c>
      <c r="K813" t="s">
        <v>46</v>
      </c>
      <c r="L813">
        <v>32</v>
      </c>
      <c r="M813">
        <v>3</v>
      </c>
      <c r="N813">
        <v>3</v>
      </c>
      <c r="O813" t="s">
        <v>40</v>
      </c>
      <c r="P813">
        <v>2</v>
      </c>
      <c r="Q813" t="s">
        <v>41</v>
      </c>
      <c r="R813" s="3">
        <v>7351</v>
      </c>
      <c r="S813">
        <v>20619</v>
      </c>
      <c r="T813">
        <v>7</v>
      </c>
      <c r="U813" t="s">
        <v>43</v>
      </c>
      <c r="V813" s="2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tr">
        <f t="shared" si="48"/>
        <v>36-45</v>
      </c>
      <c r="AH813" t="str">
        <f t="shared" si="49"/>
        <v>High</v>
      </c>
      <c r="AI813" s="1">
        <f>VLOOKUP(E813,Lookup_Tables!$A$3:$B$5,2,)</f>
        <v>6959.17264573991</v>
      </c>
      <c r="AJ813" t="str">
        <f t="shared" si="50"/>
        <v>Above salary</v>
      </c>
      <c r="AK813" t="str">
        <f t="shared" si="51"/>
        <v>Medium Risk</v>
      </c>
    </row>
    <row r="814" spans="1:37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83</v>
      </c>
      <c r="M814">
        <v>3</v>
      </c>
      <c r="N814">
        <v>3</v>
      </c>
      <c r="O814" t="s">
        <v>53</v>
      </c>
      <c r="P814">
        <v>1</v>
      </c>
      <c r="Q814" t="s">
        <v>48</v>
      </c>
      <c r="R814" s="3">
        <v>10820</v>
      </c>
      <c r="S814">
        <v>11535</v>
      </c>
      <c r="T814">
        <v>8</v>
      </c>
      <c r="U814" t="s">
        <v>43</v>
      </c>
      <c r="V814" s="2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tr">
        <f t="shared" si="48"/>
        <v>36-45</v>
      </c>
      <c r="AH814" t="str">
        <f t="shared" si="49"/>
        <v>High</v>
      </c>
      <c r="AI814" s="1">
        <f>VLOOKUP(E814,Lookup_Tables!$A$3:$B$5,2,)</f>
        <v>6281.2528616024974</v>
      </c>
      <c r="AJ814" t="str">
        <f t="shared" si="50"/>
        <v>Above salary</v>
      </c>
      <c r="AK814" t="str">
        <f t="shared" si="51"/>
        <v>Medium Risk</v>
      </c>
    </row>
    <row r="815" spans="1:37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46</v>
      </c>
      <c r="L815">
        <v>84</v>
      </c>
      <c r="M815">
        <v>3</v>
      </c>
      <c r="N815">
        <v>4</v>
      </c>
      <c r="O815" t="s">
        <v>54</v>
      </c>
      <c r="P815">
        <v>4</v>
      </c>
      <c r="Q815" t="s">
        <v>52</v>
      </c>
      <c r="R815" s="3">
        <v>12169</v>
      </c>
      <c r="S815">
        <v>13547</v>
      </c>
      <c r="T815">
        <v>7</v>
      </c>
      <c r="U815" t="s">
        <v>43</v>
      </c>
      <c r="V815" s="2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tr">
        <f t="shared" si="48"/>
        <v>36-45</v>
      </c>
      <c r="AH815" t="str">
        <f t="shared" si="49"/>
        <v>Very High</v>
      </c>
      <c r="AI815" s="1">
        <f>VLOOKUP(E815,Lookup_Tables!$A$3:$B$5,2,)</f>
        <v>6281.2528616024974</v>
      </c>
      <c r="AJ815" t="str">
        <f t="shared" si="50"/>
        <v>Above salary</v>
      </c>
      <c r="AK815" t="str">
        <f t="shared" si="51"/>
        <v>Low Risk</v>
      </c>
    </row>
    <row r="816" spans="1:37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t="s">
        <v>46</v>
      </c>
      <c r="L816">
        <v>44</v>
      </c>
      <c r="M816">
        <v>2</v>
      </c>
      <c r="N816">
        <v>5</v>
      </c>
      <c r="O816" t="s">
        <v>58</v>
      </c>
      <c r="P816">
        <v>3</v>
      </c>
      <c r="Q816" t="s">
        <v>41</v>
      </c>
      <c r="R816" s="3">
        <v>19626</v>
      </c>
      <c r="S816">
        <v>17544</v>
      </c>
      <c r="T816">
        <v>1</v>
      </c>
      <c r="U816" t="s">
        <v>43</v>
      </c>
      <c r="V816" s="2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tr">
        <f t="shared" si="48"/>
        <v>36-45</v>
      </c>
      <c r="AH816" t="str">
        <f t="shared" si="49"/>
        <v>Very High</v>
      </c>
      <c r="AI816" s="1">
        <f>VLOOKUP(E816,Lookup_Tables!$A$3:$B$5,2,)</f>
        <v>6281.2528616024974</v>
      </c>
      <c r="AJ816" t="str">
        <f t="shared" si="50"/>
        <v>Above salary</v>
      </c>
      <c r="AK816" t="str">
        <f t="shared" si="51"/>
        <v>Low Risk</v>
      </c>
    </row>
    <row r="817" spans="1:37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1131</v>
      </c>
      <c r="J817">
        <v>4</v>
      </c>
      <c r="K817" t="s">
        <v>39</v>
      </c>
      <c r="L817">
        <v>70</v>
      </c>
      <c r="M817">
        <v>2</v>
      </c>
      <c r="N817">
        <v>1</v>
      </c>
      <c r="O817" t="s">
        <v>47</v>
      </c>
      <c r="P817">
        <v>2</v>
      </c>
      <c r="Q817" t="s">
        <v>41</v>
      </c>
      <c r="R817" s="3">
        <v>2070</v>
      </c>
      <c r="S817">
        <v>25326</v>
      </c>
      <c r="T817">
        <v>1</v>
      </c>
      <c r="U817" t="s">
        <v>35</v>
      </c>
      <c r="V817" s="2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tr">
        <f t="shared" si="48"/>
        <v>18-25</v>
      </c>
      <c r="AH817" t="str">
        <f t="shared" si="49"/>
        <v>Low</v>
      </c>
      <c r="AI817" s="1">
        <f>VLOOKUP(E817,Lookup_Tables!$A$3:$B$5,2,)</f>
        <v>6281.2528616024974</v>
      </c>
      <c r="AJ817" t="str">
        <f t="shared" si="50"/>
        <v>Below salary</v>
      </c>
      <c r="AK817" t="str">
        <f t="shared" si="51"/>
        <v>High Risk</v>
      </c>
    </row>
    <row r="818" spans="1:37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46</v>
      </c>
      <c r="L818">
        <v>70</v>
      </c>
      <c r="M818">
        <v>3</v>
      </c>
      <c r="N818">
        <v>2</v>
      </c>
      <c r="O818" t="s">
        <v>50</v>
      </c>
      <c r="P818">
        <v>2</v>
      </c>
      <c r="Q818" t="s">
        <v>41</v>
      </c>
      <c r="R818" s="3">
        <v>6782</v>
      </c>
      <c r="S818">
        <v>8770</v>
      </c>
      <c r="T818">
        <v>9</v>
      </c>
      <c r="U818" t="s">
        <v>43</v>
      </c>
      <c r="V818" s="2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tr">
        <f t="shared" si="48"/>
        <v>36-45</v>
      </c>
      <c r="AH818" t="str">
        <f t="shared" si="49"/>
        <v>Mid</v>
      </c>
      <c r="AI818" s="1">
        <f>VLOOKUP(E818,Lookup_Tables!$A$3:$B$5,2,)</f>
        <v>6281.2528616024974</v>
      </c>
      <c r="AJ818" t="str">
        <f t="shared" si="50"/>
        <v>Above salary</v>
      </c>
      <c r="AK818" t="str">
        <f t="shared" si="51"/>
        <v>Medium Risk</v>
      </c>
    </row>
    <row r="819" spans="1:37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46</v>
      </c>
      <c r="L819">
        <v>78</v>
      </c>
      <c r="M819">
        <v>3</v>
      </c>
      <c r="N819">
        <v>2</v>
      </c>
      <c r="O819" t="s">
        <v>53</v>
      </c>
      <c r="P819">
        <v>4</v>
      </c>
      <c r="Q819" t="s">
        <v>41</v>
      </c>
      <c r="R819" s="3">
        <v>7779</v>
      </c>
      <c r="S819">
        <v>23238</v>
      </c>
      <c r="T819">
        <v>2</v>
      </c>
      <c r="U819" t="s">
        <v>43</v>
      </c>
      <c r="V819" s="2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tr">
        <f t="shared" si="48"/>
        <v>36-45</v>
      </c>
      <c r="AH819" t="str">
        <f t="shared" si="49"/>
        <v>High</v>
      </c>
      <c r="AI819" s="1">
        <f>VLOOKUP(E819,Lookup_Tables!$A$3:$B$5,2,)</f>
        <v>6281.2528616024974</v>
      </c>
      <c r="AJ819" t="str">
        <f t="shared" si="50"/>
        <v>Above salary</v>
      </c>
      <c r="AK819" t="str">
        <f t="shared" si="51"/>
        <v>Low Risk</v>
      </c>
    </row>
    <row r="820" spans="1:37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46</v>
      </c>
      <c r="L820">
        <v>67</v>
      </c>
      <c r="M820">
        <v>4</v>
      </c>
      <c r="N820">
        <v>1</v>
      </c>
      <c r="O820" t="s">
        <v>57</v>
      </c>
      <c r="P820">
        <v>4</v>
      </c>
      <c r="Q820" t="s">
        <v>48</v>
      </c>
      <c r="R820" s="3">
        <v>2791</v>
      </c>
      <c r="S820">
        <v>21981</v>
      </c>
      <c r="T820">
        <v>0</v>
      </c>
      <c r="U820" t="s">
        <v>43</v>
      </c>
      <c r="V820" s="2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tr">
        <f t="shared" si="48"/>
        <v>26-35</v>
      </c>
      <c r="AH820" t="str">
        <f t="shared" si="49"/>
        <v>Low</v>
      </c>
      <c r="AI820" s="1">
        <f>VLOOKUP(E820,Lookup_Tables!$A$3:$B$5,2,)</f>
        <v>6959.17264573991</v>
      </c>
      <c r="AJ820" t="str">
        <f t="shared" si="50"/>
        <v>Below salary</v>
      </c>
      <c r="AK820" t="str">
        <f t="shared" si="51"/>
        <v>Low Risk</v>
      </c>
    </row>
    <row r="821" spans="1:37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46</v>
      </c>
      <c r="L821">
        <v>67</v>
      </c>
      <c r="M821">
        <v>2</v>
      </c>
      <c r="N821">
        <v>1</v>
      </c>
      <c r="O821" t="s">
        <v>47</v>
      </c>
      <c r="P821">
        <v>2</v>
      </c>
      <c r="Q821" t="s">
        <v>48</v>
      </c>
      <c r="R821" s="3">
        <v>3201</v>
      </c>
      <c r="S821">
        <v>19911</v>
      </c>
      <c r="T821">
        <v>0</v>
      </c>
      <c r="U821" t="s">
        <v>43</v>
      </c>
      <c r="V821" s="2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tr">
        <f t="shared" si="48"/>
        <v>26-35</v>
      </c>
      <c r="AH821" t="str">
        <f t="shared" si="49"/>
        <v>Mid</v>
      </c>
      <c r="AI821" s="1">
        <f>VLOOKUP(E821,Lookup_Tables!$A$3:$B$5,2,)</f>
        <v>6281.2528616024974</v>
      </c>
      <c r="AJ821" t="str">
        <f t="shared" si="50"/>
        <v>Below salary</v>
      </c>
      <c r="AK821" t="str">
        <f t="shared" si="51"/>
        <v>Medium Risk</v>
      </c>
    </row>
    <row r="822" spans="1:37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1137</v>
      </c>
      <c r="J822">
        <v>4</v>
      </c>
      <c r="K822" t="s">
        <v>46</v>
      </c>
      <c r="L822">
        <v>54</v>
      </c>
      <c r="M822">
        <v>3</v>
      </c>
      <c r="N822">
        <v>2</v>
      </c>
      <c r="O822" t="s">
        <v>40</v>
      </c>
      <c r="P822">
        <v>4</v>
      </c>
      <c r="Q822" t="s">
        <v>52</v>
      </c>
      <c r="R822" s="3">
        <v>4968</v>
      </c>
      <c r="S822">
        <v>18500</v>
      </c>
      <c r="T822">
        <v>1</v>
      </c>
      <c r="U822" t="s">
        <v>43</v>
      </c>
      <c r="V822" s="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tr">
        <f t="shared" si="48"/>
        <v>26-35</v>
      </c>
      <c r="AH822" t="str">
        <f t="shared" si="49"/>
        <v>Mid</v>
      </c>
      <c r="AI822" s="1">
        <f>VLOOKUP(E822,Lookup_Tables!$A$3:$B$5,2,)</f>
        <v>6959.17264573991</v>
      </c>
      <c r="AJ822" t="str">
        <f t="shared" si="50"/>
        <v>Below salary</v>
      </c>
      <c r="AK822" t="str">
        <f t="shared" si="51"/>
        <v>Low Risk</v>
      </c>
    </row>
    <row r="823" spans="1:37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1138</v>
      </c>
      <c r="J823">
        <v>4</v>
      </c>
      <c r="K823" t="s">
        <v>46</v>
      </c>
      <c r="L823">
        <v>56</v>
      </c>
      <c r="M823">
        <v>2</v>
      </c>
      <c r="N823">
        <v>4</v>
      </c>
      <c r="O823" t="s">
        <v>40</v>
      </c>
      <c r="P823">
        <v>2</v>
      </c>
      <c r="Q823" t="s">
        <v>48</v>
      </c>
      <c r="R823" s="3">
        <v>13120</v>
      </c>
      <c r="S823">
        <v>11879</v>
      </c>
      <c r="T823">
        <v>6</v>
      </c>
      <c r="U823" t="s">
        <v>43</v>
      </c>
      <c r="V823" s="2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tr">
        <f t="shared" si="48"/>
        <v>46+</v>
      </c>
      <c r="AH823" t="str">
        <f t="shared" si="49"/>
        <v>Very High</v>
      </c>
      <c r="AI823" s="1">
        <f>VLOOKUP(E823,Lookup_Tables!$A$3:$B$5,2,)</f>
        <v>6959.17264573991</v>
      </c>
      <c r="AJ823" t="str">
        <f t="shared" si="50"/>
        <v>Above salary</v>
      </c>
      <c r="AK823" t="str">
        <f t="shared" si="51"/>
        <v>Medium Risk</v>
      </c>
    </row>
    <row r="824" spans="1:37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46</v>
      </c>
      <c r="L824">
        <v>95</v>
      </c>
      <c r="M824">
        <v>3</v>
      </c>
      <c r="N824">
        <v>2</v>
      </c>
      <c r="O824" t="s">
        <v>53</v>
      </c>
      <c r="P824">
        <v>3</v>
      </c>
      <c r="Q824" t="s">
        <v>41</v>
      </c>
      <c r="R824" s="3">
        <v>4033</v>
      </c>
      <c r="S824">
        <v>15834</v>
      </c>
      <c r="T824">
        <v>2</v>
      </c>
      <c r="U824" t="s">
        <v>43</v>
      </c>
      <c r="V824" s="2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tr">
        <f t="shared" si="48"/>
        <v>26-35</v>
      </c>
      <c r="AH824" t="str">
        <f t="shared" si="49"/>
        <v>Mid</v>
      </c>
      <c r="AI824" s="1">
        <f>VLOOKUP(E824,Lookup_Tables!$A$3:$B$5,2,)</f>
        <v>6281.2528616024974</v>
      </c>
      <c r="AJ824" t="str">
        <f t="shared" si="50"/>
        <v>Below salary</v>
      </c>
      <c r="AK824" t="str">
        <f t="shared" si="51"/>
        <v>Low Risk</v>
      </c>
    </row>
    <row r="825" spans="1:37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61</v>
      </c>
      <c r="M825">
        <v>3</v>
      </c>
      <c r="N825">
        <v>1</v>
      </c>
      <c r="O825" t="s">
        <v>47</v>
      </c>
      <c r="P825">
        <v>2</v>
      </c>
      <c r="Q825" t="s">
        <v>52</v>
      </c>
      <c r="R825" s="3">
        <v>3291</v>
      </c>
      <c r="S825">
        <v>17940</v>
      </c>
      <c r="T825">
        <v>0</v>
      </c>
      <c r="U825" t="s">
        <v>43</v>
      </c>
      <c r="V825" s="2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tr">
        <f t="shared" si="48"/>
        <v>26-35</v>
      </c>
      <c r="AH825" t="str">
        <f t="shared" si="49"/>
        <v>Mid</v>
      </c>
      <c r="AI825" s="1">
        <f>VLOOKUP(E825,Lookup_Tables!$A$3:$B$5,2,)</f>
        <v>6281.2528616024974</v>
      </c>
      <c r="AJ825" t="str">
        <f t="shared" si="50"/>
        <v>Below salary</v>
      </c>
      <c r="AK825" t="str">
        <f t="shared" si="51"/>
        <v>Medium Risk</v>
      </c>
    </row>
    <row r="826" spans="1:37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t="s">
        <v>46</v>
      </c>
      <c r="L826">
        <v>56</v>
      </c>
      <c r="M826">
        <v>1</v>
      </c>
      <c r="N826">
        <v>2</v>
      </c>
      <c r="O826" t="s">
        <v>50</v>
      </c>
      <c r="P826">
        <v>4</v>
      </c>
      <c r="Q826" t="s">
        <v>41</v>
      </c>
      <c r="R826" s="3">
        <v>4272</v>
      </c>
      <c r="S826">
        <v>9558</v>
      </c>
      <c r="T826">
        <v>4</v>
      </c>
      <c r="U826" t="s">
        <v>43</v>
      </c>
      <c r="V826" s="2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tr">
        <f t="shared" si="48"/>
        <v>36-45</v>
      </c>
      <c r="AH826" t="str">
        <f t="shared" si="49"/>
        <v>Mid</v>
      </c>
      <c r="AI826" s="1">
        <f>VLOOKUP(E826,Lookup_Tables!$A$3:$B$5,2,)</f>
        <v>6281.2528616024974</v>
      </c>
      <c r="AJ826" t="str">
        <f t="shared" si="50"/>
        <v>Below salary</v>
      </c>
      <c r="AK826" t="str">
        <f t="shared" si="51"/>
        <v>Low Risk</v>
      </c>
    </row>
    <row r="827" spans="1:37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1150</v>
      </c>
      <c r="J827">
        <v>2</v>
      </c>
      <c r="K827" t="s">
        <v>46</v>
      </c>
      <c r="L827">
        <v>79</v>
      </c>
      <c r="M827">
        <v>2</v>
      </c>
      <c r="N827">
        <v>2</v>
      </c>
      <c r="O827" t="s">
        <v>53</v>
      </c>
      <c r="P827">
        <v>4</v>
      </c>
      <c r="Q827" t="s">
        <v>48</v>
      </c>
      <c r="R827" s="3">
        <v>5056</v>
      </c>
      <c r="S827">
        <v>17689</v>
      </c>
      <c r="T827">
        <v>1</v>
      </c>
      <c r="U827" t="s">
        <v>35</v>
      </c>
      <c r="V827" s="2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tr">
        <f t="shared" si="48"/>
        <v>26-35</v>
      </c>
      <c r="AH827" t="str">
        <f t="shared" si="49"/>
        <v>Mid</v>
      </c>
      <c r="AI827" s="1">
        <f>VLOOKUP(E827,Lookup_Tables!$A$3:$B$5,2,)</f>
        <v>6281.2528616024974</v>
      </c>
      <c r="AJ827" t="str">
        <f t="shared" si="50"/>
        <v>Below salary</v>
      </c>
      <c r="AK827" t="str">
        <f t="shared" si="51"/>
        <v>Medium Risk</v>
      </c>
    </row>
    <row r="828" spans="1:37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1152</v>
      </c>
      <c r="J828">
        <v>3</v>
      </c>
      <c r="K828" t="s">
        <v>46</v>
      </c>
      <c r="L828">
        <v>37</v>
      </c>
      <c r="M828">
        <v>4</v>
      </c>
      <c r="N828">
        <v>1</v>
      </c>
      <c r="O828" t="s">
        <v>61</v>
      </c>
      <c r="P828">
        <v>3</v>
      </c>
      <c r="Q828" t="s">
        <v>48</v>
      </c>
      <c r="R828" s="3">
        <v>2844</v>
      </c>
      <c r="S828">
        <v>6004</v>
      </c>
      <c r="T828">
        <v>1</v>
      </c>
      <c r="U828" t="s">
        <v>43</v>
      </c>
      <c r="V828" s="2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tr">
        <f t="shared" si="48"/>
        <v>36-45</v>
      </c>
      <c r="AH828" t="str">
        <f t="shared" si="49"/>
        <v>Low</v>
      </c>
      <c r="AI828" s="1">
        <f>VLOOKUP(E828,Lookup_Tables!$A$3:$B$5,2,)</f>
        <v>6654.5079365079364</v>
      </c>
      <c r="AJ828" t="str">
        <f t="shared" si="50"/>
        <v>Below salary</v>
      </c>
      <c r="AK828" t="str">
        <f t="shared" si="51"/>
        <v>Low Risk</v>
      </c>
    </row>
    <row r="829" spans="1:37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46</v>
      </c>
      <c r="L829">
        <v>39</v>
      </c>
      <c r="M829">
        <v>2</v>
      </c>
      <c r="N829">
        <v>1</v>
      </c>
      <c r="O829" t="s">
        <v>47</v>
      </c>
      <c r="P829">
        <v>3</v>
      </c>
      <c r="Q829" t="s">
        <v>52</v>
      </c>
      <c r="R829" s="3">
        <v>2703</v>
      </c>
      <c r="S829">
        <v>22088</v>
      </c>
      <c r="T829">
        <v>1</v>
      </c>
      <c r="U829" t="s">
        <v>35</v>
      </c>
      <c r="V829" s="2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tr">
        <f t="shared" si="48"/>
        <v>26-35</v>
      </c>
      <c r="AH829" t="str">
        <f t="shared" si="49"/>
        <v>Low</v>
      </c>
      <c r="AI829" s="1">
        <f>VLOOKUP(E829,Lookup_Tables!$A$3:$B$5,2,)</f>
        <v>6281.2528616024974</v>
      </c>
      <c r="AJ829" t="str">
        <f t="shared" si="50"/>
        <v>Below salary</v>
      </c>
      <c r="AK829" t="str">
        <f t="shared" si="51"/>
        <v>Medium Risk</v>
      </c>
    </row>
    <row r="830" spans="1:37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1156</v>
      </c>
      <c r="J830">
        <v>3</v>
      </c>
      <c r="K830" t="s">
        <v>46</v>
      </c>
      <c r="L830">
        <v>80</v>
      </c>
      <c r="M830">
        <v>3</v>
      </c>
      <c r="N830">
        <v>1</v>
      </c>
      <c r="O830" t="s">
        <v>50</v>
      </c>
      <c r="P830">
        <v>3</v>
      </c>
      <c r="Q830" t="s">
        <v>41</v>
      </c>
      <c r="R830" s="3">
        <v>1904</v>
      </c>
      <c r="S830">
        <v>13556</v>
      </c>
      <c r="T830">
        <v>1</v>
      </c>
      <c r="U830" t="s">
        <v>43</v>
      </c>
      <c r="V830" s="2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tr">
        <f t="shared" si="48"/>
        <v>18-25</v>
      </c>
      <c r="AH830" t="str">
        <f t="shared" si="49"/>
        <v>Low</v>
      </c>
      <c r="AI830" s="1">
        <f>VLOOKUP(E830,Lookup_Tables!$A$3:$B$5,2,)</f>
        <v>6281.2528616024974</v>
      </c>
      <c r="AJ830" t="str">
        <f t="shared" si="50"/>
        <v>Below salary</v>
      </c>
      <c r="AK830" t="str">
        <f t="shared" si="51"/>
        <v>Low Risk</v>
      </c>
    </row>
    <row r="831" spans="1:37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1157</v>
      </c>
      <c r="J831">
        <v>1</v>
      </c>
      <c r="K831" t="s">
        <v>39</v>
      </c>
      <c r="L831">
        <v>77</v>
      </c>
      <c r="M831">
        <v>3</v>
      </c>
      <c r="N831">
        <v>2</v>
      </c>
      <c r="O831" t="s">
        <v>40</v>
      </c>
      <c r="P831">
        <v>1</v>
      </c>
      <c r="Q831" t="s">
        <v>41</v>
      </c>
      <c r="R831" s="3">
        <v>8224</v>
      </c>
      <c r="S831">
        <v>18385</v>
      </c>
      <c r="T831">
        <v>0</v>
      </c>
      <c r="U831" t="s">
        <v>35</v>
      </c>
      <c r="V831" s="2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tr">
        <f t="shared" si="48"/>
        <v>26-35</v>
      </c>
      <c r="AH831" t="str">
        <f t="shared" si="49"/>
        <v>High</v>
      </c>
      <c r="AI831" s="1">
        <f>VLOOKUP(E831,Lookup_Tables!$A$3:$B$5,2,)</f>
        <v>6959.17264573991</v>
      </c>
      <c r="AJ831" t="str">
        <f t="shared" si="50"/>
        <v>Above salary</v>
      </c>
      <c r="AK831" t="str">
        <f t="shared" si="51"/>
        <v>High Risk</v>
      </c>
    </row>
    <row r="832" spans="1:37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46</v>
      </c>
      <c r="L832">
        <v>46</v>
      </c>
      <c r="M832">
        <v>3</v>
      </c>
      <c r="N832">
        <v>1</v>
      </c>
      <c r="O832" t="s">
        <v>50</v>
      </c>
      <c r="P832">
        <v>4</v>
      </c>
      <c r="Q832" t="s">
        <v>48</v>
      </c>
      <c r="R832" s="3">
        <v>4766</v>
      </c>
      <c r="S832">
        <v>9051</v>
      </c>
      <c r="T832">
        <v>3</v>
      </c>
      <c r="U832" t="s">
        <v>35</v>
      </c>
      <c r="V832" s="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tr">
        <f t="shared" si="48"/>
        <v>36-45</v>
      </c>
      <c r="AH832" t="str">
        <f t="shared" si="49"/>
        <v>Mid</v>
      </c>
      <c r="AI832" s="1">
        <f>VLOOKUP(E832,Lookup_Tables!$A$3:$B$5,2,)</f>
        <v>6281.2528616024974</v>
      </c>
      <c r="AJ832" t="str">
        <f t="shared" si="50"/>
        <v>Below salary</v>
      </c>
      <c r="AK832" t="str">
        <f t="shared" si="51"/>
        <v>Medium Risk</v>
      </c>
    </row>
    <row r="833" spans="1:37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t="s">
        <v>46</v>
      </c>
      <c r="L833">
        <v>72</v>
      </c>
      <c r="M833">
        <v>3</v>
      </c>
      <c r="N833">
        <v>1</v>
      </c>
      <c r="O833" t="s">
        <v>50</v>
      </c>
      <c r="P833">
        <v>3</v>
      </c>
      <c r="Q833" t="s">
        <v>48</v>
      </c>
      <c r="R833" s="3">
        <v>2610</v>
      </c>
      <c r="S833">
        <v>6233</v>
      </c>
      <c r="T833">
        <v>1</v>
      </c>
      <c r="U833" t="s">
        <v>43</v>
      </c>
      <c r="V833" s="2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tr">
        <f t="shared" si="48"/>
        <v>26-35</v>
      </c>
      <c r="AH833" t="str">
        <f t="shared" si="49"/>
        <v>Low</v>
      </c>
      <c r="AI833" s="1">
        <f>VLOOKUP(E833,Lookup_Tables!$A$3:$B$5,2,)</f>
        <v>6281.2528616024974</v>
      </c>
      <c r="AJ833" t="str">
        <f t="shared" si="50"/>
        <v>Below salary</v>
      </c>
      <c r="AK833" t="str">
        <f t="shared" si="51"/>
        <v>Low Risk</v>
      </c>
    </row>
    <row r="834" spans="1:37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t="s">
        <v>39</v>
      </c>
      <c r="L834">
        <v>52</v>
      </c>
      <c r="M834">
        <v>2</v>
      </c>
      <c r="N834">
        <v>2</v>
      </c>
      <c r="O834" t="s">
        <v>54</v>
      </c>
      <c r="P834">
        <v>4</v>
      </c>
      <c r="Q834" t="s">
        <v>52</v>
      </c>
      <c r="R834" s="3">
        <v>5731</v>
      </c>
      <c r="S834">
        <v>17171</v>
      </c>
      <c r="T834">
        <v>7</v>
      </c>
      <c r="U834" t="s">
        <v>43</v>
      </c>
      <c r="V834" s="2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tr">
        <f t="shared" ref="AG834:AG897" si="52">IF(A834&lt;=25,"18-25",IF(A834&lt;= 35, "26-35",IF(A834&lt;=45, "36-45","46+")))</f>
        <v>36-45</v>
      </c>
      <c r="AH834" t="str">
        <f t="shared" ref="AH834:AH897" si="53">IF(R834&lt;3000,"Low",IF(R834&lt;7000,"Mid", IF(R834&lt;12000, "High", "Very High")))</f>
        <v>Mid</v>
      </c>
      <c r="AI834" s="1">
        <f>VLOOKUP(E834,Lookup_Tables!$A$3:$B$5,2,)</f>
        <v>6281.2528616024974</v>
      </c>
      <c r="AJ834" t="str">
        <f t="shared" ref="AJ834:AJ897" si="54">IF(R834&gt;AI834, "Above salary","Below salary")</f>
        <v>Below salary</v>
      </c>
      <c r="AK834" t="str">
        <f t="shared" si="51"/>
        <v>Low Risk</v>
      </c>
    </row>
    <row r="835" spans="1:37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46</v>
      </c>
      <c r="L835">
        <v>55</v>
      </c>
      <c r="M835">
        <v>2</v>
      </c>
      <c r="N835">
        <v>1</v>
      </c>
      <c r="O835" t="s">
        <v>47</v>
      </c>
      <c r="P835">
        <v>3</v>
      </c>
      <c r="Q835" t="s">
        <v>48</v>
      </c>
      <c r="R835" s="3">
        <v>2539</v>
      </c>
      <c r="S835">
        <v>7950</v>
      </c>
      <c r="T835">
        <v>1</v>
      </c>
      <c r="U835" t="s">
        <v>43</v>
      </c>
      <c r="V835" s="2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tr">
        <f t="shared" si="52"/>
        <v>26-35</v>
      </c>
      <c r="AH835" t="str">
        <f t="shared" si="53"/>
        <v>Low</v>
      </c>
      <c r="AI835" s="1">
        <f>VLOOKUP(E835,Lookup_Tables!$A$3:$B$5,2,)</f>
        <v>6281.2528616024974</v>
      </c>
      <c r="AJ835" t="str">
        <f t="shared" si="54"/>
        <v>Below salary</v>
      </c>
      <c r="AK835" t="str">
        <f t="shared" ref="AK835:AK898" si="55">IF(AND(P835&lt;=2,U835="Yes"),"High Risk",IF(OR(P835&lt;=2,U835="Yes"),"Medium Risk","Low Risk"))</f>
        <v>Low Risk</v>
      </c>
    </row>
    <row r="836" spans="1:37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70</v>
      </c>
      <c r="M836">
        <v>3</v>
      </c>
      <c r="N836">
        <v>2</v>
      </c>
      <c r="O836" t="s">
        <v>40</v>
      </c>
      <c r="P836">
        <v>3</v>
      </c>
      <c r="Q836" t="s">
        <v>48</v>
      </c>
      <c r="R836" s="3">
        <v>5714</v>
      </c>
      <c r="S836">
        <v>5829</v>
      </c>
      <c r="T836">
        <v>1</v>
      </c>
      <c r="U836" t="s">
        <v>43</v>
      </c>
      <c r="V836" s="2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tr">
        <f t="shared" si="52"/>
        <v>26-35</v>
      </c>
      <c r="AH836" t="str">
        <f t="shared" si="53"/>
        <v>Mid</v>
      </c>
      <c r="AI836" s="1">
        <f>VLOOKUP(E836,Lookup_Tables!$A$3:$B$5,2,)</f>
        <v>6959.17264573991</v>
      </c>
      <c r="AJ836" t="str">
        <f t="shared" si="54"/>
        <v>Below salary</v>
      </c>
      <c r="AK836" t="str">
        <f t="shared" si="55"/>
        <v>Low Risk</v>
      </c>
    </row>
    <row r="837" spans="1:37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1164</v>
      </c>
      <c r="J837">
        <v>3</v>
      </c>
      <c r="K837" t="s">
        <v>46</v>
      </c>
      <c r="L837">
        <v>100</v>
      </c>
      <c r="M837">
        <v>3</v>
      </c>
      <c r="N837">
        <v>1</v>
      </c>
      <c r="O837" t="s">
        <v>61</v>
      </c>
      <c r="P837">
        <v>3</v>
      </c>
      <c r="Q837" t="s">
        <v>41</v>
      </c>
      <c r="R837" s="3">
        <v>4323</v>
      </c>
      <c r="S837">
        <v>7108</v>
      </c>
      <c r="T837">
        <v>1</v>
      </c>
      <c r="U837" t="s">
        <v>43</v>
      </c>
      <c r="V837" s="2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tr">
        <f t="shared" si="52"/>
        <v>26-35</v>
      </c>
      <c r="AH837" t="str">
        <f t="shared" si="53"/>
        <v>Mid</v>
      </c>
      <c r="AI837" s="1">
        <f>VLOOKUP(E837,Lookup_Tables!$A$3:$B$5,2,)</f>
        <v>6654.5079365079364</v>
      </c>
      <c r="AJ837" t="str">
        <f t="shared" si="54"/>
        <v>Below salary</v>
      </c>
      <c r="AK837" t="str">
        <f t="shared" si="55"/>
        <v>Low Risk</v>
      </c>
    </row>
    <row r="838" spans="1:37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45</v>
      </c>
      <c r="M838">
        <v>2</v>
      </c>
      <c r="N838">
        <v>3</v>
      </c>
      <c r="O838" t="s">
        <v>40</v>
      </c>
      <c r="P838">
        <v>1</v>
      </c>
      <c r="Q838" t="s">
        <v>48</v>
      </c>
      <c r="R838" s="3">
        <v>7336</v>
      </c>
      <c r="S838">
        <v>11162</v>
      </c>
      <c r="T838">
        <v>1</v>
      </c>
      <c r="U838" t="s">
        <v>43</v>
      </c>
      <c r="V838" s="2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tr">
        <f t="shared" si="52"/>
        <v>26-35</v>
      </c>
      <c r="AH838" t="str">
        <f t="shared" si="53"/>
        <v>High</v>
      </c>
      <c r="AI838" s="1">
        <f>VLOOKUP(E838,Lookup_Tables!$A$3:$B$5,2,)</f>
        <v>6959.17264573991</v>
      </c>
      <c r="AJ838" t="str">
        <f t="shared" si="54"/>
        <v>Above salary</v>
      </c>
      <c r="AK838" t="str">
        <f t="shared" si="55"/>
        <v>Medium Risk</v>
      </c>
    </row>
    <row r="839" spans="1:37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1166</v>
      </c>
      <c r="J839">
        <v>2</v>
      </c>
      <c r="K839" t="s">
        <v>39</v>
      </c>
      <c r="L839">
        <v>88</v>
      </c>
      <c r="M839">
        <v>3</v>
      </c>
      <c r="N839">
        <v>3</v>
      </c>
      <c r="O839" t="s">
        <v>58</v>
      </c>
      <c r="P839">
        <v>3</v>
      </c>
      <c r="Q839" t="s">
        <v>41</v>
      </c>
      <c r="R839" s="3">
        <v>13499</v>
      </c>
      <c r="S839">
        <v>13782</v>
      </c>
      <c r="T839">
        <v>9</v>
      </c>
      <c r="U839" t="s">
        <v>43</v>
      </c>
      <c r="V839" s="2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tr">
        <f t="shared" si="52"/>
        <v>36-45</v>
      </c>
      <c r="AH839" t="str">
        <f t="shared" si="53"/>
        <v>Very High</v>
      </c>
      <c r="AI839" s="1">
        <f>VLOOKUP(E839,Lookup_Tables!$A$3:$B$5,2,)</f>
        <v>6281.2528616024974</v>
      </c>
      <c r="AJ839" t="str">
        <f t="shared" si="54"/>
        <v>Above salary</v>
      </c>
      <c r="AK839" t="str">
        <f t="shared" si="55"/>
        <v>Low Risk</v>
      </c>
    </row>
    <row r="840" spans="1:37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46</v>
      </c>
      <c r="L840">
        <v>44</v>
      </c>
      <c r="M840">
        <v>3</v>
      </c>
      <c r="N840">
        <v>4</v>
      </c>
      <c r="O840" t="s">
        <v>40</v>
      </c>
      <c r="P840">
        <v>1</v>
      </c>
      <c r="Q840" t="s">
        <v>41</v>
      </c>
      <c r="R840" s="3">
        <v>13758</v>
      </c>
      <c r="S840">
        <v>2447</v>
      </c>
      <c r="T840">
        <v>0</v>
      </c>
      <c r="U840" t="s">
        <v>35</v>
      </c>
      <c r="V840" s="2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tr">
        <f t="shared" si="52"/>
        <v>36-45</v>
      </c>
      <c r="AH840" t="str">
        <f t="shared" si="53"/>
        <v>Very High</v>
      </c>
      <c r="AI840" s="1">
        <f>VLOOKUP(E840,Lookup_Tables!$A$3:$B$5,2,)</f>
        <v>6959.17264573991</v>
      </c>
      <c r="AJ840" t="str">
        <f t="shared" si="54"/>
        <v>Above salary</v>
      </c>
      <c r="AK840" t="str">
        <f t="shared" si="55"/>
        <v>High Risk</v>
      </c>
    </row>
    <row r="841" spans="1:37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1171</v>
      </c>
      <c r="J841">
        <v>2</v>
      </c>
      <c r="K841" t="s">
        <v>46</v>
      </c>
      <c r="L841">
        <v>45</v>
      </c>
      <c r="M841">
        <v>3</v>
      </c>
      <c r="N841">
        <v>2</v>
      </c>
      <c r="O841" t="s">
        <v>40</v>
      </c>
      <c r="P841">
        <v>1</v>
      </c>
      <c r="Q841" t="s">
        <v>41</v>
      </c>
      <c r="R841" s="3">
        <v>5155</v>
      </c>
      <c r="S841">
        <v>2253</v>
      </c>
      <c r="T841">
        <v>7</v>
      </c>
      <c r="U841" t="s">
        <v>43</v>
      </c>
      <c r="V841" s="2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tr">
        <f t="shared" si="52"/>
        <v>36-45</v>
      </c>
      <c r="AH841" t="str">
        <f t="shared" si="53"/>
        <v>Mid</v>
      </c>
      <c r="AI841" s="1">
        <f>VLOOKUP(E841,Lookup_Tables!$A$3:$B$5,2,)</f>
        <v>6959.17264573991</v>
      </c>
      <c r="AJ841" t="str">
        <f t="shared" si="54"/>
        <v>Below salary</v>
      </c>
      <c r="AK841" t="str">
        <f t="shared" si="55"/>
        <v>Medium Risk</v>
      </c>
    </row>
    <row r="842" spans="1:37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1172</v>
      </c>
      <c r="J842">
        <v>4</v>
      </c>
      <c r="K842" t="s">
        <v>46</v>
      </c>
      <c r="L842">
        <v>58</v>
      </c>
      <c r="M842">
        <v>2</v>
      </c>
      <c r="N842">
        <v>1</v>
      </c>
      <c r="O842" t="s">
        <v>50</v>
      </c>
      <c r="P842">
        <v>3</v>
      </c>
      <c r="Q842" t="s">
        <v>48</v>
      </c>
      <c r="R842" s="3">
        <v>2258</v>
      </c>
      <c r="S842">
        <v>16340</v>
      </c>
      <c r="T842">
        <v>6</v>
      </c>
      <c r="U842" t="s">
        <v>43</v>
      </c>
      <c r="V842" s="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tr">
        <f t="shared" si="52"/>
        <v>26-35</v>
      </c>
      <c r="AH842" t="str">
        <f t="shared" si="53"/>
        <v>Low</v>
      </c>
      <c r="AI842" s="1">
        <f>VLOOKUP(E842,Lookup_Tables!$A$3:$B$5,2,)</f>
        <v>6281.2528616024974</v>
      </c>
      <c r="AJ842" t="str">
        <f t="shared" si="54"/>
        <v>Below salary</v>
      </c>
      <c r="AK842" t="str">
        <f t="shared" si="55"/>
        <v>Low Risk</v>
      </c>
    </row>
    <row r="843" spans="1:37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t="s">
        <v>46</v>
      </c>
      <c r="L843">
        <v>49</v>
      </c>
      <c r="M843">
        <v>3</v>
      </c>
      <c r="N843">
        <v>1</v>
      </c>
      <c r="O843" t="s">
        <v>50</v>
      </c>
      <c r="P843">
        <v>2</v>
      </c>
      <c r="Q843" t="s">
        <v>41</v>
      </c>
      <c r="R843" s="3">
        <v>3597</v>
      </c>
      <c r="S843">
        <v>6409</v>
      </c>
      <c r="T843">
        <v>8</v>
      </c>
      <c r="U843" t="s">
        <v>43</v>
      </c>
      <c r="V843" s="2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tr">
        <f t="shared" si="52"/>
        <v>18-25</v>
      </c>
      <c r="AH843" t="str">
        <f t="shared" si="53"/>
        <v>Mid</v>
      </c>
      <c r="AI843" s="1">
        <f>VLOOKUP(E843,Lookup_Tables!$A$3:$B$5,2,)</f>
        <v>6281.2528616024974</v>
      </c>
      <c r="AJ843" t="str">
        <f t="shared" si="54"/>
        <v>Below salary</v>
      </c>
      <c r="AK843" t="str">
        <f t="shared" si="55"/>
        <v>Medium Risk</v>
      </c>
    </row>
    <row r="844" spans="1:37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79</v>
      </c>
      <c r="M844">
        <v>3</v>
      </c>
      <c r="N844">
        <v>1</v>
      </c>
      <c r="O844" t="s">
        <v>50</v>
      </c>
      <c r="P844">
        <v>4</v>
      </c>
      <c r="Q844" t="s">
        <v>48</v>
      </c>
      <c r="R844" s="3">
        <v>2515</v>
      </c>
      <c r="S844">
        <v>22955</v>
      </c>
      <c r="T844">
        <v>1</v>
      </c>
      <c r="U844" t="s">
        <v>35</v>
      </c>
      <c r="V844" s="2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tr">
        <f t="shared" si="52"/>
        <v>26-35</v>
      </c>
      <c r="AH844" t="str">
        <f t="shared" si="53"/>
        <v>Low</v>
      </c>
      <c r="AI844" s="1">
        <f>VLOOKUP(E844,Lookup_Tables!$A$3:$B$5,2,)</f>
        <v>6281.2528616024974</v>
      </c>
      <c r="AJ844" t="str">
        <f t="shared" si="54"/>
        <v>Below salary</v>
      </c>
      <c r="AK844" t="str">
        <f t="shared" si="55"/>
        <v>Medium Risk</v>
      </c>
    </row>
    <row r="845" spans="1:37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1177</v>
      </c>
      <c r="J845">
        <v>1</v>
      </c>
      <c r="K845" t="s">
        <v>46</v>
      </c>
      <c r="L845">
        <v>82</v>
      </c>
      <c r="M845">
        <v>4</v>
      </c>
      <c r="N845">
        <v>1</v>
      </c>
      <c r="O845" t="s">
        <v>50</v>
      </c>
      <c r="P845">
        <v>4</v>
      </c>
      <c r="Q845" t="s">
        <v>48</v>
      </c>
      <c r="R845" s="3">
        <v>4420</v>
      </c>
      <c r="S845">
        <v>13421</v>
      </c>
      <c r="T845">
        <v>1</v>
      </c>
      <c r="U845" t="s">
        <v>43</v>
      </c>
      <c r="V845" s="2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tr">
        <f t="shared" si="52"/>
        <v>26-35</v>
      </c>
      <c r="AH845" t="str">
        <f t="shared" si="53"/>
        <v>Mid</v>
      </c>
      <c r="AI845" s="1">
        <f>VLOOKUP(E845,Lookup_Tables!$A$3:$B$5,2,)</f>
        <v>6281.2528616024974</v>
      </c>
      <c r="AJ845" t="str">
        <f t="shared" si="54"/>
        <v>Below salary</v>
      </c>
      <c r="AK845" t="str">
        <f t="shared" si="55"/>
        <v>Low Risk</v>
      </c>
    </row>
    <row r="846" spans="1:37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1179</v>
      </c>
      <c r="J846">
        <v>3</v>
      </c>
      <c r="K846" t="s">
        <v>46</v>
      </c>
      <c r="L846">
        <v>72</v>
      </c>
      <c r="M846">
        <v>2</v>
      </c>
      <c r="N846">
        <v>2</v>
      </c>
      <c r="O846" t="s">
        <v>40</v>
      </c>
      <c r="P846">
        <v>3</v>
      </c>
      <c r="Q846" t="s">
        <v>48</v>
      </c>
      <c r="R846" s="3">
        <v>6578</v>
      </c>
      <c r="S846">
        <v>2706</v>
      </c>
      <c r="T846">
        <v>1</v>
      </c>
      <c r="U846" t="s">
        <v>43</v>
      </c>
      <c r="V846" s="2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tr">
        <f t="shared" si="52"/>
        <v>26-35</v>
      </c>
      <c r="AH846" t="str">
        <f t="shared" si="53"/>
        <v>Mid</v>
      </c>
      <c r="AI846" s="1">
        <f>VLOOKUP(E846,Lookup_Tables!$A$3:$B$5,2,)</f>
        <v>6959.17264573991</v>
      </c>
      <c r="AJ846" t="str">
        <f t="shared" si="54"/>
        <v>Below salary</v>
      </c>
      <c r="AK846" t="str">
        <f t="shared" si="55"/>
        <v>Low Risk</v>
      </c>
    </row>
    <row r="847" spans="1:37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t="s">
        <v>39</v>
      </c>
      <c r="L847">
        <v>92</v>
      </c>
      <c r="M847">
        <v>2</v>
      </c>
      <c r="N847">
        <v>2</v>
      </c>
      <c r="O847" t="s">
        <v>47</v>
      </c>
      <c r="P847">
        <v>4</v>
      </c>
      <c r="Q847" t="s">
        <v>48</v>
      </c>
      <c r="R847" s="3">
        <v>4422</v>
      </c>
      <c r="S847">
        <v>21203</v>
      </c>
      <c r="T847">
        <v>3</v>
      </c>
      <c r="U847" t="s">
        <v>35</v>
      </c>
      <c r="V847" s="2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tr">
        <f t="shared" si="52"/>
        <v>36-45</v>
      </c>
      <c r="AH847" t="str">
        <f t="shared" si="53"/>
        <v>Mid</v>
      </c>
      <c r="AI847" s="1">
        <f>VLOOKUP(E847,Lookup_Tables!$A$3:$B$5,2,)</f>
        <v>6281.2528616024974</v>
      </c>
      <c r="AJ847" t="str">
        <f t="shared" si="54"/>
        <v>Below salary</v>
      </c>
      <c r="AK847" t="str">
        <f t="shared" si="55"/>
        <v>Medium Risk</v>
      </c>
    </row>
    <row r="848" spans="1:37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46</v>
      </c>
      <c r="L848">
        <v>44</v>
      </c>
      <c r="M848">
        <v>2</v>
      </c>
      <c r="N848">
        <v>3</v>
      </c>
      <c r="O848" t="s">
        <v>53</v>
      </c>
      <c r="P848">
        <v>2</v>
      </c>
      <c r="Q848" t="s">
        <v>52</v>
      </c>
      <c r="R848" s="3">
        <v>10274</v>
      </c>
      <c r="S848">
        <v>19588</v>
      </c>
      <c r="T848">
        <v>2</v>
      </c>
      <c r="U848" t="s">
        <v>43</v>
      </c>
      <c r="V848" s="2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tr">
        <f t="shared" si="52"/>
        <v>26-35</v>
      </c>
      <c r="AH848" t="str">
        <f t="shared" si="53"/>
        <v>High</v>
      </c>
      <c r="AI848" s="1">
        <f>VLOOKUP(E848,Lookup_Tables!$A$3:$B$5,2,)</f>
        <v>6281.2528616024974</v>
      </c>
      <c r="AJ848" t="str">
        <f t="shared" si="54"/>
        <v>Above salary</v>
      </c>
      <c r="AK848" t="str">
        <f t="shared" si="55"/>
        <v>Medium Risk</v>
      </c>
    </row>
    <row r="849" spans="1:37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1184</v>
      </c>
      <c r="J849">
        <v>4</v>
      </c>
      <c r="K849" t="s">
        <v>46</v>
      </c>
      <c r="L849">
        <v>97</v>
      </c>
      <c r="M849">
        <v>2</v>
      </c>
      <c r="N849">
        <v>2</v>
      </c>
      <c r="O849" t="s">
        <v>54</v>
      </c>
      <c r="P849">
        <v>1</v>
      </c>
      <c r="Q849" t="s">
        <v>41</v>
      </c>
      <c r="R849" s="3">
        <v>5343</v>
      </c>
      <c r="S849">
        <v>25755</v>
      </c>
      <c r="T849">
        <v>0</v>
      </c>
      <c r="U849" t="s">
        <v>43</v>
      </c>
      <c r="V849" s="2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tr">
        <f t="shared" si="52"/>
        <v>26-35</v>
      </c>
      <c r="AH849" t="str">
        <f t="shared" si="53"/>
        <v>Mid</v>
      </c>
      <c r="AI849" s="1">
        <f>VLOOKUP(E849,Lookup_Tables!$A$3:$B$5,2,)</f>
        <v>6281.2528616024974</v>
      </c>
      <c r="AJ849" t="str">
        <f t="shared" si="54"/>
        <v>Below salary</v>
      </c>
      <c r="AK849" t="str">
        <f t="shared" si="55"/>
        <v>Medium Risk</v>
      </c>
    </row>
    <row r="850" spans="1:37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t="s">
        <v>46</v>
      </c>
      <c r="L850">
        <v>47</v>
      </c>
      <c r="M850">
        <v>2</v>
      </c>
      <c r="N850">
        <v>1</v>
      </c>
      <c r="O850" t="s">
        <v>50</v>
      </c>
      <c r="P850">
        <v>4</v>
      </c>
      <c r="Q850" t="s">
        <v>48</v>
      </c>
      <c r="R850" s="3">
        <v>2376</v>
      </c>
      <c r="S850">
        <v>26537</v>
      </c>
      <c r="T850">
        <v>1</v>
      </c>
      <c r="U850" t="s">
        <v>43</v>
      </c>
      <c r="V850" s="2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tr">
        <f t="shared" si="52"/>
        <v>26-35</v>
      </c>
      <c r="AH850" t="str">
        <f t="shared" si="53"/>
        <v>Low</v>
      </c>
      <c r="AI850" s="1">
        <f>VLOOKUP(E850,Lookup_Tables!$A$3:$B$5,2,)</f>
        <v>6281.2528616024974</v>
      </c>
      <c r="AJ850" t="str">
        <f t="shared" si="54"/>
        <v>Below salary</v>
      </c>
      <c r="AK850" t="str">
        <f t="shared" si="55"/>
        <v>Low Risk</v>
      </c>
    </row>
    <row r="851" spans="1:37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1188</v>
      </c>
      <c r="J851">
        <v>1</v>
      </c>
      <c r="K851" t="s">
        <v>39</v>
      </c>
      <c r="L851">
        <v>85</v>
      </c>
      <c r="M851">
        <v>1</v>
      </c>
      <c r="N851">
        <v>2</v>
      </c>
      <c r="O851" t="s">
        <v>40</v>
      </c>
      <c r="P851">
        <v>3</v>
      </c>
      <c r="Q851" t="s">
        <v>41</v>
      </c>
      <c r="R851" s="3">
        <v>5346</v>
      </c>
      <c r="S851">
        <v>9489</v>
      </c>
      <c r="T851">
        <v>8</v>
      </c>
      <c r="U851" t="s">
        <v>43</v>
      </c>
      <c r="V851" s="2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tr">
        <f t="shared" si="52"/>
        <v>36-45</v>
      </c>
      <c r="AH851" t="str">
        <f t="shared" si="53"/>
        <v>Mid</v>
      </c>
      <c r="AI851" s="1">
        <f>VLOOKUP(E851,Lookup_Tables!$A$3:$B$5,2,)</f>
        <v>6959.17264573991</v>
      </c>
      <c r="AJ851" t="str">
        <f t="shared" si="54"/>
        <v>Below salary</v>
      </c>
      <c r="AK851" t="str">
        <f t="shared" si="55"/>
        <v>Low Risk</v>
      </c>
    </row>
    <row r="852" spans="1:37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76</v>
      </c>
      <c r="M852">
        <v>3</v>
      </c>
      <c r="N852">
        <v>1</v>
      </c>
      <c r="O852" t="s">
        <v>57</v>
      </c>
      <c r="P852">
        <v>1</v>
      </c>
      <c r="Q852" t="s">
        <v>52</v>
      </c>
      <c r="R852" s="3">
        <v>2827</v>
      </c>
      <c r="S852">
        <v>14947</v>
      </c>
      <c r="T852">
        <v>1</v>
      </c>
      <c r="U852" t="s">
        <v>43</v>
      </c>
      <c r="V852" s="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tr">
        <f t="shared" si="52"/>
        <v>26-35</v>
      </c>
      <c r="AH852" t="str">
        <f t="shared" si="53"/>
        <v>Low</v>
      </c>
      <c r="AI852" s="1">
        <f>VLOOKUP(E852,Lookup_Tables!$A$3:$B$5,2,)</f>
        <v>6959.17264573991</v>
      </c>
      <c r="AJ852" t="str">
        <f t="shared" si="54"/>
        <v>Below salary</v>
      </c>
      <c r="AK852" t="str">
        <f t="shared" si="55"/>
        <v>Medium Risk</v>
      </c>
    </row>
    <row r="853" spans="1:37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1191</v>
      </c>
      <c r="J853">
        <v>4</v>
      </c>
      <c r="K853" t="s">
        <v>39</v>
      </c>
      <c r="L853">
        <v>92</v>
      </c>
      <c r="M853">
        <v>3</v>
      </c>
      <c r="N853">
        <v>5</v>
      </c>
      <c r="O853" t="s">
        <v>56</v>
      </c>
      <c r="P853">
        <v>1</v>
      </c>
      <c r="Q853" t="s">
        <v>52</v>
      </c>
      <c r="R853" s="3">
        <v>19943</v>
      </c>
      <c r="S853">
        <v>18575</v>
      </c>
      <c r="T853">
        <v>4</v>
      </c>
      <c r="U853" t="s">
        <v>43</v>
      </c>
      <c r="V853" s="2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tr">
        <f t="shared" si="52"/>
        <v>46+</v>
      </c>
      <c r="AH853" t="str">
        <f t="shared" si="53"/>
        <v>Very High</v>
      </c>
      <c r="AI853" s="1">
        <f>VLOOKUP(E853,Lookup_Tables!$A$3:$B$5,2,)</f>
        <v>6281.2528616024974</v>
      </c>
      <c r="AJ853" t="str">
        <f t="shared" si="54"/>
        <v>Above salary</v>
      </c>
      <c r="AK853" t="str">
        <f t="shared" si="55"/>
        <v>Medium Risk</v>
      </c>
    </row>
    <row r="854" spans="1:37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1192</v>
      </c>
      <c r="J854">
        <v>2</v>
      </c>
      <c r="K854" t="s">
        <v>39</v>
      </c>
      <c r="L854">
        <v>54</v>
      </c>
      <c r="M854">
        <v>3</v>
      </c>
      <c r="N854">
        <v>1</v>
      </c>
      <c r="O854" t="s">
        <v>50</v>
      </c>
      <c r="P854">
        <v>4</v>
      </c>
      <c r="Q854" t="s">
        <v>48</v>
      </c>
      <c r="R854" s="3">
        <v>3131</v>
      </c>
      <c r="S854">
        <v>26342</v>
      </c>
      <c r="T854">
        <v>1</v>
      </c>
      <c r="U854" t="s">
        <v>43</v>
      </c>
      <c r="V854" s="2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tr">
        <f t="shared" si="52"/>
        <v>26-35</v>
      </c>
      <c r="AH854" t="str">
        <f t="shared" si="53"/>
        <v>Mid</v>
      </c>
      <c r="AI854" s="1">
        <f>VLOOKUP(E854,Lookup_Tables!$A$3:$B$5,2,)</f>
        <v>6281.2528616024974</v>
      </c>
      <c r="AJ854" t="str">
        <f t="shared" si="54"/>
        <v>Below salary</v>
      </c>
      <c r="AK854" t="str">
        <f t="shared" si="55"/>
        <v>Low Risk</v>
      </c>
    </row>
    <row r="855" spans="1:37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46</v>
      </c>
      <c r="L855">
        <v>54</v>
      </c>
      <c r="M855">
        <v>3</v>
      </c>
      <c r="N855">
        <v>1</v>
      </c>
      <c r="O855" t="s">
        <v>47</v>
      </c>
      <c r="P855">
        <v>1</v>
      </c>
      <c r="Q855" t="s">
        <v>41</v>
      </c>
      <c r="R855" s="3">
        <v>2552</v>
      </c>
      <c r="S855">
        <v>7172</v>
      </c>
      <c r="T855">
        <v>1</v>
      </c>
      <c r="U855" t="s">
        <v>43</v>
      </c>
      <c r="V855" s="2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tr">
        <f t="shared" si="52"/>
        <v>18-25</v>
      </c>
      <c r="AH855" t="str">
        <f t="shared" si="53"/>
        <v>Low</v>
      </c>
      <c r="AI855" s="1">
        <f>VLOOKUP(E855,Lookup_Tables!$A$3:$B$5,2,)</f>
        <v>6281.2528616024974</v>
      </c>
      <c r="AJ855" t="str">
        <f t="shared" si="54"/>
        <v>Below salary</v>
      </c>
      <c r="AK855" t="str">
        <f t="shared" si="55"/>
        <v>Medium Risk</v>
      </c>
    </row>
    <row r="856" spans="1:37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1195</v>
      </c>
      <c r="J856">
        <v>1</v>
      </c>
      <c r="K856" t="s">
        <v>39</v>
      </c>
      <c r="L856">
        <v>83</v>
      </c>
      <c r="M856">
        <v>3</v>
      </c>
      <c r="N856">
        <v>1</v>
      </c>
      <c r="O856" t="s">
        <v>47</v>
      </c>
      <c r="P856">
        <v>3</v>
      </c>
      <c r="Q856" t="s">
        <v>48</v>
      </c>
      <c r="R856" s="3">
        <v>4477</v>
      </c>
      <c r="S856">
        <v>20100</v>
      </c>
      <c r="T856">
        <v>4</v>
      </c>
      <c r="U856" t="s">
        <v>35</v>
      </c>
      <c r="V856" s="2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tr">
        <f t="shared" si="52"/>
        <v>36-45</v>
      </c>
      <c r="AH856" t="str">
        <f t="shared" si="53"/>
        <v>Mid</v>
      </c>
      <c r="AI856" s="1">
        <f>VLOOKUP(E856,Lookup_Tables!$A$3:$B$5,2,)</f>
        <v>6281.2528616024974</v>
      </c>
      <c r="AJ856" t="str">
        <f t="shared" si="54"/>
        <v>Below salary</v>
      </c>
      <c r="AK856" t="str">
        <f t="shared" si="55"/>
        <v>Medium Risk</v>
      </c>
    </row>
    <row r="857" spans="1:37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56</v>
      </c>
      <c r="M857">
        <v>2</v>
      </c>
      <c r="N857">
        <v>2</v>
      </c>
      <c r="O857" t="s">
        <v>53</v>
      </c>
      <c r="P857">
        <v>4</v>
      </c>
      <c r="Q857" t="s">
        <v>48</v>
      </c>
      <c r="R857" s="3">
        <v>6474</v>
      </c>
      <c r="S857">
        <v>9961</v>
      </c>
      <c r="T857">
        <v>1</v>
      </c>
      <c r="U857" t="s">
        <v>43</v>
      </c>
      <c r="V857" s="2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tr">
        <f t="shared" si="52"/>
        <v>36-45</v>
      </c>
      <c r="AH857" t="str">
        <f t="shared" si="53"/>
        <v>Mid</v>
      </c>
      <c r="AI857" s="1">
        <f>VLOOKUP(E857,Lookup_Tables!$A$3:$B$5,2,)</f>
        <v>6281.2528616024974</v>
      </c>
      <c r="AJ857" t="str">
        <f t="shared" si="54"/>
        <v>Above salary</v>
      </c>
      <c r="AK857" t="str">
        <f t="shared" si="55"/>
        <v>Low Risk</v>
      </c>
    </row>
    <row r="858" spans="1:37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46</v>
      </c>
      <c r="L858">
        <v>87</v>
      </c>
      <c r="M858">
        <v>2</v>
      </c>
      <c r="N858">
        <v>1</v>
      </c>
      <c r="O858" t="s">
        <v>50</v>
      </c>
      <c r="P858">
        <v>3</v>
      </c>
      <c r="Q858" t="s">
        <v>41</v>
      </c>
      <c r="R858" s="3">
        <v>3033</v>
      </c>
      <c r="S858">
        <v>12828</v>
      </c>
      <c r="T858">
        <v>1</v>
      </c>
      <c r="U858" t="s">
        <v>43</v>
      </c>
      <c r="V858" s="2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tr">
        <f t="shared" si="52"/>
        <v>18-25</v>
      </c>
      <c r="AH858" t="str">
        <f t="shared" si="53"/>
        <v>Mid</v>
      </c>
      <c r="AI858" s="1">
        <f>VLOOKUP(E858,Lookup_Tables!$A$3:$B$5,2,)</f>
        <v>6281.2528616024974</v>
      </c>
      <c r="AJ858" t="str">
        <f t="shared" si="54"/>
        <v>Below salary</v>
      </c>
      <c r="AK858" t="str">
        <f t="shared" si="55"/>
        <v>Low Risk</v>
      </c>
    </row>
    <row r="859" spans="1:37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46</v>
      </c>
      <c r="L859">
        <v>96</v>
      </c>
      <c r="M859">
        <v>3</v>
      </c>
      <c r="N859">
        <v>1</v>
      </c>
      <c r="O859" t="s">
        <v>47</v>
      </c>
      <c r="P859">
        <v>3</v>
      </c>
      <c r="Q859" t="s">
        <v>41</v>
      </c>
      <c r="R859" s="3">
        <v>2936</v>
      </c>
      <c r="S859">
        <v>10826</v>
      </c>
      <c r="T859">
        <v>1</v>
      </c>
      <c r="U859" t="s">
        <v>35</v>
      </c>
      <c r="V859" s="2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tr">
        <f t="shared" si="52"/>
        <v>36-45</v>
      </c>
      <c r="AH859" t="str">
        <f t="shared" si="53"/>
        <v>Low</v>
      </c>
      <c r="AI859" s="1">
        <f>VLOOKUP(E859,Lookup_Tables!$A$3:$B$5,2,)</f>
        <v>6281.2528616024974</v>
      </c>
      <c r="AJ859" t="str">
        <f t="shared" si="54"/>
        <v>Below salary</v>
      </c>
      <c r="AK859" t="str">
        <f t="shared" si="55"/>
        <v>Medium Risk</v>
      </c>
    </row>
    <row r="860" spans="1:37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1201</v>
      </c>
      <c r="J860">
        <v>4</v>
      </c>
      <c r="K860" t="s">
        <v>39</v>
      </c>
      <c r="L860">
        <v>50</v>
      </c>
      <c r="M860">
        <v>3</v>
      </c>
      <c r="N860">
        <v>5</v>
      </c>
      <c r="O860" t="s">
        <v>56</v>
      </c>
      <c r="P860">
        <v>3</v>
      </c>
      <c r="Q860" t="s">
        <v>52</v>
      </c>
      <c r="R860" s="3">
        <v>18606</v>
      </c>
      <c r="S860">
        <v>18640</v>
      </c>
      <c r="T860">
        <v>3</v>
      </c>
      <c r="U860" t="s">
        <v>43</v>
      </c>
      <c r="V860" s="2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tr">
        <f t="shared" si="52"/>
        <v>46+</v>
      </c>
      <c r="AH860" t="str">
        <f t="shared" si="53"/>
        <v>Very High</v>
      </c>
      <c r="AI860" s="1">
        <f>VLOOKUP(E860,Lookup_Tables!$A$3:$B$5,2,)</f>
        <v>6281.2528616024974</v>
      </c>
      <c r="AJ860" t="str">
        <f t="shared" si="54"/>
        <v>Above salary</v>
      </c>
      <c r="AK860" t="str">
        <f t="shared" si="55"/>
        <v>Low Risk</v>
      </c>
    </row>
    <row r="861" spans="1:37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69</v>
      </c>
      <c r="M861">
        <v>1</v>
      </c>
      <c r="N861">
        <v>1</v>
      </c>
      <c r="O861" t="s">
        <v>47</v>
      </c>
      <c r="P861">
        <v>4</v>
      </c>
      <c r="Q861" t="s">
        <v>48</v>
      </c>
      <c r="R861" s="3">
        <v>2168</v>
      </c>
      <c r="S861">
        <v>26933</v>
      </c>
      <c r="T861">
        <v>0</v>
      </c>
      <c r="U861" t="s">
        <v>35</v>
      </c>
      <c r="V861" s="2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tr">
        <f t="shared" si="52"/>
        <v>26-35</v>
      </c>
      <c r="AH861" t="str">
        <f t="shared" si="53"/>
        <v>Low</v>
      </c>
      <c r="AI861" s="1">
        <f>VLOOKUP(E861,Lookup_Tables!$A$3:$B$5,2,)</f>
        <v>6281.2528616024974</v>
      </c>
      <c r="AJ861" t="str">
        <f t="shared" si="54"/>
        <v>Below salary</v>
      </c>
      <c r="AK861" t="str">
        <f t="shared" si="55"/>
        <v>Medium Risk</v>
      </c>
    </row>
    <row r="862" spans="1:37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46</v>
      </c>
      <c r="L862">
        <v>48</v>
      </c>
      <c r="M862">
        <v>2</v>
      </c>
      <c r="N862">
        <v>1</v>
      </c>
      <c r="O862" t="s">
        <v>47</v>
      </c>
      <c r="P862">
        <v>4</v>
      </c>
      <c r="Q862" t="s">
        <v>48</v>
      </c>
      <c r="R862" s="3">
        <v>2853</v>
      </c>
      <c r="S862">
        <v>4223</v>
      </c>
      <c r="T862">
        <v>0</v>
      </c>
      <c r="U862" t="s">
        <v>35</v>
      </c>
      <c r="V862" s="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tr">
        <f t="shared" si="52"/>
        <v>18-25</v>
      </c>
      <c r="AH862" t="str">
        <f t="shared" si="53"/>
        <v>Low</v>
      </c>
      <c r="AI862" s="1">
        <f>VLOOKUP(E862,Lookup_Tables!$A$3:$B$5,2,)</f>
        <v>6281.2528616024974</v>
      </c>
      <c r="AJ862" t="str">
        <f t="shared" si="54"/>
        <v>Below salary</v>
      </c>
      <c r="AK862" t="str">
        <f t="shared" si="55"/>
        <v>Medium Risk</v>
      </c>
    </row>
    <row r="863" spans="1:37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1204</v>
      </c>
      <c r="J863">
        <v>3</v>
      </c>
      <c r="K863" t="s">
        <v>39</v>
      </c>
      <c r="L863">
        <v>69</v>
      </c>
      <c r="M863">
        <v>3</v>
      </c>
      <c r="N863">
        <v>4</v>
      </c>
      <c r="O863" t="s">
        <v>56</v>
      </c>
      <c r="P863">
        <v>1</v>
      </c>
      <c r="Q863" t="s">
        <v>48</v>
      </c>
      <c r="R863" s="3">
        <v>17048</v>
      </c>
      <c r="S863">
        <v>24097</v>
      </c>
      <c r="T863">
        <v>8</v>
      </c>
      <c r="U863" t="s">
        <v>43</v>
      </c>
      <c r="V863" s="2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tr">
        <f t="shared" si="52"/>
        <v>46+</v>
      </c>
      <c r="AH863" t="str">
        <f t="shared" si="53"/>
        <v>Very High</v>
      </c>
      <c r="AI863" s="1">
        <f>VLOOKUP(E863,Lookup_Tables!$A$3:$B$5,2,)</f>
        <v>6959.17264573991</v>
      </c>
      <c r="AJ863" t="str">
        <f t="shared" si="54"/>
        <v>Above salary</v>
      </c>
      <c r="AK863" t="str">
        <f t="shared" si="55"/>
        <v>Medium Risk</v>
      </c>
    </row>
    <row r="864" spans="1:37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46</v>
      </c>
      <c r="L864">
        <v>74</v>
      </c>
      <c r="M864">
        <v>1</v>
      </c>
      <c r="N864">
        <v>1</v>
      </c>
      <c r="O864" t="s">
        <v>47</v>
      </c>
      <c r="P864">
        <v>3</v>
      </c>
      <c r="Q864" t="s">
        <v>41</v>
      </c>
      <c r="R864" s="3">
        <v>2290</v>
      </c>
      <c r="S864">
        <v>4279</v>
      </c>
      <c r="T864">
        <v>2</v>
      </c>
      <c r="U864" t="s">
        <v>43</v>
      </c>
      <c r="V864" s="2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tr">
        <f t="shared" si="52"/>
        <v>36-45</v>
      </c>
      <c r="AH864" t="str">
        <f t="shared" si="53"/>
        <v>Low</v>
      </c>
      <c r="AI864" s="1">
        <f>VLOOKUP(E864,Lookup_Tables!$A$3:$B$5,2,)</f>
        <v>6281.2528616024974</v>
      </c>
      <c r="AJ864" t="str">
        <f t="shared" si="54"/>
        <v>Below salary</v>
      </c>
      <c r="AK864" t="str">
        <f t="shared" si="55"/>
        <v>Low Risk</v>
      </c>
    </row>
    <row r="865" spans="1:37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1207</v>
      </c>
      <c r="J865">
        <v>2</v>
      </c>
      <c r="K865" t="s">
        <v>46</v>
      </c>
      <c r="L865">
        <v>99</v>
      </c>
      <c r="M865">
        <v>3</v>
      </c>
      <c r="N865">
        <v>1</v>
      </c>
      <c r="O865" t="s">
        <v>61</v>
      </c>
      <c r="P865">
        <v>3</v>
      </c>
      <c r="Q865" t="s">
        <v>48</v>
      </c>
      <c r="R865" s="3">
        <v>3600</v>
      </c>
      <c r="S865">
        <v>8429</v>
      </c>
      <c r="T865">
        <v>1</v>
      </c>
      <c r="U865" t="s">
        <v>43</v>
      </c>
      <c r="V865" s="2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tr">
        <f t="shared" si="52"/>
        <v>26-35</v>
      </c>
      <c r="AH865" t="str">
        <f t="shared" si="53"/>
        <v>Mid</v>
      </c>
      <c r="AI865" s="1">
        <f>VLOOKUP(E865,Lookup_Tables!$A$3:$B$5,2,)</f>
        <v>6654.5079365079364</v>
      </c>
      <c r="AJ865" t="str">
        <f t="shared" si="54"/>
        <v>Below salary</v>
      </c>
      <c r="AK865" t="str">
        <f t="shared" si="55"/>
        <v>Low Risk</v>
      </c>
    </row>
    <row r="866" spans="1:37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46</v>
      </c>
      <c r="L866">
        <v>95</v>
      </c>
      <c r="M866">
        <v>2</v>
      </c>
      <c r="N866">
        <v>1</v>
      </c>
      <c r="O866" t="s">
        <v>47</v>
      </c>
      <c r="P866">
        <v>1</v>
      </c>
      <c r="Q866" t="s">
        <v>52</v>
      </c>
      <c r="R866" s="3">
        <v>2107</v>
      </c>
      <c r="S866">
        <v>20293</v>
      </c>
      <c r="T866">
        <v>6</v>
      </c>
      <c r="U866" t="s">
        <v>43</v>
      </c>
      <c r="V866" s="2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tr">
        <f t="shared" si="52"/>
        <v>36-45</v>
      </c>
      <c r="AH866" t="str">
        <f t="shared" si="53"/>
        <v>Low</v>
      </c>
      <c r="AI866" s="1">
        <f>VLOOKUP(E866,Lookup_Tables!$A$3:$B$5,2,)</f>
        <v>6281.2528616024974</v>
      </c>
      <c r="AJ866" t="str">
        <f t="shared" si="54"/>
        <v>Below salary</v>
      </c>
      <c r="AK866" t="str">
        <f t="shared" si="55"/>
        <v>Medium Risk</v>
      </c>
    </row>
    <row r="867" spans="1:37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46</v>
      </c>
      <c r="L867">
        <v>61</v>
      </c>
      <c r="M867">
        <v>3</v>
      </c>
      <c r="N867">
        <v>2</v>
      </c>
      <c r="O867" t="s">
        <v>40</v>
      </c>
      <c r="P867">
        <v>1</v>
      </c>
      <c r="Q867" t="s">
        <v>52</v>
      </c>
      <c r="R867" s="3">
        <v>4115</v>
      </c>
      <c r="S867">
        <v>13192</v>
      </c>
      <c r="T867">
        <v>8</v>
      </c>
      <c r="U867" t="s">
        <v>43</v>
      </c>
      <c r="V867" s="2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tr">
        <f t="shared" si="52"/>
        <v>26-35</v>
      </c>
      <c r="AH867" t="str">
        <f t="shared" si="53"/>
        <v>Mid</v>
      </c>
      <c r="AI867" s="1">
        <f>VLOOKUP(E867,Lookup_Tables!$A$3:$B$5,2,)</f>
        <v>6959.17264573991</v>
      </c>
      <c r="AJ867" t="str">
        <f t="shared" si="54"/>
        <v>Below salary</v>
      </c>
      <c r="AK867" t="str">
        <f t="shared" si="55"/>
        <v>Medium Risk</v>
      </c>
    </row>
    <row r="868" spans="1:37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1212</v>
      </c>
      <c r="J868">
        <v>2</v>
      </c>
      <c r="K868" t="s">
        <v>46</v>
      </c>
      <c r="L868">
        <v>62</v>
      </c>
      <c r="M868">
        <v>3</v>
      </c>
      <c r="N868">
        <v>2</v>
      </c>
      <c r="O868" t="s">
        <v>40</v>
      </c>
      <c r="P868">
        <v>2</v>
      </c>
      <c r="Q868" t="s">
        <v>48</v>
      </c>
      <c r="R868" s="3">
        <v>4327</v>
      </c>
      <c r="S868">
        <v>25440</v>
      </c>
      <c r="T868">
        <v>5</v>
      </c>
      <c r="U868" t="s">
        <v>43</v>
      </c>
      <c r="V868" s="2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tr">
        <f t="shared" si="52"/>
        <v>36-45</v>
      </c>
      <c r="AH868" t="str">
        <f t="shared" si="53"/>
        <v>Mid</v>
      </c>
      <c r="AI868" s="1">
        <f>VLOOKUP(E868,Lookup_Tables!$A$3:$B$5,2,)</f>
        <v>6959.17264573991</v>
      </c>
      <c r="AJ868" t="str">
        <f t="shared" si="54"/>
        <v>Below salary</v>
      </c>
      <c r="AK868" t="str">
        <f t="shared" si="55"/>
        <v>Medium Risk</v>
      </c>
    </row>
    <row r="869" spans="1:37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1215</v>
      </c>
      <c r="J869">
        <v>4</v>
      </c>
      <c r="K869" t="s">
        <v>39</v>
      </c>
      <c r="L869">
        <v>30</v>
      </c>
      <c r="M869">
        <v>3</v>
      </c>
      <c r="N869">
        <v>4</v>
      </c>
      <c r="O869" t="s">
        <v>56</v>
      </c>
      <c r="P869">
        <v>1</v>
      </c>
      <c r="Q869" t="s">
        <v>48</v>
      </c>
      <c r="R869" s="3">
        <v>17856</v>
      </c>
      <c r="S869">
        <v>9490</v>
      </c>
      <c r="T869">
        <v>2</v>
      </c>
      <c r="U869" t="s">
        <v>43</v>
      </c>
      <c r="V869" s="2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tr">
        <f t="shared" si="52"/>
        <v>46+</v>
      </c>
      <c r="AH869" t="str">
        <f t="shared" si="53"/>
        <v>Very High</v>
      </c>
      <c r="AI869" s="1">
        <f>VLOOKUP(E869,Lookup_Tables!$A$3:$B$5,2,)</f>
        <v>6281.2528616024974</v>
      </c>
      <c r="AJ869" t="str">
        <f t="shared" si="54"/>
        <v>Above salary</v>
      </c>
      <c r="AK869" t="str">
        <f t="shared" si="55"/>
        <v>Medium Risk</v>
      </c>
    </row>
    <row r="870" spans="1:37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t="s">
        <v>46</v>
      </c>
      <c r="L870">
        <v>78</v>
      </c>
      <c r="M870">
        <v>2</v>
      </c>
      <c r="N870">
        <v>1</v>
      </c>
      <c r="O870" t="s">
        <v>50</v>
      </c>
      <c r="P870">
        <v>1</v>
      </c>
      <c r="Q870" t="s">
        <v>48</v>
      </c>
      <c r="R870" s="3">
        <v>3196</v>
      </c>
      <c r="S870">
        <v>12449</v>
      </c>
      <c r="T870">
        <v>1</v>
      </c>
      <c r="U870" t="s">
        <v>43</v>
      </c>
      <c r="V870" s="2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tr">
        <f t="shared" si="52"/>
        <v>26-35</v>
      </c>
      <c r="AH870" t="str">
        <f t="shared" si="53"/>
        <v>Mid</v>
      </c>
      <c r="AI870" s="1">
        <f>VLOOKUP(E870,Lookup_Tables!$A$3:$B$5,2,)</f>
        <v>6281.2528616024974</v>
      </c>
      <c r="AJ870" t="str">
        <f t="shared" si="54"/>
        <v>Below salary</v>
      </c>
      <c r="AK870" t="str">
        <f t="shared" si="55"/>
        <v>Medium Risk</v>
      </c>
    </row>
    <row r="871" spans="1:37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46</v>
      </c>
      <c r="L871">
        <v>52</v>
      </c>
      <c r="M871">
        <v>3</v>
      </c>
      <c r="N871">
        <v>5</v>
      </c>
      <c r="O871" t="s">
        <v>58</v>
      </c>
      <c r="P871">
        <v>2</v>
      </c>
      <c r="Q871" t="s">
        <v>48</v>
      </c>
      <c r="R871" s="3">
        <v>19081</v>
      </c>
      <c r="S871">
        <v>10849</v>
      </c>
      <c r="T871">
        <v>5</v>
      </c>
      <c r="U871" t="s">
        <v>43</v>
      </c>
      <c r="V871" s="2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tr">
        <f t="shared" si="52"/>
        <v>46+</v>
      </c>
      <c r="AH871" t="str">
        <f t="shared" si="53"/>
        <v>Very High</v>
      </c>
      <c r="AI871" s="1">
        <f>VLOOKUP(E871,Lookup_Tables!$A$3:$B$5,2,)</f>
        <v>6281.2528616024974</v>
      </c>
      <c r="AJ871" t="str">
        <f t="shared" si="54"/>
        <v>Above salary</v>
      </c>
      <c r="AK871" t="str">
        <f t="shared" si="55"/>
        <v>Medium Risk</v>
      </c>
    </row>
    <row r="872" spans="1:37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46</v>
      </c>
      <c r="L872">
        <v>94</v>
      </c>
      <c r="M872">
        <v>3</v>
      </c>
      <c r="N872">
        <v>2</v>
      </c>
      <c r="O872" t="s">
        <v>40</v>
      </c>
      <c r="P872">
        <v>1</v>
      </c>
      <c r="Q872" t="s">
        <v>48</v>
      </c>
      <c r="R872" s="3">
        <v>8966</v>
      </c>
      <c r="S872">
        <v>21026</v>
      </c>
      <c r="T872">
        <v>3</v>
      </c>
      <c r="U872" t="s">
        <v>35</v>
      </c>
      <c r="V872" s="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tr">
        <f t="shared" si="52"/>
        <v>26-35</v>
      </c>
      <c r="AH872" t="str">
        <f t="shared" si="53"/>
        <v>High</v>
      </c>
      <c r="AI872" s="1">
        <f>VLOOKUP(E872,Lookup_Tables!$A$3:$B$5,2,)</f>
        <v>6959.17264573991</v>
      </c>
      <c r="AJ872" t="str">
        <f t="shared" si="54"/>
        <v>Above salary</v>
      </c>
      <c r="AK872" t="str">
        <f t="shared" si="55"/>
        <v>High Risk</v>
      </c>
    </row>
    <row r="873" spans="1:37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97</v>
      </c>
      <c r="M873">
        <v>3</v>
      </c>
      <c r="N873">
        <v>1</v>
      </c>
      <c r="O873" t="s">
        <v>50</v>
      </c>
      <c r="P873">
        <v>2</v>
      </c>
      <c r="Q873" t="s">
        <v>48</v>
      </c>
      <c r="R873" s="3">
        <v>2210</v>
      </c>
      <c r="S873">
        <v>3372</v>
      </c>
      <c r="T873">
        <v>1</v>
      </c>
      <c r="U873" t="s">
        <v>43</v>
      </c>
      <c r="V873" s="2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tr">
        <f t="shared" si="52"/>
        <v>18-25</v>
      </c>
      <c r="AH873" t="str">
        <f t="shared" si="53"/>
        <v>Low</v>
      </c>
      <c r="AI873" s="1">
        <f>VLOOKUP(E873,Lookup_Tables!$A$3:$B$5,2,)</f>
        <v>6281.2528616024974</v>
      </c>
      <c r="AJ873" t="str">
        <f t="shared" si="54"/>
        <v>Below salary</v>
      </c>
      <c r="AK873" t="str">
        <f t="shared" si="55"/>
        <v>Medium Risk</v>
      </c>
    </row>
    <row r="874" spans="1:37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t="s">
        <v>39</v>
      </c>
      <c r="L874">
        <v>82</v>
      </c>
      <c r="M874">
        <v>3</v>
      </c>
      <c r="N874">
        <v>2</v>
      </c>
      <c r="O874" t="s">
        <v>40</v>
      </c>
      <c r="P874">
        <v>3</v>
      </c>
      <c r="Q874" t="s">
        <v>48</v>
      </c>
      <c r="R874" s="3">
        <v>4539</v>
      </c>
      <c r="S874">
        <v>4905</v>
      </c>
      <c r="T874">
        <v>1</v>
      </c>
      <c r="U874" t="s">
        <v>43</v>
      </c>
      <c r="V874" s="2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tr">
        <f t="shared" si="52"/>
        <v>26-35</v>
      </c>
      <c r="AH874" t="str">
        <f t="shared" si="53"/>
        <v>Mid</v>
      </c>
      <c r="AI874" s="1">
        <f>VLOOKUP(E874,Lookup_Tables!$A$3:$B$5,2,)</f>
        <v>6959.17264573991</v>
      </c>
      <c r="AJ874" t="str">
        <f t="shared" si="54"/>
        <v>Below salary</v>
      </c>
      <c r="AK874" t="str">
        <f t="shared" si="55"/>
        <v>Low Risk</v>
      </c>
    </row>
    <row r="875" spans="1:37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46</v>
      </c>
      <c r="L875">
        <v>60</v>
      </c>
      <c r="M875">
        <v>1</v>
      </c>
      <c r="N875">
        <v>1</v>
      </c>
      <c r="O875" t="s">
        <v>50</v>
      </c>
      <c r="P875">
        <v>3</v>
      </c>
      <c r="Q875" t="s">
        <v>52</v>
      </c>
      <c r="R875" s="3">
        <v>2741</v>
      </c>
      <c r="S875">
        <v>6865</v>
      </c>
      <c r="T875">
        <v>1</v>
      </c>
      <c r="U875" t="s">
        <v>43</v>
      </c>
      <c r="V875" s="2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tr">
        <f t="shared" si="52"/>
        <v>36-45</v>
      </c>
      <c r="AH875" t="str">
        <f t="shared" si="53"/>
        <v>Low</v>
      </c>
      <c r="AI875" s="1">
        <f>VLOOKUP(E875,Lookup_Tables!$A$3:$B$5,2,)</f>
        <v>6281.2528616024974</v>
      </c>
      <c r="AJ875" t="str">
        <f t="shared" si="54"/>
        <v>Below salary</v>
      </c>
      <c r="AK875" t="str">
        <f t="shared" si="55"/>
        <v>Low Risk</v>
      </c>
    </row>
    <row r="876" spans="1:37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46</v>
      </c>
      <c r="L876">
        <v>49</v>
      </c>
      <c r="M876">
        <v>3</v>
      </c>
      <c r="N876">
        <v>2</v>
      </c>
      <c r="O876" t="s">
        <v>50</v>
      </c>
      <c r="P876">
        <v>3</v>
      </c>
      <c r="Q876" t="s">
        <v>52</v>
      </c>
      <c r="R876" s="3">
        <v>3491</v>
      </c>
      <c r="S876">
        <v>11309</v>
      </c>
      <c r="T876">
        <v>1</v>
      </c>
      <c r="U876" t="s">
        <v>43</v>
      </c>
      <c r="V876" s="2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tr">
        <f t="shared" si="52"/>
        <v>26-35</v>
      </c>
      <c r="AH876" t="str">
        <f t="shared" si="53"/>
        <v>Mid</v>
      </c>
      <c r="AI876" s="1">
        <f>VLOOKUP(E876,Lookup_Tables!$A$3:$B$5,2,)</f>
        <v>6281.2528616024974</v>
      </c>
      <c r="AJ876" t="str">
        <f t="shared" si="54"/>
        <v>Below salary</v>
      </c>
      <c r="AK876" t="str">
        <f t="shared" si="55"/>
        <v>Low Risk</v>
      </c>
    </row>
    <row r="877" spans="1:37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t="s">
        <v>46</v>
      </c>
      <c r="L877">
        <v>32</v>
      </c>
      <c r="M877">
        <v>3</v>
      </c>
      <c r="N877">
        <v>2</v>
      </c>
      <c r="O877" t="s">
        <v>47</v>
      </c>
      <c r="P877">
        <v>4</v>
      </c>
      <c r="Q877" t="s">
        <v>41</v>
      </c>
      <c r="R877" s="3">
        <v>4541</v>
      </c>
      <c r="S877">
        <v>7744</v>
      </c>
      <c r="T877">
        <v>1</v>
      </c>
      <c r="U877" t="s">
        <v>43</v>
      </c>
      <c r="V877" s="2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tr">
        <f t="shared" si="52"/>
        <v>36-45</v>
      </c>
      <c r="AH877" t="str">
        <f t="shared" si="53"/>
        <v>Mid</v>
      </c>
      <c r="AI877" s="1">
        <f>VLOOKUP(E877,Lookup_Tables!$A$3:$B$5,2,)</f>
        <v>6281.2528616024974</v>
      </c>
      <c r="AJ877" t="str">
        <f t="shared" si="54"/>
        <v>Below salary</v>
      </c>
      <c r="AK877" t="str">
        <f t="shared" si="55"/>
        <v>Low Risk</v>
      </c>
    </row>
    <row r="878" spans="1:37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1226</v>
      </c>
      <c r="J878">
        <v>3</v>
      </c>
      <c r="K878" t="s">
        <v>46</v>
      </c>
      <c r="L878">
        <v>43</v>
      </c>
      <c r="M878">
        <v>4</v>
      </c>
      <c r="N878">
        <v>1</v>
      </c>
      <c r="O878" t="s">
        <v>57</v>
      </c>
      <c r="P878">
        <v>4</v>
      </c>
      <c r="Q878" t="s">
        <v>41</v>
      </c>
      <c r="R878" s="3">
        <v>2678</v>
      </c>
      <c r="S878">
        <v>5050</v>
      </c>
      <c r="T878">
        <v>1</v>
      </c>
      <c r="U878" t="s">
        <v>43</v>
      </c>
      <c r="V878" s="2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tr">
        <f t="shared" si="52"/>
        <v>18-25</v>
      </c>
      <c r="AH878" t="str">
        <f t="shared" si="53"/>
        <v>Low</v>
      </c>
      <c r="AI878" s="1">
        <f>VLOOKUP(E878,Lookup_Tables!$A$3:$B$5,2,)</f>
        <v>6959.17264573991</v>
      </c>
      <c r="AJ878" t="str">
        <f t="shared" si="54"/>
        <v>Below salary</v>
      </c>
      <c r="AK878" t="str">
        <f t="shared" si="55"/>
        <v>Low Risk</v>
      </c>
    </row>
    <row r="879" spans="1:37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1228</v>
      </c>
      <c r="J879">
        <v>4</v>
      </c>
      <c r="K879" t="s">
        <v>46</v>
      </c>
      <c r="L879">
        <v>60</v>
      </c>
      <c r="M879">
        <v>3</v>
      </c>
      <c r="N879">
        <v>2</v>
      </c>
      <c r="O879" t="s">
        <v>53</v>
      </c>
      <c r="P879">
        <v>4</v>
      </c>
      <c r="Q879" t="s">
        <v>52</v>
      </c>
      <c r="R879" s="3">
        <v>7379</v>
      </c>
      <c r="S879">
        <v>17433</v>
      </c>
      <c r="T879">
        <v>2</v>
      </c>
      <c r="U879" t="s">
        <v>43</v>
      </c>
      <c r="V879" s="2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tr">
        <f t="shared" si="52"/>
        <v>46+</v>
      </c>
      <c r="AH879" t="str">
        <f t="shared" si="53"/>
        <v>High</v>
      </c>
      <c r="AI879" s="1">
        <f>VLOOKUP(E879,Lookup_Tables!$A$3:$B$5,2,)</f>
        <v>6281.2528616024974</v>
      </c>
      <c r="AJ879" t="str">
        <f t="shared" si="54"/>
        <v>Above salary</v>
      </c>
      <c r="AK879" t="str">
        <f t="shared" si="55"/>
        <v>Low Risk</v>
      </c>
    </row>
    <row r="880" spans="1:37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1231</v>
      </c>
      <c r="J880">
        <v>4</v>
      </c>
      <c r="K880" t="s">
        <v>46</v>
      </c>
      <c r="L880">
        <v>79</v>
      </c>
      <c r="M880">
        <v>4</v>
      </c>
      <c r="N880">
        <v>2</v>
      </c>
      <c r="O880" t="s">
        <v>61</v>
      </c>
      <c r="P880">
        <v>1</v>
      </c>
      <c r="Q880" t="s">
        <v>48</v>
      </c>
      <c r="R880" s="3">
        <v>6272</v>
      </c>
      <c r="S880">
        <v>12858</v>
      </c>
      <c r="T880">
        <v>7</v>
      </c>
      <c r="U880" t="s">
        <v>43</v>
      </c>
      <c r="V880" s="2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tr">
        <f t="shared" si="52"/>
        <v>36-45</v>
      </c>
      <c r="AH880" t="str">
        <f t="shared" si="53"/>
        <v>Mid</v>
      </c>
      <c r="AI880" s="1">
        <f>VLOOKUP(E880,Lookup_Tables!$A$3:$B$5,2,)</f>
        <v>6654.5079365079364</v>
      </c>
      <c r="AJ880" t="str">
        <f t="shared" si="54"/>
        <v>Below salary</v>
      </c>
      <c r="AK880" t="str">
        <f t="shared" si="55"/>
        <v>Medium Risk</v>
      </c>
    </row>
    <row r="881" spans="1:37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1233</v>
      </c>
      <c r="J881">
        <v>2</v>
      </c>
      <c r="K881" t="s">
        <v>46</v>
      </c>
      <c r="L881">
        <v>52</v>
      </c>
      <c r="M881">
        <v>4</v>
      </c>
      <c r="N881">
        <v>2</v>
      </c>
      <c r="O881" t="s">
        <v>40</v>
      </c>
      <c r="P881">
        <v>4</v>
      </c>
      <c r="Q881" t="s">
        <v>52</v>
      </c>
      <c r="R881" s="3">
        <v>5220</v>
      </c>
      <c r="S881">
        <v>10893</v>
      </c>
      <c r="T881">
        <v>0</v>
      </c>
      <c r="U881" t="s">
        <v>35</v>
      </c>
      <c r="V881" s="2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tr">
        <f t="shared" si="52"/>
        <v>46+</v>
      </c>
      <c r="AH881" t="str">
        <f t="shared" si="53"/>
        <v>Mid</v>
      </c>
      <c r="AI881" s="1">
        <f>VLOOKUP(E881,Lookup_Tables!$A$3:$B$5,2,)</f>
        <v>6959.17264573991</v>
      </c>
      <c r="AJ881" t="str">
        <f t="shared" si="54"/>
        <v>Below salary</v>
      </c>
      <c r="AK881" t="str">
        <f t="shared" si="55"/>
        <v>Medium Risk</v>
      </c>
    </row>
    <row r="882" spans="1:37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t="s">
        <v>39</v>
      </c>
      <c r="L882">
        <v>77</v>
      </c>
      <c r="M882">
        <v>2</v>
      </c>
      <c r="N882">
        <v>1</v>
      </c>
      <c r="O882" t="s">
        <v>50</v>
      </c>
      <c r="P882">
        <v>2</v>
      </c>
      <c r="Q882" t="s">
        <v>48</v>
      </c>
      <c r="R882" s="3">
        <v>2743</v>
      </c>
      <c r="S882">
        <v>7331</v>
      </c>
      <c r="T882">
        <v>1</v>
      </c>
      <c r="U882" t="s">
        <v>43</v>
      </c>
      <c r="V882" s="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tr">
        <f t="shared" si="52"/>
        <v>26-35</v>
      </c>
      <c r="AH882" t="str">
        <f t="shared" si="53"/>
        <v>Low</v>
      </c>
      <c r="AI882" s="1">
        <f>VLOOKUP(E882,Lookup_Tables!$A$3:$B$5,2,)</f>
        <v>6281.2528616024974</v>
      </c>
      <c r="AJ882" t="str">
        <f t="shared" si="54"/>
        <v>Below salary</v>
      </c>
      <c r="AK882" t="str">
        <f t="shared" si="55"/>
        <v>Medium Risk</v>
      </c>
    </row>
    <row r="883" spans="1:37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38</v>
      </c>
      <c r="M883">
        <v>3</v>
      </c>
      <c r="N883">
        <v>2</v>
      </c>
      <c r="O883" t="s">
        <v>47</v>
      </c>
      <c r="P883">
        <v>3</v>
      </c>
      <c r="Q883" t="s">
        <v>41</v>
      </c>
      <c r="R883" s="3">
        <v>4998</v>
      </c>
      <c r="S883">
        <v>2338</v>
      </c>
      <c r="T883">
        <v>4</v>
      </c>
      <c r="U883" t="s">
        <v>35</v>
      </c>
      <c r="V883" s="2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tr">
        <f t="shared" si="52"/>
        <v>26-35</v>
      </c>
      <c r="AH883" t="str">
        <f t="shared" si="53"/>
        <v>Mid</v>
      </c>
      <c r="AI883" s="1">
        <f>VLOOKUP(E883,Lookup_Tables!$A$3:$B$5,2,)</f>
        <v>6281.2528616024974</v>
      </c>
      <c r="AJ883" t="str">
        <f t="shared" si="54"/>
        <v>Below salary</v>
      </c>
      <c r="AK883" t="str">
        <f t="shared" si="55"/>
        <v>Medium Risk</v>
      </c>
    </row>
    <row r="884" spans="1:37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1237</v>
      </c>
      <c r="J884">
        <v>3</v>
      </c>
      <c r="K884" t="s">
        <v>39</v>
      </c>
      <c r="L884">
        <v>77</v>
      </c>
      <c r="M884">
        <v>1</v>
      </c>
      <c r="N884">
        <v>3</v>
      </c>
      <c r="O884" t="s">
        <v>53</v>
      </c>
      <c r="P884">
        <v>1</v>
      </c>
      <c r="Q884" t="s">
        <v>52</v>
      </c>
      <c r="R884" s="3">
        <v>10252</v>
      </c>
      <c r="S884">
        <v>4235</v>
      </c>
      <c r="T884">
        <v>2</v>
      </c>
      <c r="U884" t="s">
        <v>35</v>
      </c>
      <c r="V884" s="2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tr">
        <f t="shared" si="52"/>
        <v>36-45</v>
      </c>
      <c r="AH884" t="str">
        <f t="shared" si="53"/>
        <v>High</v>
      </c>
      <c r="AI884" s="1">
        <f>VLOOKUP(E884,Lookup_Tables!$A$3:$B$5,2,)</f>
        <v>6281.2528616024974</v>
      </c>
      <c r="AJ884" t="str">
        <f t="shared" si="54"/>
        <v>Above salary</v>
      </c>
      <c r="AK884" t="str">
        <f t="shared" si="55"/>
        <v>High Risk</v>
      </c>
    </row>
    <row r="885" spans="1:37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1238</v>
      </c>
      <c r="J885">
        <v>1</v>
      </c>
      <c r="K885" t="s">
        <v>46</v>
      </c>
      <c r="L885">
        <v>60</v>
      </c>
      <c r="M885">
        <v>3</v>
      </c>
      <c r="N885">
        <v>1</v>
      </c>
      <c r="O885" t="s">
        <v>47</v>
      </c>
      <c r="P885">
        <v>4</v>
      </c>
      <c r="Q885" t="s">
        <v>48</v>
      </c>
      <c r="R885" s="3">
        <v>2781</v>
      </c>
      <c r="S885">
        <v>6311</v>
      </c>
      <c r="T885">
        <v>0</v>
      </c>
      <c r="U885" t="s">
        <v>43</v>
      </c>
      <c r="V885" s="2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tr">
        <f t="shared" si="52"/>
        <v>26-35</v>
      </c>
      <c r="AH885" t="str">
        <f t="shared" si="53"/>
        <v>Low</v>
      </c>
      <c r="AI885" s="1">
        <f>VLOOKUP(E885,Lookup_Tables!$A$3:$B$5,2,)</f>
        <v>6281.2528616024974</v>
      </c>
      <c r="AJ885" t="str">
        <f t="shared" si="54"/>
        <v>Below salary</v>
      </c>
      <c r="AK885" t="str">
        <f t="shared" si="55"/>
        <v>Low Risk</v>
      </c>
    </row>
    <row r="886" spans="1:37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1239</v>
      </c>
      <c r="J886">
        <v>2</v>
      </c>
      <c r="K886" t="s">
        <v>39</v>
      </c>
      <c r="L886">
        <v>84</v>
      </c>
      <c r="M886">
        <v>2</v>
      </c>
      <c r="N886">
        <v>2</v>
      </c>
      <c r="O886" t="s">
        <v>40</v>
      </c>
      <c r="P886">
        <v>2</v>
      </c>
      <c r="Q886" t="s">
        <v>52</v>
      </c>
      <c r="R886" s="3">
        <v>6852</v>
      </c>
      <c r="S886">
        <v>11591</v>
      </c>
      <c r="T886">
        <v>7</v>
      </c>
      <c r="U886" t="s">
        <v>43</v>
      </c>
      <c r="V886" s="2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tr">
        <f t="shared" si="52"/>
        <v>36-45</v>
      </c>
      <c r="AH886" t="str">
        <f t="shared" si="53"/>
        <v>Mid</v>
      </c>
      <c r="AI886" s="1">
        <f>VLOOKUP(E886,Lookup_Tables!$A$3:$B$5,2,)</f>
        <v>6959.17264573991</v>
      </c>
      <c r="AJ886" t="str">
        <f t="shared" si="54"/>
        <v>Below salary</v>
      </c>
      <c r="AK886" t="str">
        <f t="shared" si="55"/>
        <v>Medium Risk</v>
      </c>
    </row>
    <row r="887" spans="1:37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46</v>
      </c>
      <c r="L887">
        <v>57</v>
      </c>
      <c r="M887">
        <v>3</v>
      </c>
      <c r="N887">
        <v>2</v>
      </c>
      <c r="O887" t="s">
        <v>40</v>
      </c>
      <c r="P887">
        <v>4</v>
      </c>
      <c r="Q887" t="s">
        <v>41</v>
      </c>
      <c r="R887" s="3">
        <v>4950</v>
      </c>
      <c r="S887">
        <v>20623</v>
      </c>
      <c r="T887">
        <v>0</v>
      </c>
      <c r="U887" t="s">
        <v>43</v>
      </c>
      <c r="V887" s="2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tr">
        <f t="shared" si="52"/>
        <v>18-25</v>
      </c>
      <c r="AH887" t="str">
        <f t="shared" si="53"/>
        <v>Mid</v>
      </c>
      <c r="AI887" s="1">
        <f>VLOOKUP(E887,Lookup_Tables!$A$3:$B$5,2,)</f>
        <v>6959.17264573991</v>
      </c>
      <c r="AJ887" t="str">
        <f t="shared" si="54"/>
        <v>Below salary</v>
      </c>
      <c r="AK887" t="str">
        <f t="shared" si="55"/>
        <v>Low Risk</v>
      </c>
    </row>
    <row r="888" spans="1:37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1241</v>
      </c>
      <c r="J888">
        <v>4</v>
      </c>
      <c r="K888" t="s">
        <v>46</v>
      </c>
      <c r="L888">
        <v>63</v>
      </c>
      <c r="M888">
        <v>3</v>
      </c>
      <c r="N888">
        <v>1</v>
      </c>
      <c r="O888" t="s">
        <v>47</v>
      </c>
      <c r="P888">
        <v>2</v>
      </c>
      <c r="Q888" t="s">
        <v>48</v>
      </c>
      <c r="R888" s="3">
        <v>3579</v>
      </c>
      <c r="S888">
        <v>9369</v>
      </c>
      <c r="T888">
        <v>0</v>
      </c>
      <c r="U888" t="s">
        <v>35</v>
      </c>
      <c r="V888" s="2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tr">
        <f t="shared" si="52"/>
        <v>26-35</v>
      </c>
      <c r="AH888" t="str">
        <f t="shared" si="53"/>
        <v>Mid</v>
      </c>
      <c r="AI888" s="1">
        <f>VLOOKUP(E888,Lookup_Tables!$A$3:$B$5,2,)</f>
        <v>6281.2528616024974</v>
      </c>
      <c r="AJ888" t="str">
        <f t="shared" si="54"/>
        <v>Below salary</v>
      </c>
      <c r="AK888" t="str">
        <f t="shared" si="55"/>
        <v>High Risk</v>
      </c>
    </row>
    <row r="889" spans="1:37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t="s">
        <v>39</v>
      </c>
      <c r="L889">
        <v>60</v>
      </c>
      <c r="M889">
        <v>3</v>
      </c>
      <c r="N889">
        <v>3</v>
      </c>
      <c r="O889" t="s">
        <v>58</v>
      </c>
      <c r="P889">
        <v>1</v>
      </c>
      <c r="Q889" t="s">
        <v>48</v>
      </c>
      <c r="R889" s="3">
        <v>13191</v>
      </c>
      <c r="S889">
        <v>23281</v>
      </c>
      <c r="T889">
        <v>3</v>
      </c>
      <c r="U889" t="s">
        <v>35</v>
      </c>
      <c r="V889" s="2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tr">
        <f t="shared" si="52"/>
        <v>36-45</v>
      </c>
      <c r="AH889" t="str">
        <f t="shared" si="53"/>
        <v>Very High</v>
      </c>
      <c r="AI889" s="1">
        <f>VLOOKUP(E889,Lookup_Tables!$A$3:$B$5,2,)</f>
        <v>6281.2528616024974</v>
      </c>
      <c r="AJ889" t="str">
        <f t="shared" si="54"/>
        <v>Above salary</v>
      </c>
      <c r="AK889" t="str">
        <f t="shared" si="55"/>
        <v>High Risk</v>
      </c>
    </row>
    <row r="890" spans="1:37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1243</v>
      </c>
      <c r="J890">
        <v>3</v>
      </c>
      <c r="K890" t="s">
        <v>39</v>
      </c>
      <c r="L890">
        <v>78</v>
      </c>
      <c r="M890">
        <v>2</v>
      </c>
      <c r="N890">
        <v>3</v>
      </c>
      <c r="O890" t="s">
        <v>40</v>
      </c>
      <c r="P890">
        <v>4</v>
      </c>
      <c r="Q890" t="s">
        <v>48</v>
      </c>
      <c r="R890" s="3">
        <v>10377</v>
      </c>
      <c r="S890">
        <v>13755</v>
      </c>
      <c r="T890">
        <v>4</v>
      </c>
      <c r="U890" t="s">
        <v>35</v>
      </c>
      <c r="V890" s="2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tr">
        <f t="shared" si="52"/>
        <v>26-35</v>
      </c>
      <c r="AH890" t="str">
        <f t="shared" si="53"/>
        <v>High</v>
      </c>
      <c r="AI890" s="1">
        <f>VLOOKUP(E890,Lookup_Tables!$A$3:$B$5,2,)</f>
        <v>6959.17264573991</v>
      </c>
      <c r="AJ890" t="str">
        <f t="shared" si="54"/>
        <v>Above salary</v>
      </c>
      <c r="AK890" t="str">
        <f t="shared" si="55"/>
        <v>Medium Risk</v>
      </c>
    </row>
    <row r="891" spans="1:37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46</v>
      </c>
      <c r="L891">
        <v>42</v>
      </c>
      <c r="M891">
        <v>3</v>
      </c>
      <c r="N891">
        <v>1</v>
      </c>
      <c r="O891" t="s">
        <v>47</v>
      </c>
      <c r="P891">
        <v>1</v>
      </c>
      <c r="Q891" t="s">
        <v>48</v>
      </c>
      <c r="R891" s="3">
        <v>2235</v>
      </c>
      <c r="S891">
        <v>14377</v>
      </c>
      <c r="T891">
        <v>1</v>
      </c>
      <c r="U891" t="s">
        <v>35</v>
      </c>
      <c r="V891" s="2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tr">
        <f t="shared" si="52"/>
        <v>26-35</v>
      </c>
      <c r="AH891" t="str">
        <f t="shared" si="53"/>
        <v>Low</v>
      </c>
      <c r="AI891" s="1">
        <f>VLOOKUP(E891,Lookup_Tables!$A$3:$B$5,2,)</f>
        <v>6281.2528616024974</v>
      </c>
      <c r="AJ891" t="str">
        <f t="shared" si="54"/>
        <v>Below salary</v>
      </c>
      <c r="AK891" t="str">
        <f t="shared" si="55"/>
        <v>High Risk</v>
      </c>
    </row>
    <row r="892" spans="1:37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53</v>
      </c>
      <c r="M892">
        <v>3</v>
      </c>
      <c r="N892">
        <v>3</v>
      </c>
      <c r="O892" t="s">
        <v>53</v>
      </c>
      <c r="P892">
        <v>3</v>
      </c>
      <c r="Q892" t="s">
        <v>52</v>
      </c>
      <c r="R892" s="3">
        <v>10502</v>
      </c>
      <c r="S892">
        <v>9659</v>
      </c>
      <c r="T892">
        <v>7</v>
      </c>
      <c r="U892" t="s">
        <v>43</v>
      </c>
      <c r="V892" s="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tr">
        <f t="shared" si="52"/>
        <v>46+</v>
      </c>
      <c r="AH892" t="str">
        <f t="shared" si="53"/>
        <v>High</v>
      </c>
      <c r="AI892" s="1">
        <f>VLOOKUP(E892,Lookup_Tables!$A$3:$B$5,2,)</f>
        <v>6281.2528616024974</v>
      </c>
      <c r="AJ892" t="str">
        <f t="shared" si="54"/>
        <v>Above salary</v>
      </c>
      <c r="AK892" t="str">
        <f t="shared" si="55"/>
        <v>Low Risk</v>
      </c>
    </row>
    <row r="893" spans="1:37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72</v>
      </c>
      <c r="M893">
        <v>4</v>
      </c>
      <c r="N893">
        <v>1</v>
      </c>
      <c r="O893" t="s">
        <v>47</v>
      </c>
      <c r="P893">
        <v>4</v>
      </c>
      <c r="Q893" t="s">
        <v>48</v>
      </c>
      <c r="R893" s="3">
        <v>2011</v>
      </c>
      <c r="S893">
        <v>19982</v>
      </c>
      <c r="T893">
        <v>1</v>
      </c>
      <c r="U893" t="s">
        <v>43</v>
      </c>
      <c r="V893" s="2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tr">
        <f t="shared" si="52"/>
        <v>36-45</v>
      </c>
      <c r="AH893" t="str">
        <f t="shared" si="53"/>
        <v>Low</v>
      </c>
      <c r="AI893" s="1">
        <f>VLOOKUP(E893,Lookup_Tables!$A$3:$B$5,2,)</f>
        <v>6281.2528616024974</v>
      </c>
      <c r="AJ893" t="str">
        <f t="shared" si="54"/>
        <v>Below salary</v>
      </c>
      <c r="AK893" t="str">
        <f t="shared" si="55"/>
        <v>Low Risk</v>
      </c>
    </row>
    <row r="894" spans="1:37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t="s">
        <v>39</v>
      </c>
      <c r="L894">
        <v>96</v>
      </c>
      <c r="M894">
        <v>2</v>
      </c>
      <c r="N894">
        <v>1</v>
      </c>
      <c r="O894" t="s">
        <v>47</v>
      </c>
      <c r="P894">
        <v>2</v>
      </c>
      <c r="Q894" t="s">
        <v>41</v>
      </c>
      <c r="R894" s="3">
        <v>1859</v>
      </c>
      <c r="S894">
        <v>6148</v>
      </c>
      <c r="T894">
        <v>1</v>
      </c>
      <c r="U894" t="s">
        <v>35</v>
      </c>
      <c r="V894" s="2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tr">
        <f t="shared" si="52"/>
        <v>18-25</v>
      </c>
      <c r="AH894" t="str">
        <f t="shared" si="53"/>
        <v>Low</v>
      </c>
      <c r="AI894" s="1">
        <f>VLOOKUP(E894,Lookup_Tables!$A$3:$B$5,2,)</f>
        <v>6281.2528616024974</v>
      </c>
      <c r="AJ894" t="str">
        <f t="shared" si="54"/>
        <v>Below salary</v>
      </c>
      <c r="AK894" t="str">
        <f t="shared" si="55"/>
        <v>High Risk</v>
      </c>
    </row>
    <row r="895" spans="1:37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97</v>
      </c>
      <c r="M895">
        <v>3</v>
      </c>
      <c r="N895">
        <v>1</v>
      </c>
      <c r="O895" t="s">
        <v>47</v>
      </c>
      <c r="P895">
        <v>4</v>
      </c>
      <c r="Q895" t="s">
        <v>52</v>
      </c>
      <c r="R895" s="3">
        <v>3760</v>
      </c>
      <c r="S895">
        <v>5598</v>
      </c>
      <c r="T895">
        <v>1</v>
      </c>
      <c r="U895" t="s">
        <v>43</v>
      </c>
      <c r="V895" s="2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tr">
        <f t="shared" si="52"/>
        <v>26-35</v>
      </c>
      <c r="AH895" t="str">
        <f t="shared" si="53"/>
        <v>Mid</v>
      </c>
      <c r="AI895" s="1">
        <f>VLOOKUP(E895,Lookup_Tables!$A$3:$B$5,2,)</f>
        <v>6281.2528616024974</v>
      </c>
      <c r="AJ895" t="str">
        <f t="shared" si="54"/>
        <v>Below salary</v>
      </c>
      <c r="AK895" t="str">
        <f t="shared" si="55"/>
        <v>Low Risk</v>
      </c>
    </row>
    <row r="896" spans="1:37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46</v>
      </c>
      <c r="L896">
        <v>85</v>
      </c>
      <c r="M896">
        <v>3</v>
      </c>
      <c r="N896">
        <v>4</v>
      </c>
      <c r="O896" t="s">
        <v>58</v>
      </c>
      <c r="P896">
        <v>4</v>
      </c>
      <c r="Q896" t="s">
        <v>48</v>
      </c>
      <c r="R896" s="3">
        <v>17779</v>
      </c>
      <c r="S896">
        <v>23474</v>
      </c>
      <c r="T896">
        <v>3</v>
      </c>
      <c r="U896" t="s">
        <v>43</v>
      </c>
      <c r="V896" s="2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tr">
        <f t="shared" si="52"/>
        <v>46+</v>
      </c>
      <c r="AH896" t="str">
        <f t="shared" si="53"/>
        <v>Very High</v>
      </c>
      <c r="AI896" s="1">
        <f>VLOOKUP(E896,Lookup_Tables!$A$3:$B$5,2,)</f>
        <v>6281.2528616024974</v>
      </c>
      <c r="AJ896" t="str">
        <f t="shared" si="54"/>
        <v>Above salary</v>
      </c>
      <c r="AK896" t="str">
        <f t="shared" si="55"/>
        <v>Low Risk</v>
      </c>
    </row>
    <row r="897" spans="1:37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t="s">
        <v>46</v>
      </c>
      <c r="L897">
        <v>80</v>
      </c>
      <c r="M897">
        <v>3</v>
      </c>
      <c r="N897">
        <v>2</v>
      </c>
      <c r="O897" t="s">
        <v>54</v>
      </c>
      <c r="P897">
        <v>1</v>
      </c>
      <c r="Q897" t="s">
        <v>48</v>
      </c>
      <c r="R897" s="3">
        <v>6833</v>
      </c>
      <c r="S897">
        <v>17089</v>
      </c>
      <c r="T897">
        <v>1</v>
      </c>
      <c r="U897" t="s">
        <v>35</v>
      </c>
      <c r="V897" s="2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tr">
        <f t="shared" si="52"/>
        <v>26-35</v>
      </c>
      <c r="AH897" t="str">
        <f t="shared" si="53"/>
        <v>Mid</v>
      </c>
      <c r="AI897" s="1">
        <f>VLOOKUP(E897,Lookup_Tables!$A$3:$B$5,2,)</f>
        <v>6281.2528616024974</v>
      </c>
      <c r="AJ897" t="str">
        <f t="shared" si="54"/>
        <v>Above salary</v>
      </c>
      <c r="AK897" t="str">
        <f t="shared" si="55"/>
        <v>High Risk</v>
      </c>
    </row>
    <row r="898" spans="1:37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t="s">
        <v>39</v>
      </c>
      <c r="L898">
        <v>96</v>
      </c>
      <c r="M898">
        <v>2</v>
      </c>
      <c r="N898">
        <v>2</v>
      </c>
      <c r="O898" t="s">
        <v>54</v>
      </c>
      <c r="P898">
        <v>1</v>
      </c>
      <c r="Q898" t="s">
        <v>41</v>
      </c>
      <c r="R898" s="3">
        <v>6812</v>
      </c>
      <c r="S898">
        <v>17198</v>
      </c>
      <c r="T898">
        <v>1</v>
      </c>
      <c r="U898" t="s">
        <v>43</v>
      </c>
      <c r="V898" s="2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tr">
        <f t="shared" ref="AG898:AG961" si="56">IF(A898&lt;=25,"18-25",IF(A898&lt;= 35, "26-35",IF(A898&lt;=45, "36-45","46+")))</f>
        <v>26-35</v>
      </c>
      <c r="AH898" t="str">
        <f t="shared" ref="AH898:AH961" si="57">IF(R898&lt;3000,"Low",IF(R898&lt;7000,"Mid", IF(R898&lt;12000, "High", "Very High")))</f>
        <v>Mid</v>
      </c>
      <c r="AI898" s="1">
        <f>VLOOKUP(E898,Lookup_Tables!$A$3:$B$5,2,)</f>
        <v>6281.2528616024974</v>
      </c>
      <c r="AJ898" t="str">
        <f t="shared" ref="AJ898:AJ961" si="58">IF(R898&gt;AI898, "Above salary","Below salary")</f>
        <v>Above salary</v>
      </c>
      <c r="AK898" t="str">
        <f t="shared" si="55"/>
        <v>Medium Risk</v>
      </c>
    </row>
    <row r="899" spans="1:37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48</v>
      </c>
      <c r="M899">
        <v>2</v>
      </c>
      <c r="N899">
        <v>2</v>
      </c>
      <c r="O899" t="s">
        <v>40</v>
      </c>
      <c r="P899">
        <v>4</v>
      </c>
      <c r="Q899" t="s">
        <v>41</v>
      </c>
      <c r="R899" s="3">
        <v>5171</v>
      </c>
      <c r="S899">
        <v>16490</v>
      </c>
      <c r="T899">
        <v>5</v>
      </c>
      <c r="U899" t="s">
        <v>43</v>
      </c>
      <c r="V899" s="2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tr">
        <f t="shared" si="56"/>
        <v>46+</v>
      </c>
      <c r="AH899" t="str">
        <f t="shared" si="57"/>
        <v>Mid</v>
      </c>
      <c r="AI899" s="1">
        <f>VLOOKUP(E899,Lookup_Tables!$A$3:$B$5,2,)</f>
        <v>6959.17264573991</v>
      </c>
      <c r="AJ899" t="str">
        <f t="shared" si="58"/>
        <v>Below salary</v>
      </c>
      <c r="AK899" t="str">
        <f t="shared" ref="AK899:AK962" si="59">IF(AND(P899&lt;=2,U899="Yes"),"High Risk",IF(OR(P899&lt;=2,U899="Yes"),"Medium Risk","Low Risk"))</f>
        <v>Low Risk</v>
      </c>
    </row>
    <row r="900" spans="1:37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46</v>
      </c>
      <c r="L900">
        <v>96</v>
      </c>
      <c r="M900">
        <v>1</v>
      </c>
      <c r="N900">
        <v>5</v>
      </c>
      <c r="O900" t="s">
        <v>58</v>
      </c>
      <c r="P900">
        <v>4</v>
      </c>
      <c r="Q900" t="s">
        <v>48</v>
      </c>
      <c r="R900" s="3">
        <v>19740</v>
      </c>
      <c r="S900">
        <v>18625</v>
      </c>
      <c r="T900">
        <v>3</v>
      </c>
      <c r="U900" t="s">
        <v>43</v>
      </c>
      <c r="V900" s="2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tr">
        <f t="shared" si="56"/>
        <v>36-45</v>
      </c>
      <c r="AH900" t="str">
        <f t="shared" si="57"/>
        <v>Very High</v>
      </c>
      <c r="AI900" s="1">
        <f>VLOOKUP(E900,Lookup_Tables!$A$3:$B$5,2,)</f>
        <v>6281.2528616024974</v>
      </c>
      <c r="AJ900" t="str">
        <f t="shared" si="58"/>
        <v>Above salary</v>
      </c>
      <c r="AK900" t="str">
        <f t="shared" si="59"/>
        <v>Low Risk</v>
      </c>
    </row>
    <row r="901" spans="1:37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1256</v>
      </c>
      <c r="J901">
        <v>1</v>
      </c>
      <c r="K901" t="s">
        <v>46</v>
      </c>
      <c r="L901">
        <v>85</v>
      </c>
      <c r="M901">
        <v>2</v>
      </c>
      <c r="N901">
        <v>5</v>
      </c>
      <c r="O901" t="s">
        <v>56</v>
      </c>
      <c r="P901">
        <v>3</v>
      </c>
      <c r="Q901" t="s">
        <v>48</v>
      </c>
      <c r="R901" s="3">
        <v>18711</v>
      </c>
      <c r="S901">
        <v>12124</v>
      </c>
      <c r="T901">
        <v>2</v>
      </c>
      <c r="U901" t="s">
        <v>43</v>
      </c>
      <c r="V901" s="2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tr">
        <f t="shared" si="56"/>
        <v>46+</v>
      </c>
      <c r="AH901" t="str">
        <f t="shared" si="57"/>
        <v>Very High</v>
      </c>
      <c r="AI901" s="1">
        <f>VLOOKUP(E901,Lookup_Tables!$A$3:$B$5,2,)</f>
        <v>6281.2528616024974</v>
      </c>
      <c r="AJ901" t="str">
        <f t="shared" si="58"/>
        <v>Above salary</v>
      </c>
      <c r="AK901" t="str">
        <f t="shared" si="59"/>
        <v>Low Risk</v>
      </c>
    </row>
    <row r="902" spans="1:37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1257</v>
      </c>
      <c r="J902">
        <v>3</v>
      </c>
      <c r="K902" t="s">
        <v>46</v>
      </c>
      <c r="L902">
        <v>46</v>
      </c>
      <c r="M902">
        <v>3</v>
      </c>
      <c r="N902">
        <v>1</v>
      </c>
      <c r="O902" t="s">
        <v>47</v>
      </c>
      <c r="P902">
        <v>2</v>
      </c>
      <c r="Q902" t="s">
        <v>48</v>
      </c>
      <c r="R902" s="3">
        <v>3692</v>
      </c>
      <c r="S902">
        <v>9256</v>
      </c>
      <c r="T902">
        <v>1</v>
      </c>
      <c r="U902" t="s">
        <v>43</v>
      </c>
      <c r="V902" s="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tr">
        <f t="shared" si="56"/>
        <v>36-45</v>
      </c>
      <c r="AH902" t="str">
        <f t="shared" si="57"/>
        <v>Mid</v>
      </c>
      <c r="AI902" s="1">
        <f>VLOOKUP(E902,Lookup_Tables!$A$3:$B$5,2,)</f>
        <v>6281.2528616024974</v>
      </c>
      <c r="AJ902" t="str">
        <f t="shared" si="58"/>
        <v>Below salary</v>
      </c>
      <c r="AK902" t="str">
        <f t="shared" si="59"/>
        <v>Medium Risk</v>
      </c>
    </row>
    <row r="903" spans="1:37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1258</v>
      </c>
      <c r="J903">
        <v>4</v>
      </c>
      <c r="K903" t="s">
        <v>46</v>
      </c>
      <c r="L903">
        <v>76</v>
      </c>
      <c r="M903">
        <v>4</v>
      </c>
      <c r="N903">
        <v>1</v>
      </c>
      <c r="O903" t="s">
        <v>50</v>
      </c>
      <c r="P903">
        <v>2</v>
      </c>
      <c r="Q903" t="s">
        <v>41</v>
      </c>
      <c r="R903" s="3">
        <v>2559</v>
      </c>
      <c r="S903">
        <v>16620</v>
      </c>
      <c r="T903">
        <v>5</v>
      </c>
      <c r="U903" t="s">
        <v>43</v>
      </c>
      <c r="V903" s="2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tr">
        <f t="shared" si="56"/>
        <v>46+</v>
      </c>
      <c r="AH903" t="str">
        <f t="shared" si="57"/>
        <v>Low</v>
      </c>
      <c r="AI903" s="1">
        <f>VLOOKUP(E903,Lookup_Tables!$A$3:$B$5,2,)</f>
        <v>6281.2528616024974</v>
      </c>
      <c r="AJ903" t="str">
        <f t="shared" si="58"/>
        <v>Below salary</v>
      </c>
      <c r="AK903" t="str">
        <f t="shared" si="59"/>
        <v>Medium Risk</v>
      </c>
    </row>
    <row r="904" spans="1:37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46</v>
      </c>
      <c r="L904">
        <v>76</v>
      </c>
      <c r="M904">
        <v>3</v>
      </c>
      <c r="N904">
        <v>1</v>
      </c>
      <c r="O904" t="s">
        <v>47</v>
      </c>
      <c r="P904">
        <v>3</v>
      </c>
      <c r="Q904" t="s">
        <v>52</v>
      </c>
      <c r="R904" s="3">
        <v>2517</v>
      </c>
      <c r="S904">
        <v>3208</v>
      </c>
      <c r="T904">
        <v>1</v>
      </c>
      <c r="U904" t="s">
        <v>43</v>
      </c>
      <c r="V904" s="2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tr">
        <f t="shared" si="56"/>
        <v>26-35</v>
      </c>
      <c r="AH904" t="str">
        <f t="shared" si="57"/>
        <v>Low</v>
      </c>
      <c r="AI904" s="1">
        <f>VLOOKUP(E904,Lookup_Tables!$A$3:$B$5,2,)</f>
        <v>6281.2528616024974</v>
      </c>
      <c r="AJ904" t="str">
        <f t="shared" si="58"/>
        <v>Below salary</v>
      </c>
      <c r="AK904" t="str">
        <f t="shared" si="59"/>
        <v>Low Risk</v>
      </c>
    </row>
    <row r="905" spans="1:37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46</v>
      </c>
      <c r="L905">
        <v>82</v>
      </c>
      <c r="M905">
        <v>3</v>
      </c>
      <c r="N905">
        <v>2</v>
      </c>
      <c r="O905" t="s">
        <v>54</v>
      </c>
      <c r="P905">
        <v>4</v>
      </c>
      <c r="Q905" t="s">
        <v>52</v>
      </c>
      <c r="R905" s="3">
        <v>6623</v>
      </c>
      <c r="S905">
        <v>4204</v>
      </c>
      <c r="T905">
        <v>1</v>
      </c>
      <c r="U905" t="s">
        <v>35</v>
      </c>
      <c r="V905" s="2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tr">
        <f t="shared" si="56"/>
        <v>26-35</v>
      </c>
      <c r="AH905" t="str">
        <f t="shared" si="57"/>
        <v>Mid</v>
      </c>
      <c r="AI905" s="1">
        <f>VLOOKUP(E905,Lookup_Tables!$A$3:$B$5,2,)</f>
        <v>6281.2528616024974</v>
      </c>
      <c r="AJ905" t="str">
        <f t="shared" si="58"/>
        <v>Above salary</v>
      </c>
      <c r="AK905" t="str">
        <f t="shared" si="59"/>
        <v>Medium Risk</v>
      </c>
    </row>
    <row r="906" spans="1:37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46</v>
      </c>
      <c r="L906">
        <v>76</v>
      </c>
      <c r="M906">
        <v>2</v>
      </c>
      <c r="N906">
        <v>5</v>
      </c>
      <c r="O906" t="s">
        <v>58</v>
      </c>
      <c r="P906">
        <v>4</v>
      </c>
      <c r="Q906" t="s">
        <v>41</v>
      </c>
      <c r="R906" s="3">
        <v>18265</v>
      </c>
      <c r="S906">
        <v>8733</v>
      </c>
      <c r="T906">
        <v>6</v>
      </c>
      <c r="U906" t="s">
        <v>43</v>
      </c>
      <c r="V906" s="2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tr">
        <f t="shared" si="56"/>
        <v>46+</v>
      </c>
      <c r="AH906" t="str">
        <f t="shared" si="57"/>
        <v>Very High</v>
      </c>
      <c r="AI906" s="1">
        <f>VLOOKUP(E906,Lookup_Tables!$A$3:$B$5,2,)</f>
        <v>6281.2528616024974</v>
      </c>
      <c r="AJ906" t="str">
        <f t="shared" si="58"/>
        <v>Above salary</v>
      </c>
      <c r="AK906" t="str">
        <f t="shared" si="59"/>
        <v>Low Risk</v>
      </c>
    </row>
    <row r="907" spans="1:37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87</v>
      </c>
      <c r="M907">
        <v>2</v>
      </c>
      <c r="N907">
        <v>4</v>
      </c>
      <c r="O907" t="s">
        <v>58</v>
      </c>
      <c r="P907">
        <v>4</v>
      </c>
      <c r="Q907" t="s">
        <v>52</v>
      </c>
      <c r="R907" s="3">
        <v>16124</v>
      </c>
      <c r="S907">
        <v>3423</v>
      </c>
      <c r="T907">
        <v>3</v>
      </c>
      <c r="U907" t="s">
        <v>43</v>
      </c>
      <c r="V907" s="2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tr">
        <f t="shared" si="56"/>
        <v>26-35</v>
      </c>
      <c r="AH907" t="str">
        <f t="shared" si="57"/>
        <v>Very High</v>
      </c>
      <c r="AI907" s="1">
        <f>VLOOKUP(E907,Lookup_Tables!$A$3:$B$5,2,)</f>
        <v>6281.2528616024974</v>
      </c>
      <c r="AJ907" t="str">
        <f t="shared" si="58"/>
        <v>Above salary</v>
      </c>
      <c r="AK907" t="str">
        <f t="shared" si="59"/>
        <v>Low Risk</v>
      </c>
    </row>
    <row r="908" spans="1:37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1265</v>
      </c>
      <c r="J908">
        <v>3</v>
      </c>
      <c r="K908" t="s">
        <v>39</v>
      </c>
      <c r="L908">
        <v>89</v>
      </c>
      <c r="M908">
        <v>4</v>
      </c>
      <c r="N908">
        <v>1</v>
      </c>
      <c r="O908" t="s">
        <v>47</v>
      </c>
      <c r="P908">
        <v>3</v>
      </c>
      <c r="Q908" t="s">
        <v>48</v>
      </c>
      <c r="R908" s="3">
        <v>2585</v>
      </c>
      <c r="S908">
        <v>21643</v>
      </c>
      <c r="T908">
        <v>0</v>
      </c>
      <c r="U908" t="s">
        <v>43</v>
      </c>
      <c r="V908" s="2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tr">
        <f t="shared" si="56"/>
        <v>26-35</v>
      </c>
      <c r="AH908" t="str">
        <f t="shared" si="57"/>
        <v>Low</v>
      </c>
      <c r="AI908" s="1">
        <f>VLOOKUP(E908,Lookup_Tables!$A$3:$B$5,2,)</f>
        <v>6281.2528616024974</v>
      </c>
      <c r="AJ908" t="str">
        <f t="shared" si="58"/>
        <v>Below salary</v>
      </c>
      <c r="AK908" t="str">
        <f t="shared" si="59"/>
        <v>Low Risk</v>
      </c>
    </row>
    <row r="909" spans="1:37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1267</v>
      </c>
      <c r="J909">
        <v>2</v>
      </c>
      <c r="K909" t="s">
        <v>46</v>
      </c>
      <c r="L909">
        <v>88</v>
      </c>
      <c r="M909">
        <v>3</v>
      </c>
      <c r="N909">
        <v>5</v>
      </c>
      <c r="O909" t="s">
        <v>56</v>
      </c>
      <c r="P909">
        <v>2</v>
      </c>
      <c r="Q909" t="s">
        <v>48</v>
      </c>
      <c r="R909" s="3">
        <v>18213</v>
      </c>
      <c r="S909">
        <v>8751</v>
      </c>
      <c r="T909">
        <v>7</v>
      </c>
      <c r="U909" t="s">
        <v>43</v>
      </c>
      <c r="V909" s="2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tr">
        <f t="shared" si="56"/>
        <v>36-45</v>
      </c>
      <c r="AH909" t="str">
        <f t="shared" si="57"/>
        <v>Very High</v>
      </c>
      <c r="AI909" s="1">
        <f>VLOOKUP(E909,Lookup_Tables!$A$3:$B$5,2,)</f>
        <v>6959.17264573991</v>
      </c>
      <c r="AJ909" t="str">
        <f t="shared" si="58"/>
        <v>Above salary</v>
      </c>
      <c r="AK909" t="str">
        <f t="shared" si="59"/>
        <v>Medium Risk</v>
      </c>
    </row>
    <row r="910" spans="1:37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1268</v>
      </c>
      <c r="J910">
        <v>4</v>
      </c>
      <c r="K910" t="s">
        <v>46</v>
      </c>
      <c r="L910">
        <v>82</v>
      </c>
      <c r="M910">
        <v>4</v>
      </c>
      <c r="N910">
        <v>3</v>
      </c>
      <c r="O910" t="s">
        <v>40</v>
      </c>
      <c r="P910">
        <v>3</v>
      </c>
      <c r="Q910" t="s">
        <v>52</v>
      </c>
      <c r="R910" s="3">
        <v>8380</v>
      </c>
      <c r="S910">
        <v>21708</v>
      </c>
      <c r="T910">
        <v>0</v>
      </c>
      <c r="U910" t="s">
        <v>35</v>
      </c>
      <c r="V910" s="2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tr">
        <f t="shared" si="56"/>
        <v>26-35</v>
      </c>
      <c r="AH910" t="str">
        <f t="shared" si="57"/>
        <v>High</v>
      </c>
      <c r="AI910" s="1">
        <f>VLOOKUP(E910,Lookup_Tables!$A$3:$B$5,2,)</f>
        <v>6959.17264573991</v>
      </c>
      <c r="AJ910" t="str">
        <f t="shared" si="58"/>
        <v>Above salary</v>
      </c>
      <c r="AK910" t="str">
        <f t="shared" si="59"/>
        <v>Medium Risk</v>
      </c>
    </row>
    <row r="911" spans="1:37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57</v>
      </c>
      <c r="M911">
        <v>4</v>
      </c>
      <c r="N911">
        <v>1</v>
      </c>
      <c r="O911" t="s">
        <v>47</v>
      </c>
      <c r="P911">
        <v>4</v>
      </c>
      <c r="Q911" t="s">
        <v>41</v>
      </c>
      <c r="R911" s="3">
        <v>2994</v>
      </c>
      <c r="S911">
        <v>21221</v>
      </c>
      <c r="T911">
        <v>1</v>
      </c>
      <c r="U911" t="s">
        <v>35</v>
      </c>
      <c r="V911" s="2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tr">
        <f t="shared" si="56"/>
        <v>18-25</v>
      </c>
      <c r="AH911" t="str">
        <f t="shared" si="57"/>
        <v>Low</v>
      </c>
      <c r="AI911" s="1">
        <f>VLOOKUP(E911,Lookup_Tables!$A$3:$B$5,2,)</f>
        <v>6281.2528616024974</v>
      </c>
      <c r="AJ911" t="str">
        <f t="shared" si="58"/>
        <v>Below salary</v>
      </c>
      <c r="AK911" t="str">
        <f t="shared" si="59"/>
        <v>Medium Risk</v>
      </c>
    </row>
    <row r="912" spans="1:37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46</v>
      </c>
      <c r="L912">
        <v>47</v>
      </c>
      <c r="M912">
        <v>3</v>
      </c>
      <c r="N912">
        <v>1</v>
      </c>
      <c r="O912" t="s">
        <v>47</v>
      </c>
      <c r="P912">
        <v>3</v>
      </c>
      <c r="Q912" t="s">
        <v>48</v>
      </c>
      <c r="R912" s="3">
        <v>1223</v>
      </c>
      <c r="S912">
        <v>16901</v>
      </c>
      <c r="T912">
        <v>1</v>
      </c>
      <c r="U912" t="s">
        <v>43</v>
      </c>
      <c r="V912" s="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tr">
        <f t="shared" si="56"/>
        <v>18-25</v>
      </c>
      <c r="AH912" t="str">
        <f t="shared" si="57"/>
        <v>Low</v>
      </c>
      <c r="AI912" s="1">
        <f>VLOOKUP(E912,Lookup_Tables!$A$3:$B$5,2,)</f>
        <v>6281.2528616024974</v>
      </c>
      <c r="AJ912" t="str">
        <f t="shared" si="58"/>
        <v>Below salary</v>
      </c>
      <c r="AK912" t="str">
        <f t="shared" si="59"/>
        <v>Low Risk</v>
      </c>
    </row>
    <row r="913" spans="1:37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46</v>
      </c>
      <c r="L913">
        <v>73</v>
      </c>
      <c r="M913">
        <v>1</v>
      </c>
      <c r="N913">
        <v>1</v>
      </c>
      <c r="O913" t="s">
        <v>57</v>
      </c>
      <c r="P913">
        <v>4</v>
      </c>
      <c r="Q913" t="s">
        <v>41</v>
      </c>
      <c r="R913" s="3">
        <v>1118</v>
      </c>
      <c r="S913">
        <v>8040</v>
      </c>
      <c r="T913">
        <v>1</v>
      </c>
      <c r="U913" t="s">
        <v>35</v>
      </c>
      <c r="V913" s="2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tr">
        <f t="shared" si="56"/>
        <v>18-25</v>
      </c>
      <c r="AH913" t="str">
        <f t="shared" si="57"/>
        <v>Low</v>
      </c>
      <c r="AI913" s="1">
        <f>VLOOKUP(E913,Lookup_Tables!$A$3:$B$5,2,)</f>
        <v>6959.17264573991</v>
      </c>
      <c r="AJ913" t="str">
        <f t="shared" si="58"/>
        <v>Below salary</v>
      </c>
      <c r="AK913" t="str">
        <f t="shared" si="59"/>
        <v>Medium Risk</v>
      </c>
    </row>
    <row r="914" spans="1:37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46</v>
      </c>
      <c r="L914">
        <v>53</v>
      </c>
      <c r="M914">
        <v>3</v>
      </c>
      <c r="N914">
        <v>1</v>
      </c>
      <c r="O914" t="s">
        <v>47</v>
      </c>
      <c r="P914">
        <v>4</v>
      </c>
      <c r="Q914" t="s">
        <v>41</v>
      </c>
      <c r="R914" s="3">
        <v>2875</v>
      </c>
      <c r="S914">
        <v>9973</v>
      </c>
      <c r="T914">
        <v>1</v>
      </c>
      <c r="U914" t="s">
        <v>35</v>
      </c>
      <c r="V914" s="2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tr">
        <f t="shared" si="56"/>
        <v>26-35</v>
      </c>
      <c r="AH914" t="str">
        <f t="shared" si="57"/>
        <v>Low</v>
      </c>
      <c r="AI914" s="1">
        <f>VLOOKUP(E914,Lookup_Tables!$A$3:$B$5,2,)</f>
        <v>6281.2528616024974</v>
      </c>
      <c r="AJ914" t="str">
        <f t="shared" si="58"/>
        <v>Below salary</v>
      </c>
      <c r="AK914" t="str">
        <f t="shared" si="59"/>
        <v>Medium Risk</v>
      </c>
    </row>
    <row r="915" spans="1:37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1277</v>
      </c>
      <c r="J915">
        <v>1</v>
      </c>
      <c r="K915" t="s">
        <v>39</v>
      </c>
      <c r="L915">
        <v>94</v>
      </c>
      <c r="M915">
        <v>1</v>
      </c>
      <c r="N915">
        <v>5</v>
      </c>
      <c r="O915" t="s">
        <v>56</v>
      </c>
      <c r="P915">
        <v>2</v>
      </c>
      <c r="Q915" t="s">
        <v>41</v>
      </c>
      <c r="R915" s="3">
        <v>18824</v>
      </c>
      <c r="S915">
        <v>2493</v>
      </c>
      <c r="T915">
        <v>2</v>
      </c>
      <c r="U915" t="s">
        <v>35</v>
      </c>
      <c r="V915" s="2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tr">
        <f t="shared" si="56"/>
        <v>36-45</v>
      </c>
      <c r="AH915" t="str">
        <f t="shared" si="57"/>
        <v>Very High</v>
      </c>
      <c r="AI915" s="1">
        <f>VLOOKUP(E915,Lookup_Tables!$A$3:$B$5,2,)</f>
        <v>6959.17264573991</v>
      </c>
      <c r="AJ915" t="str">
        <f t="shared" si="58"/>
        <v>Above salary</v>
      </c>
      <c r="AK915" t="str">
        <f t="shared" si="59"/>
        <v>High Risk</v>
      </c>
    </row>
    <row r="916" spans="1:37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1278</v>
      </c>
      <c r="J916">
        <v>4</v>
      </c>
      <c r="K916" t="s">
        <v>46</v>
      </c>
      <c r="L916">
        <v>37</v>
      </c>
      <c r="M916">
        <v>2</v>
      </c>
      <c r="N916">
        <v>4</v>
      </c>
      <c r="O916" t="s">
        <v>54</v>
      </c>
      <c r="P916">
        <v>2</v>
      </c>
      <c r="Q916" t="s">
        <v>52</v>
      </c>
      <c r="R916" s="3">
        <v>13577</v>
      </c>
      <c r="S916">
        <v>25592</v>
      </c>
      <c r="T916">
        <v>1</v>
      </c>
      <c r="U916" t="s">
        <v>35</v>
      </c>
      <c r="V916" s="2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tr">
        <f t="shared" si="56"/>
        <v>46+</v>
      </c>
      <c r="AH916" t="str">
        <f t="shared" si="57"/>
        <v>Very High</v>
      </c>
      <c r="AI916" s="1">
        <f>VLOOKUP(E916,Lookup_Tables!$A$3:$B$5,2,)</f>
        <v>6281.2528616024974</v>
      </c>
      <c r="AJ916" t="str">
        <f t="shared" si="58"/>
        <v>Above salary</v>
      </c>
      <c r="AK916" t="str">
        <f t="shared" si="59"/>
        <v>High Risk</v>
      </c>
    </row>
    <row r="917" spans="1:37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45</v>
      </c>
      <c r="M917">
        <v>2</v>
      </c>
      <c r="N917">
        <v>1</v>
      </c>
      <c r="O917" t="s">
        <v>50</v>
      </c>
      <c r="P917">
        <v>3</v>
      </c>
      <c r="Q917" t="s">
        <v>41</v>
      </c>
      <c r="R917" s="3">
        <v>2625</v>
      </c>
      <c r="S917">
        <v>25308</v>
      </c>
      <c r="T917">
        <v>1</v>
      </c>
      <c r="U917" t="s">
        <v>43</v>
      </c>
      <c r="V917" s="2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tr">
        <f t="shared" si="56"/>
        <v>18-25</v>
      </c>
      <c r="AH917" t="str">
        <f t="shared" si="57"/>
        <v>Low</v>
      </c>
      <c r="AI917" s="1">
        <f>VLOOKUP(E917,Lookup_Tables!$A$3:$B$5,2,)</f>
        <v>6281.2528616024974</v>
      </c>
      <c r="AJ917" t="str">
        <f t="shared" si="58"/>
        <v>Below salary</v>
      </c>
      <c r="AK917" t="str">
        <f t="shared" si="59"/>
        <v>Low Risk</v>
      </c>
    </row>
    <row r="918" spans="1:37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1280</v>
      </c>
      <c r="J918">
        <v>4</v>
      </c>
      <c r="K918" t="s">
        <v>39</v>
      </c>
      <c r="L918">
        <v>33</v>
      </c>
      <c r="M918">
        <v>2</v>
      </c>
      <c r="N918">
        <v>5</v>
      </c>
      <c r="O918" t="s">
        <v>56</v>
      </c>
      <c r="P918">
        <v>2</v>
      </c>
      <c r="Q918" t="s">
        <v>48</v>
      </c>
      <c r="R918" s="3">
        <v>18789</v>
      </c>
      <c r="S918">
        <v>9946</v>
      </c>
      <c r="T918">
        <v>2</v>
      </c>
      <c r="U918" t="s">
        <v>43</v>
      </c>
      <c r="V918" s="2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tr">
        <f t="shared" si="56"/>
        <v>46+</v>
      </c>
      <c r="AH918" t="str">
        <f t="shared" si="57"/>
        <v>Very High</v>
      </c>
      <c r="AI918" s="1">
        <f>VLOOKUP(E918,Lookup_Tables!$A$3:$B$5,2,)</f>
        <v>6959.17264573991</v>
      </c>
      <c r="AJ918" t="str">
        <f t="shared" si="58"/>
        <v>Above salary</v>
      </c>
      <c r="AK918" t="str">
        <f t="shared" si="59"/>
        <v>Medium Risk</v>
      </c>
    </row>
    <row r="919" spans="1:37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1281</v>
      </c>
      <c r="J919">
        <v>3</v>
      </c>
      <c r="K919" t="s">
        <v>39</v>
      </c>
      <c r="L919">
        <v>86</v>
      </c>
      <c r="M919">
        <v>3</v>
      </c>
      <c r="N919">
        <v>2</v>
      </c>
      <c r="O919" t="s">
        <v>40</v>
      </c>
      <c r="P919">
        <v>1</v>
      </c>
      <c r="Q919" t="s">
        <v>41</v>
      </c>
      <c r="R919" s="3">
        <v>4538</v>
      </c>
      <c r="S919">
        <v>6039</v>
      </c>
      <c r="T919">
        <v>0</v>
      </c>
      <c r="U919" t="s">
        <v>35</v>
      </c>
      <c r="V919" s="2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tr">
        <f t="shared" si="56"/>
        <v>26-35</v>
      </c>
      <c r="AH919" t="str">
        <f t="shared" si="57"/>
        <v>Mid</v>
      </c>
      <c r="AI919" s="1">
        <f>VLOOKUP(E919,Lookup_Tables!$A$3:$B$5,2,)</f>
        <v>6959.17264573991</v>
      </c>
      <c r="AJ919" t="str">
        <f t="shared" si="58"/>
        <v>Below salary</v>
      </c>
      <c r="AK919" t="str">
        <f t="shared" si="59"/>
        <v>High Risk</v>
      </c>
    </row>
    <row r="920" spans="1:37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46</v>
      </c>
      <c r="L920">
        <v>83</v>
      </c>
      <c r="M920">
        <v>3</v>
      </c>
      <c r="N920">
        <v>5</v>
      </c>
      <c r="O920" t="s">
        <v>56</v>
      </c>
      <c r="P920">
        <v>2</v>
      </c>
      <c r="Q920" t="s">
        <v>52</v>
      </c>
      <c r="R920" s="3">
        <v>19847</v>
      </c>
      <c r="S920">
        <v>19196</v>
      </c>
      <c r="T920">
        <v>4</v>
      </c>
      <c r="U920" t="s">
        <v>35</v>
      </c>
      <c r="V920" s="2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tr">
        <f t="shared" si="56"/>
        <v>46+</v>
      </c>
      <c r="AH920" t="str">
        <f t="shared" si="57"/>
        <v>Very High</v>
      </c>
      <c r="AI920" s="1">
        <f>VLOOKUP(E920,Lookup_Tables!$A$3:$B$5,2,)</f>
        <v>6959.17264573991</v>
      </c>
      <c r="AJ920" t="str">
        <f t="shared" si="58"/>
        <v>Above salary</v>
      </c>
      <c r="AK920" t="str">
        <f t="shared" si="59"/>
        <v>High Risk</v>
      </c>
    </row>
    <row r="921" spans="1:37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t="s">
        <v>46</v>
      </c>
      <c r="L921">
        <v>67</v>
      </c>
      <c r="M921">
        <v>3</v>
      </c>
      <c r="N921">
        <v>3</v>
      </c>
      <c r="O921" t="s">
        <v>53</v>
      </c>
      <c r="P921">
        <v>4</v>
      </c>
      <c r="Q921" t="s">
        <v>41</v>
      </c>
      <c r="R921" s="3">
        <v>10512</v>
      </c>
      <c r="S921">
        <v>20002</v>
      </c>
      <c r="T921">
        <v>6</v>
      </c>
      <c r="U921" t="s">
        <v>43</v>
      </c>
      <c r="V921" s="2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tr">
        <f t="shared" si="56"/>
        <v>46+</v>
      </c>
      <c r="AH921" t="str">
        <f t="shared" si="57"/>
        <v>High</v>
      </c>
      <c r="AI921" s="1">
        <f>VLOOKUP(E921,Lookup_Tables!$A$3:$B$5,2,)</f>
        <v>6281.2528616024974</v>
      </c>
      <c r="AJ921" t="str">
        <f t="shared" si="58"/>
        <v>Above salary</v>
      </c>
      <c r="AK921" t="str">
        <f t="shared" si="59"/>
        <v>Low Risk</v>
      </c>
    </row>
    <row r="922" spans="1:37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t="s">
        <v>39</v>
      </c>
      <c r="L922">
        <v>46</v>
      </c>
      <c r="M922">
        <v>3</v>
      </c>
      <c r="N922">
        <v>2</v>
      </c>
      <c r="O922" t="s">
        <v>50</v>
      </c>
      <c r="P922">
        <v>2</v>
      </c>
      <c r="Q922" t="s">
        <v>52</v>
      </c>
      <c r="R922" s="3">
        <v>4444</v>
      </c>
      <c r="S922">
        <v>22534</v>
      </c>
      <c r="T922">
        <v>4</v>
      </c>
      <c r="U922" t="s">
        <v>43</v>
      </c>
      <c r="V922" s="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tr">
        <f t="shared" si="56"/>
        <v>26-35</v>
      </c>
      <c r="AH922" t="str">
        <f t="shared" si="57"/>
        <v>Mid</v>
      </c>
      <c r="AI922" s="1">
        <f>VLOOKUP(E922,Lookup_Tables!$A$3:$B$5,2,)</f>
        <v>6281.2528616024974</v>
      </c>
      <c r="AJ922" t="str">
        <f t="shared" si="58"/>
        <v>Below salary</v>
      </c>
      <c r="AK922" t="str">
        <f t="shared" si="59"/>
        <v>Medium Risk</v>
      </c>
    </row>
    <row r="923" spans="1:37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1286</v>
      </c>
      <c r="J923">
        <v>4</v>
      </c>
      <c r="K923" t="s">
        <v>46</v>
      </c>
      <c r="L923">
        <v>44</v>
      </c>
      <c r="M923">
        <v>3</v>
      </c>
      <c r="N923">
        <v>1</v>
      </c>
      <c r="O923" t="s">
        <v>50</v>
      </c>
      <c r="P923">
        <v>3</v>
      </c>
      <c r="Q923" t="s">
        <v>41</v>
      </c>
      <c r="R923" s="3">
        <v>2154</v>
      </c>
      <c r="S923">
        <v>6842</v>
      </c>
      <c r="T923">
        <v>0</v>
      </c>
      <c r="U923" t="s">
        <v>35</v>
      </c>
      <c r="V923" s="2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tr">
        <f t="shared" si="56"/>
        <v>26-35</v>
      </c>
      <c r="AH923" t="str">
        <f t="shared" si="57"/>
        <v>Low</v>
      </c>
      <c r="AI923" s="1">
        <f>VLOOKUP(E923,Lookup_Tables!$A$3:$B$5,2,)</f>
        <v>6281.2528616024974</v>
      </c>
      <c r="AJ923" t="str">
        <f t="shared" si="58"/>
        <v>Below salary</v>
      </c>
      <c r="AK923" t="str">
        <f t="shared" si="59"/>
        <v>Medium Risk</v>
      </c>
    </row>
    <row r="924" spans="1:37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46</v>
      </c>
      <c r="L924">
        <v>92</v>
      </c>
      <c r="M924">
        <v>4</v>
      </c>
      <c r="N924">
        <v>5</v>
      </c>
      <c r="O924" t="s">
        <v>56</v>
      </c>
      <c r="P924">
        <v>1</v>
      </c>
      <c r="Q924" t="s">
        <v>52</v>
      </c>
      <c r="R924" s="3">
        <v>19190</v>
      </c>
      <c r="S924">
        <v>17477</v>
      </c>
      <c r="T924">
        <v>1</v>
      </c>
      <c r="U924" t="s">
        <v>43</v>
      </c>
      <c r="V924" s="2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tr">
        <f t="shared" si="56"/>
        <v>36-45</v>
      </c>
      <c r="AH924" t="str">
        <f t="shared" si="57"/>
        <v>Very High</v>
      </c>
      <c r="AI924" s="1">
        <f>VLOOKUP(E924,Lookup_Tables!$A$3:$B$5,2,)</f>
        <v>6281.2528616024974</v>
      </c>
      <c r="AJ924" t="str">
        <f t="shared" si="58"/>
        <v>Above salary</v>
      </c>
      <c r="AK924" t="str">
        <f t="shared" si="59"/>
        <v>Medium Risk</v>
      </c>
    </row>
    <row r="925" spans="1:37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46</v>
      </c>
      <c r="L925">
        <v>56</v>
      </c>
      <c r="M925">
        <v>2</v>
      </c>
      <c r="N925">
        <v>2</v>
      </c>
      <c r="O925" t="s">
        <v>61</v>
      </c>
      <c r="P925">
        <v>2</v>
      </c>
      <c r="Q925" t="s">
        <v>48</v>
      </c>
      <c r="R925" s="3">
        <v>4490</v>
      </c>
      <c r="S925">
        <v>21833</v>
      </c>
      <c r="T925">
        <v>4</v>
      </c>
      <c r="U925" t="s">
        <v>43</v>
      </c>
      <c r="V925" s="2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tr">
        <f t="shared" si="56"/>
        <v>26-35</v>
      </c>
      <c r="AH925" t="str">
        <f t="shared" si="57"/>
        <v>Mid</v>
      </c>
      <c r="AI925" s="1">
        <f>VLOOKUP(E925,Lookup_Tables!$A$3:$B$5,2,)</f>
        <v>6654.5079365079364</v>
      </c>
      <c r="AJ925" t="str">
        <f t="shared" si="58"/>
        <v>Below salary</v>
      </c>
      <c r="AK925" t="str">
        <f t="shared" si="59"/>
        <v>Medium Risk</v>
      </c>
    </row>
    <row r="926" spans="1:37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46</v>
      </c>
      <c r="L926">
        <v>66</v>
      </c>
      <c r="M926">
        <v>3</v>
      </c>
      <c r="N926">
        <v>1</v>
      </c>
      <c r="O926" t="s">
        <v>47</v>
      </c>
      <c r="P926">
        <v>3</v>
      </c>
      <c r="Q926" t="s">
        <v>48</v>
      </c>
      <c r="R926" s="3">
        <v>3506</v>
      </c>
      <c r="S926">
        <v>6020</v>
      </c>
      <c r="T926">
        <v>0</v>
      </c>
      <c r="U926" t="s">
        <v>35</v>
      </c>
      <c r="V926" s="2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tr">
        <f t="shared" si="56"/>
        <v>26-35</v>
      </c>
      <c r="AH926" t="str">
        <f t="shared" si="57"/>
        <v>Mid</v>
      </c>
      <c r="AI926" s="1">
        <f>VLOOKUP(E926,Lookup_Tables!$A$3:$B$5,2,)</f>
        <v>6281.2528616024974</v>
      </c>
      <c r="AJ926" t="str">
        <f t="shared" si="58"/>
        <v>Below salary</v>
      </c>
      <c r="AK926" t="str">
        <f t="shared" si="59"/>
        <v>Medium Risk</v>
      </c>
    </row>
    <row r="927" spans="1:37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1292</v>
      </c>
      <c r="J927">
        <v>2</v>
      </c>
      <c r="K927" t="s">
        <v>39</v>
      </c>
      <c r="L927">
        <v>78</v>
      </c>
      <c r="M927">
        <v>4</v>
      </c>
      <c r="N927">
        <v>2</v>
      </c>
      <c r="O927" t="s">
        <v>47</v>
      </c>
      <c r="P927">
        <v>2</v>
      </c>
      <c r="Q927" t="s">
        <v>48</v>
      </c>
      <c r="R927" s="3">
        <v>2372</v>
      </c>
      <c r="S927">
        <v>5628</v>
      </c>
      <c r="T927">
        <v>6</v>
      </c>
      <c r="U927" t="s">
        <v>35</v>
      </c>
      <c r="V927" s="2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tr">
        <f t="shared" si="56"/>
        <v>36-45</v>
      </c>
      <c r="AH927" t="str">
        <f t="shared" si="57"/>
        <v>Low</v>
      </c>
      <c r="AI927" s="1">
        <f>VLOOKUP(E927,Lookup_Tables!$A$3:$B$5,2,)</f>
        <v>6281.2528616024974</v>
      </c>
      <c r="AJ927" t="str">
        <f t="shared" si="58"/>
        <v>Below salary</v>
      </c>
      <c r="AK927" t="str">
        <f t="shared" si="59"/>
        <v>High Risk</v>
      </c>
    </row>
    <row r="928" spans="1:37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1293</v>
      </c>
      <c r="J928">
        <v>4</v>
      </c>
      <c r="K928" t="s">
        <v>39</v>
      </c>
      <c r="L928">
        <v>56</v>
      </c>
      <c r="M928">
        <v>2</v>
      </c>
      <c r="N928">
        <v>3</v>
      </c>
      <c r="O928" t="s">
        <v>40</v>
      </c>
      <c r="P928">
        <v>4</v>
      </c>
      <c r="Q928" t="s">
        <v>41</v>
      </c>
      <c r="R928" s="3">
        <v>10231</v>
      </c>
      <c r="S928">
        <v>20364</v>
      </c>
      <c r="T928">
        <v>3</v>
      </c>
      <c r="U928" t="s">
        <v>43</v>
      </c>
      <c r="V928" s="2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tr">
        <f t="shared" si="56"/>
        <v>36-45</v>
      </c>
      <c r="AH928" t="str">
        <f t="shared" si="57"/>
        <v>High</v>
      </c>
      <c r="AI928" s="1">
        <f>VLOOKUP(E928,Lookup_Tables!$A$3:$B$5,2,)</f>
        <v>6959.17264573991</v>
      </c>
      <c r="AJ928" t="str">
        <f t="shared" si="58"/>
        <v>Above salary</v>
      </c>
      <c r="AK928" t="str">
        <f t="shared" si="59"/>
        <v>Low Risk</v>
      </c>
    </row>
    <row r="929" spans="1:37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53</v>
      </c>
      <c r="M929">
        <v>3</v>
      </c>
      <c r="N929">
        <v>2</v>
      </c>
      <c r="O929" t="s">
        <v>53</v>
      </c>
      <c r="P929">
        <v>2</v>
      </c>
      <c r="Q929" t="s">
        <v>41</v>
      </c>
      <c r="R929" s="3">
        <v>5410</v>
      </c>
      <c r="S929">
        <v>2323</v>
      </c>
      <c r="T929">
        <v>9</v>
      </c>
      <c r="U929" t="s">
        <v>35</v>
      </c>
      <c r="V929" s="2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tr">
        <f t="shared" si="56"/>
        <v>36-45</v>
      </c>
      <c r="AH929" t="str">
        <f t="shared" si="57"/>
        <v>Mid</v>
      </c>
      <c r="AI929" s="1">
        <f>VLOOKUP(E929,Lookup_Tables!$A$3:$B$5,2,)</f>
        <v>6281.2528616024974</v>
      </c>
      <c r="AJ929" t="str">
        <f t="shared" si="58"/>
        <v>Below salary</v>
      </c>
      <c r="AK929" t="str">
        <f t="shared" si="59"/>
        <v>High Risk</v>
      </c>
    </row>
    <row r="930" spans="1:37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t="s">
        <v>39</v>
      </c>
      <c r="L930">
        <v>73</v>
      </c>
      <c r="M930">
        <v>3</v>
      </c>
      <c r="N930">
        <v>3</v>
      </c>
      <c r="O930" t="s">
        <v>54</v>
      </c>
      <c r="P930">
        <v>4</v>
      </c>
      <c r="Q930" t="s">
        <v>48</v>
      </c>
      <c r="R930" s="3">
        <v>7978</v>
      </c>
      <c r="S930">
        <v>14075</v>
      </c>
      <c r="T930">
        <v>1</v>
      </c>
      <c r="U930" t="s">
        <v>43</v>
      </c>
      <c r="V930" s="2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tr">
        <f t="shared" si="56"/>
        <v>36-45</v>
      </c>
      <c r="AH930" t="str">
        <f t="shared" si="57"/>
        <v>High</v>
      </c>
      <c r="AI930" s="1">
        <f>VLOOKUP(E930,Lookup_Tables!$A$3:$B$5,2,)</f>
        <v>6281.2528616024974</v>
      </c>
      <c r="AJ930" t="str">
        <f t="shared" si="58"/>
        <v>Above salary</v>
      </c>
      <c r="AK930" t="str">
        <f t="shared" si="59"/>
        <v>Low Risk</v>
      </c>
    </row>
    <row r="931" spans="1:37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46</v>
      </c>
      <c r="L931">
        <v>52</v>
      </c>
      <c r="M931">
        <v>2</v>
      </c>
      <c r="N931">
        <v>1</v>
      </c>
      <c r="O931" t="s">
        <v>50</v>
      </c>
      <c r="P931">
        <v>4</v>
      </c>
      <c r="Q931" t="s">
        <v>48</v>
      </c>
      <c r="R931" s="3">
        <v>3867</v>
      </c>
      <c r="S931">
        <v>14222</v>
      </c>
      <c r="T931">
        <v>1</v>
      </c>
      <c r="U931" t="s">
        <v>35</v>
      </c>
      <c r="V931" s="2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tr">
        <f t="shared" si="56"/>
        <v>26-35</v>
      </c>
      <c r="AH931" t="str">
        <f t="shared" si="57"/>
        <v>Mid</v>
      </c>
      <c r="AI931" s="1">
        <f>VLOOKUP(E931,Lookup_Tables!$A$3:$B$5,2,)</f>
        <v>6281.2528616024974</v>
      </c>
      <c r="AJ931" t="str">
        <f t="shared" si="58"/>
        <v>Below salary</v>
      </c>
      <c r="AK931" t="str">
        <f t="shared" si="59"/>
        <v>Medium Risk</v>
      </c>
    </row>
    <row r="932" spans="1:37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1297</v>
      </c>
      <c r="J932">
        <v>2</v>
      </c>
      <c r="K932" t="s">
        <v>39</v>
      </c>
      <c r="L932">
        <v>40</v>
      </c>
      <c r="M932">
        <v>2</v>
      </c>
      <c r="N932">
        <v>1</v>
      </c>
      <c r="O932" t="s">
        <v>50</v>
      </c>
      <c r="P932">
        <v>3</v>
      </c>
      <c r="Q932" t="s">
        <v>41</v>
      </c>
      <c r="R932" s="3">
        <v>2838</v>
      </c>
      <c r="S932">
        <v>4257</v>
      </c>
      <c r="T932">
        <v>0</v>
      </c>
      <c r="U932" t="s">
        <v>43</v>
      </c>
      <c r="V932" s="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tr">
        <f t="shared" si="56"/>
        <v>46+</v>
      </c>
      <c r="AH932" t="str">
        <f t="shared" si="57"/>
        <v>Low</v>
      </c>
      <c r="AI932" s="1">
        <f>VLOOKUP(E932,Lookup_Tables!$A$3:$B$5,2,)</f>
        <v>6281.2528616024974</v>
      </c>
      <c r="AJ932" t="str">
        <f t="shared" si="58"/>
        <v>Below salary</v>
      </c>
      <c r="AK932" t="str">
        <f t="shared" si="59"/>
        <v>Low Risk</v>
      </c>
    </row>
    <row r="933" spans="1:37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1298</v>
      </c>
      <c r="J933">
        <v>3</v>
      </c>
      <c r="K933" t="s">
        <v>39</v>
      </c>
      <c r="L933">
        <v>72</v>
      </c>
      <c r="M933">
        <v>3</v>
      </c>
      <c r="N933">
        <v>2</v>
      </c>
      <c r="O933" t="s">
        <v>53</v>
      </c>
      <c r="P933">
        <v>3</v>
      </c>
      <c r="Q933" t="s">
        <v>41</v>
      </c>
      <c r="R933" s="3">
        <v>4695</v>
      </c>
      <c r="S933">
        <v>12858</v>
      </c>
      <c r="T933">
        <v>7</v>
      </c>
      <c r="U933" t="s">
        <v>35</v>
      </c>
      <c r="V933" s="2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tr">
        <f t="shared" si="56"/>
        <v>26-35</v>
      </c>
      <c r="AH933" t="str">
        <f t="shared" si="57"/>
        <v>Mid</v>
      </c>
      <c r="AI933" s="1">
        <f>VLOOKUP(E933,Lookup_Tables!$A$3:$B$5,2,)</f>
        <v>6281.2528616024974</v>
      </c>
      <c r="AJ933" t="str">
        <f t="shared" si="58"/>
        <v>Below salary</v>
      </c>
      <c r="AK933" t="str">
        <f t="shared" si="59"/>
        <v>Medium Risk</v>
      </c>
    </row>
    <row r="934" spans="1:37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1299</v>
      </c>
      <c r="J934">
        <v>2</v>
      </c>
      <c r="K934" t="s">
        <v>39</v>
      </c>
      <c r="L934">
        <v>39</v>
      </c>
      <c r="M934">
        <v>3</v>
      </c>
      <c r="N934">
        <v>1</v>
      </c>
      <c r="O934" t="s">
        <v>50</v>
      </c>
      <c r="P934">
        <v>3</v>
      </c>
      <c r="Q934" t="s">
        <v>52</v>
      </c>
      <c r="R934" s="3">
        <v>3339</v>
      </c>
      <c r="S934">
        <v>17285</v>
      </c>
      <c r="T934">
        <v>3</v>
      </c>
      <c r="U934" t="s">
        <v>35</v>
      </c>
      <c r="V934" s="2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tr">
        <f t="shared" si="56"/>
        <v>26-35</v>
      </c>
      <c r="AH934" t="str">
        <f t="shared" si="57"/>
        <v>Mid</v>
      </c>
      <c r="AI934" s="1">
        <f>VLOOKUP(E934,Lookup_Tables!$A$3:$B$5,2,)</f>
        <v>6281.2528616024974</v>
      </c>
      <c r="AJ934" t="str">
        <f t="shared" si="58"/>
        <v>Below salary</v>
      </c>
      <c r="AK934" t="str">
        <f t="shared" si="59"/>
        <v>Medium Risk</v>
      </c>
    </row>
    <row r="935" spans="1:37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1301</v>
      </c>
      <c r="J935">
        <v>4</v>
      </c>
      <c r="K935" t="s">
        <v>46</v>
      </c>
      <c r="L935">
        <v>84</v>
      </c>
      <c r="M935">
        <v>3</v>
      </c>
      <c r="N935">
        <v>1</v>
      </c>
      <c r="O935" t="s">
        <v>47</v>
      </c>
      <c r="P935">
        <v>1</v>
      </c>
      <c r="Q935" t="s">
        <v>41</v>
      </c>
      <c r="R935" s="3">
        <v>2080</v>
      </c>
      <c r="S935">
        <v>4732</v>
      </c>
      <c r="T935">
        <v>2</v>
      </c>
      <c r="U935" t="s">
        <v>43</v>
      </c>
      <c r="V935" s="2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tr">
        <f t="shared" si="56"/>
        <v>26-35</v>
      </c>
      <c r="AH935" t="str">
        <f t="shared" si="57"/>
        <v>Low</v>
      </c>
      <c r="AI935" s="1">
        <f>VLOOKUP(E935,Lookup_Tables!$A$3:$B$5,2,)</f>
        <v>6281.2528616024974</v>
      </c>
      <c r="AJ935" t="str">
        <f t="shared" si="58"/>
        <v>Below salary</v>
      </c>
      <c r="AK935" t="str">
        <f t="shared" si="59"/>
        <v>Medium Risk</v>
      </c>
    </row>
    <row r="936" spans="1:37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1303</v>
      </c>
      <c r="J936">
        <v>4</v>
      </c>
      <c r="K936" t="s">
        <v>39</v>
      </c>
      <c r="L936">
        <v>40</v>
      </c>
      <c r="M936">
        <v>3</v>
      </c>
      <c r="N936">
        <v>1</v>
      </c>
      <c r="O936" t="s">
        <v>47</v>
      </c>
      <c r="P936">
        <v>2</v>
      </c>
      <c r="Q936" t="s">
        <v>41</v>
      </c>
      <c r="R936" s="3">
        <v>2096</v>
      </c>
      <c r="S936">
        <v>18830</v>
      </c>
      <c r="T936">
        <v>1</v>
      </c>
      <c r="U936" t="s">
        <v>43</v>
      </c>
      <c r="V936" s="2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tr">
        <f t="shared" si="56"/>
        <v>18-25</v>
      </c>
      <c r="AH936" t="str">
        <f t="shared" si="57"/>
        <v>Low</v>
      </c>
      <c r="AI936" s="1">
        <f>VLOOKUP(E936,Lookup_Tables!$A$3:$B$5,2,)</f>
        <v>6281.2528616024974</v>
      </c>
      <c r="AJ936" t="str">
        <f t="shared" si="58"/>
        <v>Below salary</v>
      </c>
      <c r="AK936" t="str">
        <f t="shared" si="59"/>
        <v>Medium Risk</v>
      </c>
    </row>
    <row r="937" spans="1:37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1304</v>
      </c>
      <c r="J937">
        <v>3</v>
      </c>
      <c r="K937" t="s">
        <v>46</v>
      </c>
      <c r="L937">
        <v>56</v>
      </c>
      <c r="M937">
        <v>4</v>
      </c>
      <c r="N937">
        <v>2</v>
      </c>
      <c r="O937" t="s">
        <v>40</v>
      </c>
      <c r="P937">
        <v>4</v>
      </c>
      <c r="Q937" t="s">
        <v>48</v>
      </c>
      <c r="R937" s="3">
        <v>6209</v>
      </c>
      <c r="S937">
        <v>11693</v>
      </c>
      <c r="T937">
        <v>1</v>
      </c>
      <c r="U937" t="s">
        <v>43</v>
      </c>
      <c r="V937" s="2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tr">
        <f t="shared" si="56"/>
        <v>26-35</v>
      </c>
      <c r="AH937" t="str">
        <f t="shared" si="57"/>
        <v>Mid</v>
      </c>
      <c r="AI937" s="1">
        <f>VLOOKUP(E937,Lookup_Tables!$A$3:$B$5,2,)</f>
        <v>6959.17264573991</v>
      </c>
      <c r="AJ937" t="str">
        <f t="shared" si="58"/>
        <v>Below salary</v>
      </c>
      <c r="AK937" t="str">
        <f t="shared" si="59"/>
        <v>Low Risk</v>
      </c>
    </row>
    <row r="938" spans="1:37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t="s">
        <v>39</v>
      </c>
      <c r="L938">
        <v>83</v>
      </c>
      <c r="M938">
        <v>3</v>
      </c>
      <c r="N938">
        <v>5</v>
      </c>
      <c r="O938" t="s">
        <v>56</v>
      </c>
      <c r="P938">
        <v>2</v>
      </c>
      <c r="Q938" t="s">
        <v>41</v>
      </c>
      <c r="R938" s="3">
        <v>18061</v>
      </c>
      <c r="S938">
        <v>13035</v>
      </c>
      <c r="T938">
        <v>3</v>
      </c>
      <c r="U938" t="s">
        <v>43</v>
      </c>
      <c r="V938" s="2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tr">
        <f t="shared" si="56"/>
        <v>36-45</v>
      </c>
      <c r="AH938" t="str">
        <f t="shared" si="57"/>
        <v>Very High</v>
      </c>
      <c r="AI938" s="1">
        <f>VLOOKUP(E938,Lookup_Tables!$A$3:$B$5,2,)</f>
        <v>6281.2528616024974</v>
      </c>
      <c r="AJ938" t="str">
        <f t="shared" si="58"/>
        <v>Above salary</v>
      </c>
      <c r="AK938" t="str">
        <f t="shared" si="59"/>
        <v>Medium Risk</v>
      </c>
    </row>
    <row r="939" spans="1:37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t="s">
        <v>39</v>
      </c>
      <c r="L939">
        <v>94</v>
      </c>
      <c r="M939">
        <v>2</v>
      </c>
      <c r="N939">
        <v>4</v>
      </c>
      <c r="O939" t="s">
        <v>56</v>
      </c>
      <c r="P939">
        <v>2</v>
      </c>
      <c r="Q939" t="s">
        <v>52</v>
      </c>
      <c r="R939" s="3">
        <v>17123</v>
      </c>
      <c r="S939">
        <v>17334</v>
      </c>
      <c r="T939">
        <v>6</v>
      </c>
      <c r="U939" t="s">
        <v>35</v>
      </c>
      <c r="V939" s="2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tr">
        <f t="shared" si="56"/>
        <v>36-45</v>
      </c>
      <c r="AH939" t="str">
        <f t="shared" si="57"/>
        <v>Very High</v>
      </c>
      <c r="AI939" s="1">
        <f>VLOOKUP(E939,Lookup_Tables!$A$3:$B$5,2,)</f>
        <v>6281.2528616024974</v>
      </c>
      <c r="AJ939" t="str">
        <f t="shared" si="58"/>
        <v>Above salary</v>
      </c>
      <c r="AK939" t="str">
        <f t="shared" si="59"/>
        <v>High Risk</v>
      </c>
    </row>
    <row r="940" spans="1:37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46</v>
      </c>
      <c r="L940">
        <v>88</v>
      </c>
      <c r="M940">
        <v>3</v>
      </c>
      <c r="N940">
        <v>1</v>
      </c>
      <c r="O940" t="s">
        <v>47</v>
      </c>
      <c r="P940">
        <v>3</v>
      </c>
      <c r="Q940" t="s">
        <v>52</v>
      </c>
      <c r="R940" s="3">
        <v>2372</v>
      </c>
      <c r="S940">
        <v>26076</v>
      </c>
      <c r="T940">
        <v>1</v>
      </c>
      <c r="U940" t="s">
        <v>43</v>
      </c>
      <c r="V940" s="2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tr">
        <f t="shared" si="56"/>
        <v>46+</v>
      </c>
      <c r="AH940" t="str">
        <f t="shared" si="57"/>
        <v>Low</v>
      </c>
      <c r="AI940" s="1">
        <f>VLOOKUP(E940,Lookup_Tables!$A$3:$B$5,2,)</f>
        <v>6281.2528616024974</v>
      </c>
      <c r="AJ940" t="str">
        <f t="shared" si="58"/>
        <v>Below salary</v>
      </c>
      <c r="AK940" t="str">
        <f t="shared" si="59"/>
        <v>Low Risk</v>
      </c>
    </row>
    <row r="941" spans="1:37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46</v>
      </c>
      <c r="L941">
        <v>79</v>
      </c>
      <c r="M941">
        <v>3</v>
      </c>
      <c r="N941">
        <v>2</v>
      </c>
      <c r="O941" t="s">
        <v>50</v>
      </c>
      <c r="P941">
        <v>3</v>
      </c>
      <c r="Q941" t="s">
        <v>48</v>
      </c>
      <c r="R941" s="3">
        <v>4883</v>
      </c>
      <c r="S941">
        <v>22845</v>
      </c>
      <c r="T941">
        <v>1</v>
      </c>
      <c r="U941" t="s">
        <v>43</v>
      </c>
      <c r="V941" s="2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tr">
        <f t="shared" si="56"/>
        <v>26-35</v>
      </c>
      <c r="AH941" t="str">
        <f t="shared" si="57"/>
        <v>Mid</v>
      </c>
      <c r="AI941" s="1">
        <f>VLOOKUP(E941,Lookup_Tables!$A$3:$B$5,2,)</f>
        <v>6281.2528616024974</v>
      </c>
      <c r="AJ941" t="str">
        <f t="shared" si="58"/>
        <v>Below salary</v>
      </c>
      <c r="AK941" t="str">
        <f t="shared" si="59"/>
        <v>Low Risk</v>
      </c>
    </row>
    <row r="942" spans="1:37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t="s">
        <v>46</v>
      </c>
      <c r="L942">
        <v>93</v>
      </c>
      <c r="M942">
        <v>3</v>
      </c>
      <c r="N942">
        <v>1</v>
      </c>
      <c r="O942" t="s">
        <v>47</v>
      </c>
      <c r="P942">
        <v>1</v>
      </c>
      <c r="Q942" t="s">
        <v>41</v>
      </c>
      <c r="R942" s="3">
        <v>3904</v>
      </c>
      <c r="S942">
        <v>22154</v>
      </c>
      <c r="T942">
        <v>0</v>
      </c>
      <c r="U942" t="s">
        <v>43</v>
      </c>
      <c r="V942" s="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tr">
        <f t="shared" si="56"/>
        <v>36-45</v>
      </c>
      <c r="AH942" t="str">
        <f t="shared" si="57"/>
        <v>Mid</v>
      </c>
      <c r="AI942" s="1">
        <f>VLOOKUP(E942,Lookup_Tables!$A$3:$B$5,2,)</f>
        <v>6281.2528616024974</v>
      </c>
      <c r="AJ942" t="str">
        <f t="shared" si="58"/>
        <v>Below salary</v>
      </c>
      <c r="AK942" t="str">
        <f t="shared" si="59"/>
        <v>Medium Risk</v>
      </c>
    </row>
    <row r="943" spans="1:37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1311</v>
      </c>
      <c r="J943">
        <v>1</v>
      </c>
      <c r="K943" t="s">
        <v>39</v>
      </c>
      <c r="L943">
        <v>48</v>
      </c>
      <c r="M943">
        <v>2</v>
      </c>
      <c r="N943">
        <v>2</v>
      </c>
      <c r="O943" t="s">
        <v>50</v>
      </c>
      <c r="P943">
        <v>4</v>
      </c>
      <c r="Q943" t="s">
        <v>48</v>
      </c>
      <c r="R943" s="3">
        <v>4627</v>
      </c>
      <c r="S943">
        <v>23631</v>
      </c>
      <c r="T943">
        <v>0</v>
      </c>
      <c r="U943" t="s">
        <v>43</v>
      </c>
      <c r="V943" s="2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tr">
        <f t="shared" si="56"/>
        <v>26-35</v>
      </c>
      <c r="AH943" t="str">
        <f t="shared" si="57"/>
        <v>Mid</v>
      </c>
      <c r="AI943" s="1">
        <f>VLOOKUP(E943,Lookup_Tables!$A$3:$B$5,2,)</f>
        <v>6281.2528616024974</v>
      </c>
      <c r="AJ943" t="str">
        <f t="shared" si="58"/>
        <v>Below salary</v>
      </c>
      <c r="AK943" t="str">
        <f t="shared" si="59"/>
        <v>Low Risk</v>
      </c>
    </row>
    <row r="944" spans="1:37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1312</v>
      </c>
      <c r="J944">
        <v>4</v>
      </c>
      <c r="K944" t="s">
        <v>39</v>
      </c>
      <c r="L944">
        <v>63</v>
      </c>
      <c r="M944">
        <v>3</v>
      </c>
      <c r="N944">
        <v>3</v>
      </c>
      <c r="O944" t="s">
        <v>54</v>
      </c>
      <c r="P944">
        <v>3</v>
      </c>
      <c r="Q944" t="s">
        <v>48</v>
      </c>
      <c r="R944" s="3">
        <v>7094</v>
      </c>
      <c r="S944">
        <v>5747</v>
      </c>
      <c r="T944">
        <v>3</v>
      </c>
      <c r="U944" t="s">
        <v>43</v>
      </c>
      <c r="V944" s="2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tr">
        <f t="shared" si="56"/>
        <v>36-45</v>
      </c>
      <c r="AH944" t="str">
        <f t="shared" si="57"/>
        <v>High</v>
      </c>
      <c r="AI944" s="1">
        <f>VLOOKUP(E944,Lookup_Tables!$A$3:$B$5,2,)</f>
        <v>6281.2528616024974</v>
      </c>
      <c r="AJ944" t="str">
        <f t="shared" si="58"/>
        <v>Above salary</v>
      </c>
      <c r="AK944" t="str">
        <f t="shared" si="59"/>
        <v>Low Risk</v>
      </c>
    </row>
    <row r="945" spans="1:37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44</v>
      </c>
      <c r="M945">
        <v>3</v>
      </c>
      <c r="N945">
        <v>1</v>
      </c>
      <c r="O945" t="s">
        <v>61</v>
      </c>
      <c r="P945">
        <v>1</v>
      </c>
      <c r="Q945" t="s">
        <v>41</v>
      </c>
      <c r="R945" s="3">
        <v>3423</v>
      </c>
      <c r="S945">
        <v>22957</v>
      </c>
      <c r="T945">
        <v>6</v>
      </c>
      <c r="U945" t="s">
        <v>43</v>
      </c>
      <c r="V945" s="2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tr">
        <f t="shared" si="56"/>
        <v>46+</v>
      </c>
      <c r="AH945" t="str">
        <f t="shared" si="57"/>
        <v>Mid</v>
      </c>
      <c r="AI945" s="1">
        <f>VLOOKUP(E945,Lookup_Tables!$A$3:$B$5,2,)</f>
        <v>6654.5079365079364</v>
      </c>
      <c r="AJ945" t="str">
        <f t="shared" si="58"/>
        <v>Below salary</v>
      </c>
      <c r="AK945" t="str">
        <f t="shared" si="59"/>
        <v>Medium Risk</v>
      </c>
    </row>
    <row r="946" spans="1:37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55</v>
      </c>
      <c r="M946">
        <v>1</v>
      </c>
      <c r="N946">
        <v>2</v>
      </c>
      <c r="O946" t="s">
        <v>50</v>
      </c>
      <c r="P946">
        <v>4</v>
      </c>
      <c r="Q946" t="s">
        <v>48</v>
      </c>
      <c r="R946" s="3">
        <v>6674</v>
      </c>
      <c r="S946">
        <v>16392</v>
      </c>
      <c r="T946">
        <v>0</v>
      </c>
      <c r="U946" t="s">
        <v>43</v>
      </c>
      <c r="V946" s="2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tr">
        <f t="shared" si="56"/>
        <v>26-35</v>
      </c>
      <c r="AH946" t="str">
        <f t="shared" si="57"/>
        <v>Mid</v>
      </c>
      <c r="AI946" s="1">
        <f>VLOOKUP(E946,Lookup_Tables!$A$3:$B$5,2,)</f>
        <v>6281.2528616024974</v>
      </c>
      <c r="AJ946" t="str">
        <f t="shared" si="58"/>
        <v>Above salary</v>
      </c>
      <c r="AK946" t="str">
        <f t="shared" si="59"/>
        <v>Low Risk</v>
      </c>
    </row>
    <row r="947" spans="1:37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43</v>
      </c>
      <c r="M947">
        <v>3</v>
      </c>
      <c r="N947">
        <v>4</v>
      </c>
      <c r="O947" t="s">
        <v>58</v>
      </c>
      <c r="P947">
        <v>1</v>
      </c>
      <c r="Q947" t="s">
        <v>48</v>
      </c>
      <c r="R947" s="3">
        <v>16880</v>
      </c>
      <c r="S947">
        <v>22422</v>
      </c>
      <c r="T947">
        <v>4</v>
      </c>
      <c r="U947" t="s">
        <v>35</v>
      </c>
      <c r="V947" s="2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tr">
        <f t="shared" si="56"/>
        <v>46+</v>
      </c>
      <c r="AH947" t="str">
        <f t="shared" si="57"/>
        <v>Very High</v>
      </c>
      <c r="AI947" s="1">
        <f>VLOOKUP(E947,Lookup_Tables!$A$3:$B$5,2,)</f>
        <v>6281.2528616024974</v>
      </c>
      <c r="AJ947" t="str">
        <f t="shared" si="58"/>
        <v>Above salary</v>
      </c>
      <c r="AK947" t="str">
        <f t="shared" si="59"/>
        <v>High Risk</v>
      </c>
    </row>
    <row r="948" spans="1:37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1318</v>
      </c>
      <c r="J948">
        <v>4</v>
      </c>
      <c r="K948" t="s">
        <v>46</v>
      </c>
      <c r="L948">
        <v>57</v>
      </c>
      <c r="M948">
        <v>2</v>
      </c>
      <c r="N948">
        <v>3</v>
      </c>
      <c r="O948" t="s">
        <v>40</v>
      </c>
      <c r="P948">
        <v>2</v>
      </c>
      <c r="Q948" t="s">
        <v>41</v>
      </c>
      <c r="R948" s="3">
        <v>9094</v>
      </c>
      <c r="S948">
        <v>17235</v>
      </c>
      <c r="T948">
        <v>2</v>
      </c>
      <c r="U948" t="s">
        <v>35</v>
      </c>
      <c r="V948" s="2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tr">
        <f t="shared" si="56"/>
        <v>36-45</v>
      </c>
      <c r="AH948" t="str">
        <f t="shared" si="57"/>
        <v>High</v>
      </c>
      <c r="AI948" s="1">
        <f>VLOOKUP(E948,Lookup_Tables!$A$3:$B$5,2,)</f>
        <v>6959.17264573991</v>
      </c>
      <c r="AJ948" t="str">
        <f t="shared" si="58"/>
        <v>Above salary</v>
      </c>
      <c r="AK948" t="str">
        <f t="shared" si="59"/>
        <v>High Risk</v>
      </c>
    </row>
    <row r="949" spans="1:37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46</v>
      </c>
      <c r="L949">
        <v>64</v>
      </c>
      <c r="M949">
        <v>3</v>
      </c>
      <c r="N949">
        <v>3</v>
      </c>
      <c r="O949" t="s">
        <v>40</v>
      </c>
      <c r="P949">
        <v>2</v>
      </c>
      <c r="Q949" t="s">
        <v>41</v>
      </c>
      <c r="R949" s="3">
        <v>8446</v>
      </c>
      <c r="S949">
        <v>21534</v>
      </c>
      <c r="T949">
        <v>9</v>
      </c>
      <c r="U949" t="s">
        <v>35</v>
      </c>
      <c r="V949" s="2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tr">
        <f t="shared" si="56"/>
        <v>46+</v>
      </c>
      <c r="AH949" t="str">
        <f t="shared" si="57"/>
        <v>High</v>
      </c>
      <c r="AI949" s="1">
        <f>VLOOKUP(E949,Lookup_Tables!$A$3:$B$5,2,)</f>
        <v>6959.17264573991</v>
      </c>
      <c r="AJ949" t="str">
        <f t="shared" si="58"/>
        <v>Above salary</v>
      </c>
      <c r="AK949" t="str">
        <f t="shared" si="59"/>
        <v>High Risk</v>
      </c>
    </row>
    <row r="950" spans="1:37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t="s">
        <v>39</v>
      </c>
      <c r="L950">
        <v>95</v>
      </c>
      <c r="M950">
        <v>3</v>
      </c>
      <c r="N950">
        <v>3</v>
      </c>
      <c r="O950" t="s">
        <v>56</v>
      </c>
      <c r="P950">
        <v>1</v>
      </c>
      <c r="Q950" t="s">
        <v>48</v>
      </c>
      <c r="R950" s="3">
        <v>11916</v>
      </c>
      <c r="S950">
        <v>25927</v>
      </c>
      <c r="T950">
        <v>1</v>
      </c>
      <c r="U950" t="s">
        <v>35</v>
      </c>
      <c r="V950" s="2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tr">
        <f t="shared" si="56"/>
        <v>26-35</v>
      </c>
      <c r="AH950" t="str">
        <f t="shared" si="57"/>
        <v>High</v>
      </c>
      <c r="AI950" s="1">
        <f>VLOOKUP(E950,Lookup_Tables!$A$3:$B$5,2,)</f>
        <v>6281.2528616024974</v>
      </c>
      <c r="AJ950" t="str">
        <f t="shared" si="58"/>
        <v>Above salary</v>
      </c>
      <c r="AK950" t="str">
        <f t="shared" si="59"/>
        <v>High Risk</v>
      </c>
    </row>
    <row r="951" spans="1:37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46</v>
      </c>
      <c r="L951">
        <v>32</v>
      </c>
      <c r="M951">
        <v>3</v>
      </c>
      <c r="N951">
        <v>2</v>
      </c>
      <c r="O951" t="s">
        <v>53</v>
      </c>
      <c r="P951">
        <v>3</v>
      </c>
      <c r="Q951" t="s">
        <v>41</v>
      </c>
      <c r="R951" s="3">
        <v>4534</v>
      </c>
      <c r="S951">
        <v>13352</v>
      </c>
      <c r="T951">
        <v>0</v>
      </c>
      <c r="U951" t="s">
        <v>43</v>
      </c>
      <c r="V951" s="2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tr">
        <f t="shared" si="56"/>
        <v>36-45</v>
      </c>
      <c r="AH951" t="str">
        <f t="shared" si="57"/>
        <v>Mid</v>
      </c>
      <c r="AI951" s="1">
        <f>VLOOKUP(E951,Lookup_Tables!$A$3:$B$5,2,)</f>
        <v>6281.2528616024974</v>
      </c>
      <c r="AJ951" t="str">
        <f t="shared" si="58"/>
        <v>Below salary</v>
      </c>
      <c r="AK951" t="str">
        <f t="shared" si="59"/>
        <v>Low Risk</v>
      </c>
    </row>
    <row r="952" spans="1:37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57</v>
      </c>
      <c r="M952">
        <v>3</v>
      </c>
      <c r="N952">
        <v>3</v>
      </c>
      <c r="O952" t="s">
        <v>40</v>
      </c>
      <c r="P952">
        <v>3</v>
      </c>
      <c r="Q952" t="s">
        <v>52</v>
      </c>
      <c r="R952" s="3">
        <v>9852</v>
      </c>
      <c r="S952">
        <v>8935</v>
      </c>
      <c r="T952">
        <v>1</v>
      </c>
      <c r="U952" t="s">
        <v>35</v>
      </c>
      <c r="V952" s="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tr">
        <f t="shared" si="56"/>
        <v>26-35</v>
      </c>
      <c r="AH952" t="str">
        <f t="shared" si="57"/>
        <v>High</v>
      </c>
      <c r="AI952" s="1">
        <f>VLOOKUP(E952,Lookup_Tables!$A$3:$B$5,2,)</f>
        <v>6959.17264573991</v>
      </c>
      <c r="AJ952" t="str">
        <f t="shared" si="58"/>
        <v>Above salary</v>
      </c>
      <c r="AK952" t="str">
        <f t="shared" si="59"/>
        <v>Medium Risk</v>
      </c>
    </row>
    <row r="953" spans="1:37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t="s">
        <v>46</v>
      </c>
      <c r="L953">
        <v>40</v>
      </c>
      <c r="M953">
        <v>1</v>
      </c>
      <c r="N953">
        <v>2</v>
      </c>
      <c r="O953" t="s">
        <v>40</v>
      </c>
      <c r="P953">
        <v>2</v>
      </c>
      <c r="Q953" t="s">
        <v>41</v>
      </c>
      <c r="R953" s="3">
        <v>6151</v>
      </c>
      <c r="S953">
        <v>22074</v>
      </c>
      <c r="T953">
        <v>1</v>
      </c>
      <c r="U953" t="s">
        <v>43</v>
      </c>
      <c r="V953" s="2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tr">
        <f t="shared" si="56"/>
        <v>36-45</v>
      </c>
      <c r="AH953" t="str">
        <f t="shared" si="57"/>
        <v>Mid</v>
      </c>
      <c r="AI953" s="1">
        <f>VLOOKUP(E953,Lookup_Tables!$A$3:$B$5,2,)</f>
        <v>6959.17264573991</v>
      </c>
      <c r="AJ953" t="str">
        <f t="shared" si="58"/>
        <v>Below salary</v>
      </c>
      <c r="AK953" t="str">
        <f t="shared" si="59"/>
        <v>Medium Risk</v>
      </c>
    </row>
    <row r="954" spans="1:37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54</v>
      </c>
      <c r="M954">
        <v>3</v>
      </c>
      <c r="N954">
        <v>1</v>
      </c>
      <c r="O954" t="s">
        <v>57</v>
      </c>
      <c r="P954">
        <v>2</v>
      </c>
      <c r="Q954" t="s">
        <v>41</v>
      </c>
      <c r="R954" s="3">
        <v>2302</v>
      </c>
      <c r="S954">
        <v>8319</v>
      </c>
      <c r="T954">
        <v>1</v>
      </c>
      <c r="U954" t="s">
        <v>35</v>
      </c>
      <c r="V954" s="2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tr">
        <f t="shared" si="56"/>
        <v>26-35</v>
      </c>
      <c r="AH954" t="str">
        <f t="shared" si="57"/>
        <v>Low</v>
      </c>
      <c r="AI954" s="1">
        <f>VLOOKUP(E954,Lookup_Tables!$A$3:$B$5,2,)</f>
        <v>6959.17264573991</v>
      </c>
      <c r="AJ954" t="str">
        <f t="shared" si="58"/>
        <v>Below salary</v>
      </c>
      <c r="AK954" t="str">
        <f t="shared" si="59"/>
        <v>High Risk</v>
      </c>
    </row>
    <row r="955" spans="1:37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46</v>
      </c>
      <c r="L955">
        <v>89</v>
      </c>
      <c r="M955">
        <v>3</v>
      </c>
      <c r="N955">
        <v>1</v>
      </c>
      <c r="O955" t="s">
        <v>50</v>
      </c>
      <c r="P955">
        <v>1</v>
      </c>
      <c r="Q955" t="s">
        <v>48</v>
      </c>
      <c r="R955" s="3">
        <v>2362</v>
      </c>
      <c r="S955">
        <v>14669</v>
      </c>
      <c r="T955">
        <v>4</v>
      </c>
      <c r="U955" t="s">
        <v>43</v>
      </c>
      <c r="V955" s="2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tr">
        <f t="shared" si="56"/>
        <v>36-45</v>
      </c>
      <c r="AH955" t="str">
        <f t="shared" si="57"/>
        <v>Low</v>
      </c>
      <c r="AI955" s="1">
        <f>VLOOKUP(E955,Lookup_Tables!$A$3:$B$5,2,)</f>
        <v>6281.2528616024974</v>
      </c>
      <c r="AJ955" t="str">
        <f t="shared" si="58"/>
        <v>Below salary</v>
      </c>
      <c r="AK955" t="str">
        <f t="shared" si="59"/>
        <v>Medium Risk</v>
      </c>
    </row>
    <row r="956" spans="1:37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46</v>
      </c>
      <c r="L956">
        <v>37</v>
      </c>
      <c r="M956">
        <v>3</v>
      </c>
      <c r="N956">
        <v>4</v>
      </c>
      <c r="O956" t="s">
        <v>56</v>
      </c>
      <c r="P956">
        <v>3</v>
      </c>
      <c r="Q956" t="s">
        <v>48</v>
      </c>
      <c r="R956" s="3">
        <v>17861</v>
      </c>
      <c r="S956">
        <v>26582</v>
      </c>
      <c r="T956">
        <v>0</v>
      </c>
      <c r="U956" t="s">
        <v>35</v>
      </c>
      <c r="V956" s="2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tr">
        <f t="shared" si="56"/>
        <v>36-45</v>
      </c>
      <c r="AH956" t="str">
        <f t="shared" si="57"/>
        <v>Very High</v>
      </c>
      <c r="AI956" s="1">
        <f>VLOOKUP(E956,Lookup_Tables!$A$3:$B$5,2,)</f>
        <v>6281.2528616024974</v>
      </c>
      <c r="AJ956" t="str">
        <f t="shared" si="58"/>
        <v>Above salary</v>
      </c>
      <c r="AK956" t="str">
        <f t="shared" si="59"/>
        <v>Medium Risk</v>
      </c>
    </row>
    <row r="957" spans="1:37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1336</v>
      </c>
      <c r="J957">
        <v>4</v>
      </c>
      <c r="K957" t="s">
        <v>39</v>
      </c>
      <c r="L957">
        <v>58</v>
      </c>
      <c r="M957">
        <v>1</v>
      </c>
      <c r="N957">
        <v>5</v>
      </c>
      <c r="O957" t="s">
        <v>56</v>
      </c>
      <c r="P957">
        <v>3</v>
      </c>
      <c r="Q957" t="s">
        <v>48</v>
      </c>
      <c r="R957" s="3">
        <v>19187</v>
      </c>
      <c r="S957">
        <v>6992</v>
      </c>
      <c r="T957">
        <v>4</v>
      </c>
      <c r="U957" t="s">
        <v>43</v>
      </c>
      <c r="V957" s="2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tr">
        <f t="shared" si="56"/>
        <v>46+</v>
      </c>
      <c r="AH957" t="str">
        <f t="shared" si="57"/>
        <v>Very High</v>
      </c>
      <c r="AI957" s="1">
        <f>VLOOKUP(E957,Lookup_Tables!$A$3:$B$5,2,)</f>
        <v>6281.2528616024974</v>
      </c>
      <c r="AJ957" t="str">
        <f t="shared" si="58"/>
        <v>Above salary</v>
      </c>
      <c r="AK957" t="str">
        <f t="shared" si="59"/>
        <v>Low Risk</v>
      </c>
    </row>
    <row r="958" spans="1:37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46</v>
      </c>
      <c r="L958">
        <v>99</v>
      </c>
      <c r="M958">
        <v>3</v>
      </c>
      <c r="N958">
        <v>5</v>
      </c>
      <c r="O958" t="s">
        <v>56</v>
      </c>
      <c r="P958">
        <v>2</v>
      </c>
      <c r="Q958" t="s">
        <v>41</v>
      </c>
      <c r="R958" s="3">
        <v>19717</v>
      </c>
      <c r="S958">
        <v>4022</v>
      </c>
      <c r="T958">
        <v>6</v>
      </c>
      <c r="U958" t="s">
        <v>43</v>
      </c>
      <c r="V958" s="2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tr">
        <f t="shared" si="56"/>
        <v>46+</v>
      </c>
      <c r="AH958" t="str">
        <f t="shared" si="57"/>
        <v>Very High</v>
      </c>
      <c r="AI958" s="1">
        <f>VLOOKUP(E958,Lookup_Tables!$A$3:$B$5,2,)</f>
        <v>6654.5079365079364</v>
      </c>
      <c r="AJ958" t="str">
        <f t="shared" si="58"/>
        <v>Above salary</v>
      </c>
      <c r="AK958" t="str">
        <f t="shared" si="59"/>
        <v>Medium Risk</v>
      </c>
    </row>
    <row r="959" spans="1:37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46</v>
      </c>
      <c r="L959">
        <v>74</v>
      </c>
      <c r="M959">
        <v>3</v>
      </c>
      <c r="N959">
        <v>1</v>
      </c>
      <c r="O959" t="s">
        <v>47</v>
      </c>
      <c r="P959">
        <v>3</v>
      </c>
      <c r="Q959" t="s">
        <v>52</v>
      </c>
      <c r="R959" s="3">
        <v>3544</v>
      </c>
      <c r="S959">
        <v>8532</v>
      </c>
      <c r="T959">
        <v>9</v>
      </c>
      <c r="U959" t="s">
        <v>43</v>
      </c>
      <c r="V959" s="2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tr">
        <f t="shared" si="56"/>
        <v>36-45</v>
      </c>
      <c r="AH959" t="str">
        <f t="shared" si="57"/>
        <v>Mid</v>
      </c>
      <c r="AI959" s="1">
        <f>VLOOKUP(E959,Lookup_Tables!$A$3:$B$5,2,)</f>
        <v>6281.2528616024974</v>
      </c>
      <c r="AJ959" t="str">
        <f t="shared" si="58"/>
        <v>Below salary</v>
      </c>
      <c r="AK959" t="str">
        <f t="shared" si="59"/>
        <v>Low Risk</v>
      </c>
    </row>
    <row r="960" spans="1:37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46</v>
      </c>
      <c r="L960">
        <v>86</v>
      </c>
      <c r="M960">
        <v>3</v>
      </c>
      <c r="N960">
        <v>3</v>
      </c>
      <c r="O960" t="s">
        <v>54</v>
      </c>
      <c r="P960">
        <v>4</v>
      </c>
      <c r="Q960" t="s">
        <v>52</v>
      </c>
      <c r="R960" s="3">
        <v>8500</v>
      </c>
      <c r="S960">
        <v>5494</v>
      </c>
      <c r="T960">
        <v>0</v>
      </c>
      <c r="U960" t="s">
        <v>43</v>
      </c>
      <c r="V960" s="2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tr">
        <f t="shared" si="56"/>
        <v>26-35</v>
      </c>
      <c r="AH960" t="str">
        <f t="shared" si="57"/>
        <v>High</v>
      </c>
      <c r="AI960" s="1">
        <f>VLOOKUP(E960,Lookup_Tables!$A$3:$B$5,2,)</f>
        <v>6281.2528616024974</v>
      </c>
      <c r="AJ960" t="str">
        <f t="shared" si="58"/>
        <v>Above salary</v>
      </c>
      <c r="AK960" t="str">
        <f t="shared" si="59"/>
        <v>Low Risk</v>
      </c>
    </row>
    <row r="961" spans="1:37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46</v>
      </c>
      <c r="L961">
        <v>98</v>
      </c>
      <c r="M961">
        <v>3</v>
      </c>
      <c r="N961">
        <v>2</v>
      </c>
      <c r="O961" t="s">
        <v>47</v>
      </c>
      <c r="P961">
        <v>4</v>
      </c>
      <c r="Q961" t="s">
        <v>41</v>
      </c>
      <c r="R961" s="3">
        <v>4661</v>
      </c>
      <c r="S961">
        <v>22455</v>
      </c>
      <c r="T961">
        <v>1</v>
      </c>
      <c r="U961" t="s">
        <v>43</v>
      </c>
      <c r="V961" s="2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tr">
        <f t="shared" si="56"/>
        <v>36-45</v>
      </c>
      <c r="AH961" t="str">
        <f t="shared" si="57"/>
        <v>Mid</v>
      </c>
      <c r="AI961" s="1">
        <f>VLOOKUP(E961,Lookup_Tables!$A$3:$B$5,2,)</f>
        <v>6281.2528616024974</v>
      </c>
      <c r="AJ961" t="str">
        <f t="shared" si="58"/>
        <v>Below salary</v>
      </c>
      <c r="AK961" t="str">
        <f t="shared" si="59"/>
        <v>Low Risk</v>
      </c>
    </row>
    <row r="962" spans="1:37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1349</v>
      </c>
      <c r="J962">
        <v>3</v>
      </c>
      <c r="K962" t="s">
        <v>39</v>
      </c>
      <c r="L962">
        <v>66</v>
      </c>
      <c r="M962">
        <v>3</v>
      </c>
      <c r="N962">
        <v>2</v>
      </c>
      <c r="O962" t="s">
        <v>40</v>
      </c>
      <c r="P962">
        <v>1</v>
      </c>
      <c r="Q962" t="s">
        <v>52</v>
      </c>
      <c r="R962" s="3">
        <v>4103</v>
      </c>
      <c r="S962">
        <v>4297</v>
      </c>
      <c r="T962">
        <v>0</v>
      </c>
      <c r="U962" t="s">
        <v>43</v>
      </c>
      <c r="V962" s="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tr">
        <f t="shared" ref="AG962:AG1025" si="60">IF(A962&lt;=25,"18-25",IF(A962&lt;= 35, "26-35",IF(A962&lt;=45, "36-45","46+")))</f>
        <v>36-45</v>
      </c>
      <c r="AH962" t="str">
        <f t="shared" ref="AH962:AH1025" si="61">IF(R962&lt;3000,"Low",IF(R962&lt;7000,"Mid", IF(R962&lt;12000, "High", "Very High")))</f>
        <v>Mid</v>
      </c>
      <c r="AI962" s="1">
        <f>VLOOKUP(E962,Lookup_Tables!$A$3:$B$5,2,)</f>
        <v>6959.17264573991</v>
      </c>
      <c r="AJ962" t="str">
        <f t="shared" ref="AJ962:AJ1025" si="62">IF(R962&gt;AI962, "Above salary","Below salary")</f>
        <v>Below salary</v>
      </c>
      <c r="AK962" t="str">
        <f t="shared" si="59"/>
        <v>Medium Risk</v>
      </c>
    </row>
    <row r="963" spans="1:37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46</v>
      </c>
      <c r="L963">
        <v>87</v>
      </c>
      <c r="M963">
        <v>3</v>
      </c>
      <c r="N963">
        <v>2</v>
      </c>
      <c r="O963" t="s">
        <v>47</v>
      </c>
      <c r="P963">
        <v>3</v>
      </c>
      <c r="Q963" t="s">
        <v>41</v>
      </c>
      <c r="R963" s="3">
        <v>4249</v>
      </c>
      <c r="S963">
        <v>2690</v>
      </c>
      <c r="T963">
        <v>1</v>
      </c>
      <c r="U963" t="s">
        <v>35</v>
      </c>
      <c r="V963" s="2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tr">
        <f t="shared" si="60"/>
        <v>26-35</v>
      </c>
      <c r="AH963" t="str">
        <f t="shared" si="61"/>
        <v>Mid</v>
      </c>
      <c r="AI963" s="1">
        <f>VLOOKUP(E963,Lookup_Tables!$A$3:$B$5,2,)</f>
        <v>6281.2528616024974</v>
      </c>
      <c r="AJ963" t="str">
        <f t="shared" si="62"/>
        <v>Below salary</v>
      </c>
      <c r="AK963" t="str">
        <f t="shared" ref="AK963:AK1026" si="63">IF(AND(P963&lt;=2,U963="Yes"),"High Risk",IF(OR(P963&lt;=2,U963="Yes"),"Medium Risk","Low Risk"))</f>
        <v>Medium Risk</v>
      </c>
    </row>
    <row r="964" spans="1:37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46</v>
      </c>
      <c r="L964">
        <v>84</v>
      </c>
      <c r="M964">
        <v>3</v>
      </c>
      <c r="N964">
        <v>4</v>
      </c>
      <c r="O964" t="s">
        <v>56</v>
      </c>
      <c r="P964">
        <v>2</v>
      </c>
      <c r="Q964" t="s">
        <v>52</v>
      </c>
      <c r="R964" s="3">
        <v>14026</v>
      </c>
      <c r="S964">
        <v>17588</v>
      </c>
      <c r="T964">
        <v>1</v>
      </c>
      <c r="U964" t="s">
        <v>35</v>
      </c>
      <c r="V964" s="2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tr">
        <f t="shared" si="60"/>
        <v>46+</v>
      </c>
      <c r="AH964" t="str">
        <f t="shared" si="61"/>
        <v>Very High</v>
      </c>
      <c r="AI964" s="1">
        <f>VLOOKUP(E964,Lookup_Tables!$A$3:$B$5,2,)</f>
        <v>6654.5079365079364</v>
      </c>
      <c r="AJ964" t="str">
        <f t="shared" si="62"/>
        <v>Above salary</v>
      </c>
      <c r="AK964" t="str">
        <f t="shared" si="63"/>
        <v>High Risk</v>
      </c>
    </row>
    <row r="965" spans="1:37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31</v>
      </c>
      <c r="M965">
        <v>3</v>
      </c>
      <c r="N965">
        <v>2</v>
      </c>
      <c r="O965" t="s">
        <v>40</v>
      </c>
      <c r="P965">
        <v>1</v>
      </c>
      <c r="Q965" t="s">
        <v>52</v>
      </c>
      <c r="R965" s="3">
        <v>6893</v>
      </c>
      <c r="S965">
        <v>19461</v>
      </c>
      <c r="T965">
        <v>3</v>
      </c>
      <c r="U965" t="s">
        <v>43</v>
      </c>
      <c r="V965" s="2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tr">
        <f t="shared" si="60"/>
        <v>36-45</v>
      </c>
      <c r="AH965" t="str">
        <f t="shared" si="61"/>
        <v>Mid</v>
      </c>
      <c r="AI965" s="1">
        <f>VLOOKUP(E965,Lookup_Tables!$A$3:$B$5,2,)</f>
        <v>6959.17264573991</v>
      </c>
      <c r="AJ965" t="str">
        <f t="shared" si="62"/>
        <v>Below salary</v>
      </c>
      <c r="AK965" t="str">
        <f t="shared" si="63"/>
        <v>Medium Risk</v>
      </c>
    </row>
    <row r="966" spans="1:37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t="s">
        <v>39</v>
      </c>
      <c r="L966">
        <v>66</v>
      </c>
      <c r="M966">
        <v>3</v>
      </c>
      <c r="N966">
        <v>2</v>
      </c>
      <c r="O966" t="s">
        <v>40</v>
      </c>
      <c r="P966">
        <v>1</v>
      </c>
      <c r="Q966" t="s">
        <v>41</v>
      </c>
      <c r="R966" s="3">
        <v>6125</v>
      </c>
      <c r="S966">
        <v>23553</v>
      </c>
      <c r="T966">
        <v>1</v>
      </c>
      <c r="U966" t="s">
        <v>43</v>
      </c>
      <c r="V966" s="2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tr">
        <f t="shared" si="60"/>
        <v>26-35</v>
      </c>
      <c r="AH966" t="str">
        <f t="shared" si="61"/>
        <v>Mid</v>
      </c>
      <c r="AI966" s="1">
        <f>VLOOKUP(E966,Lookup_Tables!$A$3:$B$5,2,)</f>
        <v>6959.17264573991</v>
      </c>
      <c r="AJ966" t="str">
        <f t="shared" si="62"/>
        <v>Below salary</v>
      </c>
      <c r="AK966" t="str">
        <f t="shared" si="63"/>
        <v>Medium Risk</v>
      </c>
    </row>
    <row r="967" spans="1:37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t="s">
        <v>46</v>
      </c>
      <c r="L967">
        <v>67</v>
      </c>
      <c r="M967">
        <v>3</v>
      </c>
      <c r="N967">
        <v>1</v>
      </c>
      <c r="O967" t="s">
        <v>50</v>
      </c>
      <c r="P967">
        <v>4</v>
      </c>
      <c r="Q967" t="s">
        <v>48</v>
      </c>
      <c r="R967" s="3">
        <v>3669</v>
      </c>
      <c r="S967">
        <v>9075</v>
      </c>
      <c r="T967">
        <v>3</v>
      </c>
      <c r="U967" t="s">
        <v>43</v>
      </c>
      <c r="V967" s="2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tr">
        <f t="shared" si="60"/>
        <v>18-25</v>
      </c>
      <c r="AH967" t="str">
        <f t="shared" si="61"/>
        <v>Mid</v>
      </c>
      <c r="AI967" s="1">
        <f>VLOOKUP(E967,Lookup_Tables!$A$3:$B$5,2,)</f>
        <v>6281.2528616024974</v>
      </c>
      <c r="AJ967" t="str">
        <f t="shared" si="62"/>
        <v>Below salary</v>
      </c>
      <c r="AK967" t="str">
        <f t="shared" si="63"/>
        <v>Low Risk</v>
      </c>
    </row>
    <row r="968" spans="1:37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1360</v>
      </c>
      <c r="J968">
        <v>3</v>
      </c>
      <c r="K968" t="s">
        <v>39</v>
      </c>
      <c r="L968">
        <v>53</v>
      </c>
      <c r="M968">
        <v>2</v>
      </c>
      <c r="N968">
        <v>3</v>
      </c>
      <c r="O968" t="s">
        <v>53</v>
      </c>
      <c r="P968">
        <v>1</v>
      </c>
      <c r="Q968" t="s">
        <v>48</v>
      </c>
      <c r="R968" s="3">
        <v>10008</v>
      </c>
      <c r="S968">
        <v>12023</v>
      </c>
      <c r="T968">
        <v>7</v>
      </c>
      <c r="U968" t="s">
        <v>35</v>
      </c>
      <c r="V968" s="2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tr">
        <f t="shared" si="60"/>
        <v>46+</v>
      </c>
      <c r="AH968" t="str">
        <f t="shared" si="61"/>
        <v>High</v>
      </c>
      <c r="AI968" s="1">
        <f>VLOOKUP(E968,Lookup_Tables!$A$3:$B$5,2,)</f>
        <v>6281.2528616024974</v>
      </c>
      <c r="AJ968" t="str">
        <f t="shared" si="62"/>
        <v>Above salary</v>
      </c>
      <c r="AK968" t="str">
        <f t="shared" si="63"/>
        <v>High Risk</v>
      </c>
    </row>
    <row r="969" spans="1:37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46</v>
      </c>
      <c r="L969">
        <v>88</v>
      </c>
      <c r="M969">
        <v>3</v>
      </c>
      <c r="N969">
        <v>1</v>
      </c>
      <c r="O969" t="s">
        <v>50</v>
      </c>
      <c r="P969">
        <v>2</v>
      </c>
      <c r="Q969" t="s">
        <v>48</v>
      </c>
      <c r="R969" s="3">
        <v>2387</v>
      </c>
      <c r="S969">
        <v>6762</v>
      </c>
      <c r="T969">
        <v>3</v>
      </c>
      <c r="U969" t="s">
        <v>43</v>
      </c>
      <c r="V969" s="2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tr">
        <f t="shared" si="60"/>
        <v>36-45</v>
      </c>
      <c r="AH969" t="str">
        <f t="shared" si="61"/>
        <v>Low</v>
      </c>
      <c r="AI969" s="1">
        <f>VLOOKUP(E969,Lookup_Tables!$A$3:$B$5,2,)</f>
        <v>6281.2528616024974</v>
      </c>
      <c r="AJ969" t="str">
        <f t="shared" si="62"/>
        <v>Below salary</v>
      </c>
      <c r="AK969" t="str">
        <f t="shared" si="63"/>
        <v>Medium Risk</v>
      </c>
    </row>
    <row r="970" spans="1:37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1362</v>
      </c>
      <c r="J970">
        <v>1</v>
      </c>
      <c r="K970" t="s">
        <v>39</v>
      </c>
      <c r="L970">
        <v>83</v>
      </c>
      <c r="M970">
        <v>4</v>
      </c>
      <c r="N970">
        <v>2</v>
      </c>
      <c r="O970" t="s">
        <v>40</v>
      </c>
      <c r="P970">
        <v>1</v>
      </c>
      <c r="Q970" t="s">
        <v>48</v>
      </c>
      <c r="R970" s="3">
        <v>4639</v>
      </c>
      <c r="S970">
        <v>2261</v>
      </c>
      <c r="T970">
        <v>2</v>
      </c>
      <c r="U970" t="s">
        <v>43</v>
      </c>
      <c r="V970" s="2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tr">
        <f t="shared" si="60"/>
        <v>36-45</v>
      </c>
      <c r="AH970" t="str">
        <f t="shared" si="61"/>
        <v>Mid</v>
      </c>
      <c r="AI970" s="1">
        <f>VLOOKUP(E970,Lookup_Tables!$A$3:$B$5,2,)</f>
        <v>6959.17264573991</v>
      </c>
      <c r="AJ970" t="str">
        <f t="shared" si="62"/>
        <v>Below salary</v>
      </c>
      <c r="AK970" t="str">
        <f t="shared" si="63"/>
        <v>Medium Risk</v>
      </c>
    </row>
    <row r="971" spans="1:37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46</v>
      </c>
      <c r="L971">
        <v>54</v>
      </c>
      <c r="M971">
        <v>3</v>
      </c>
      <c r="N971">
        <v>3</v>
      </c>
      <c r="O971" t="s">
        <v>53</v>
      </c>
      <c r="P971">
        <v>4</v>
      </c>
      <c r="Q971" t="s">
        <v>41</v>
      </c>
      <c r="R971" s="3">
        <v>7898</v>
      </c>
      <c r="S971">
        <v>18706</v>
      </c>
      <c r="T971">
        <v>1</v>
      </c>
      <c r="U971" t="s">
        <v>43</v>
      </c>
      <c r="V971" s="2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tr">
        <f t="shared" si="60"/>
        <v>46+</v>
      </c>
      <c r="AH971" t="str">
        <f t="shared" si="61"/>
        <v>High</v>
      </c>
      <c r="AI971" s="1">
        <f>VLOOKUP(E971,Lookup_Tables!$A$3:$B$5,2,)</f>
        <v>6281.2528616024974</v>
      </c>
      <c r="AJ971" t="str">
        <f t="shared" si="62"/>
        <v>Above salary</v>
      </c>
      <c r="AK971" t="str">
        <f t="shared" si="63"/>
        <v>Low Risk</v>
      </c>
    </row>
    <row r="972" spans="1:37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t="s">
        <v>39</v>
      </c>
      <c r="L972">
        <v>98</v>
      </c>
      <c r="M972">
        <v>4</v>
      </c>
      <c r="N972">
        <v>1</v>
      </c>
      <c r="O972" t="s">
        <v>57</v>
      </c>
      <c r="P972">
        <v>4</v>
      </c>
      <c r="Q972" t="s">
        <v>48</v>
      </c>
      <c r="R972" s="3">
        <v>2534</v>
      </c>
      <c r="S972">
        <v>6527</v>
      </c>
      <c r="T972">
        <v>8</v>
      </c>
      <c r="U972" t="s">
        <v>43</v>
      </c>
      <c r="V972" s="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tr">
        <f t="shared" si="60"/>
        <v>26-35</v>
      </c>
      <c r="AH972" t="str">
        <f t="shared" si="61"/>
        <v>Low</v>
      </c>
      <c r="AI972" s="1">
        <f>VLOOKUP(E972,Lookup_Tables!$A$3:$B$5,2,)</f>
        <v>6959.17264573991</v>
      </c>
      <c r="AJ972" t="str">
        <f t="shared" si="62"/>
        <v>Below salary</v>
      </c>
      <c r="AK972" t="str">
        <f t="shared" si="63"/>
        <v>Low Risk</v>
      </c>
    </row>
    <row r="973" spans="1:37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1367</v>
      </c>
      <c r="J973">
        <v>4</v>
      </c>
      <c r="K973" t="s">
        <v>39</v>
      </c>
      <c r="L973">
        <v>82</v>
      </c>
      <c r="M973">
        <v>2</v>
      </c>
      <c r="N973">
        <v>4</v>
      </c>
      <c r="O973" t="s">
        <v>53</v>
      </c>
      <c r="P973">
        <v>2</v>
      </c>
      <c r="Q973" t="s">
        <v>41</v>
      </c>
      <c r="R973" s="3">
        <v>13142</v>
      </c>
      <c r="S973">
        <v>24439</v>
      </c>
      <c r="T973">
        <v>3</v>
      </c>
      <c r="U973" t="s">
        <v>43</v>
      </c>
      <c r="V973" s="2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tr">
        <f t="shared" si="60"/>
        <v>46+</v>
      </c>
      <c r="AH973" t="str">
        <f t="shared" si="61"/>
        <v>Very High</v>
      </c>
      <c r="AI973" s="1">
        <f>VLOOKUP(E973,Lookup_Tables!$A$3:$B$5,2,)</f>
        <v>6281.2528616024974</v>
      </c>
      <c r="AJ973" t="str">
        <f t="shared" si="62"/>
        <v>Above salary</v>
      </c>
      <c r="AK973" t="str">
        <f t="shared" si="63"/>
        <v>Medium Risk</v>
      </c>
    </row>
    <row r="974" spans="1:37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97</v>
      </c>
      <c r="M974">
        <v>3</v>
      </c>
      <c r="N974">
        <v>1</v>
      </c>
      <c r="O974" t="s">
        <v>50</v>
      </c>
      <c r="P974">
        <v>4</v>
      </c>
      <c r="Q974" t="s">
        <v>41</v>
      </c>
      <c r="R974" s="3">
        <v>1611</v>
      </c>
      <c r="S974">
        <v>19305</v>
      </c>
      <c r="T974">
        <v>1</v>
      </c>
      <c r="U974" t="s">
        <v>43</v>
      </c>
      <c r="V974" s="2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tr">
        <f t="shared" si="60"/>
        <v>18-25</v>
      </c>
      <c r="AH974" t="str">
        <f t="shared" si="61"/>
        <v>Low</v>
      </c>
      <c r="AI974" s="1">
        <f>VLOOKUP(E974,Lookup_Tables!$A$3:$B$5,2,)</f>
        <v>6281.2528616024974</v>
      </c>
      <c r="AJ974" t="str">
        <f t="shared" si="62"/>
        <v>Below salary</v>
      </c>
      <c r="AK974" t="str">
        <f t="shared" si="63"/>
        <v>Low Risk</v>
      </c>
    </row>
    <row r="975" spans="1:37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1369</v>
      </c>
      <c r="J975">
        <v>4</v>
      </c>
      <c r="K975" t="s">
        <v>39</v>
      </c>
      <c r="L975">
        <v>60</v>
      </c>
      <c r="M975">
        <v>2</v>
      </c>
      <c r="N975">
        <v>2</v>
      </c>
      <c r="O975" t="s">
        <v>50</v>
      </c>
      <c r="P975">
        <v>4</v>
      </c>
      <c r="Q975" t="s">
        <v>48</v>
      </c>
      <c r="R975" s="3">
        <v>5363</v>
      </c>
      <c r="S975">
        <v>10846</v>
      </c>
      <c r="T975">
        <v>0</v>
      </c>
      <c r="U975" t="s">
        <v>43</v>
      </c>
      <c r="V975" s="2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tr">
        <f t="shared" si="60"/>
        <v>26-35</v>
      </c>
      <c r="AH975" t="str">
        <f t="shared" si="61"/>
        <v>Mid</v>
      </c>
      <c r="AI975" s="1">
        <f>VLOOKUP(E975,Lookup_Tables!$A$3:$B$5,2,)</f>
        <v>6281.2528616024974</v>
      </c>
      <c r="AJ975" t="str">
        <f t="shared" si="62"/>
        <v>Below salary</v>
      </c>
      <c r="AK975" t="str">
        <f t="shared" si="63"/>
        <v>Low Risk</v>
      </c>
    </row>
    <row r="976" spans="1:37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46</v>
      </c>
      <c r="L976">
        <v>43</v>
      </c>
      <c r="M976">
        <v>1</v>
      </c>
      <c r="N976">
        <v>2</v>
      </c>
      <c r="O976" t="s">
        <v>40</v>
      </c>
      <c r="P976">
        <v>4</v>
      </c>
      <c r="Q976" t="s">
        <v>41</v>
      </c>
      <c r="R976" s="3">
        <v>5071</v>
      </c>
      <c r="S976">
        <v>20392</v>
      </c>
      <c r="T976">
        <v>3</v>
      </c>
      <c r="U976" t="s">
        <v>43</v>
      </c>
      <c r="V976" s="2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tr">
        <f t="shared" si="60"/>
        <v>26-35</v>
      </c>
      <c r="AH976" t="str">
        <f t="shared" si="61"/>
        <v>Mid</v>
      </c>
      <c r="AI976" s="1">
        <f>VLOOKUP(E976,Lookup_Tables!$A$3:$B$5,2,)</f>
        <v>6959.17264573991</v>
      </c>
      <c r="AJ976" t="str">
        <f t="shared" si="62"/>
        <v>Below salary</v>
      </c>
      <c r="AK976" t="str">
        <f t="shared" si="63"/>
        <v>Low Risk</v>
      </c>
    </row>
    <row r="977" spans="1:37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1372</v>
      </c>
      <c r="J977">
        <v>1</v>
      </c>
      <c r="K977" t="s">
        <v>46</v>
      </c>
      <c r="L977">
        <v>85</v>
      </c>
      <c r="M977">
        <v>4</v>
      </c>
      <c r="N977">
        <v>4</v>
      </c>
      <c r="O977" t="s">
        <v>40</v>
      </c>
      <c r="P977">
        <v>3</v>
      </c>
      <c r="Q977" t="s">
        <v>41</v>
      </c>
      <c r="R977" s="3">
        <v>13695</v>
      </c>
      <c r="S977">
        <v>9277</v>
      </c>
      <c r="T977">
        <v>6</v>
      </c>
      <c r="U977" t="s">
        <v>35</v>
      </c>
      <c r="V977" s="2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tr">
        <f t="shared" si="60"/>
        <v>46+</v>
      </c>
      <c r="AH977" t="str">
        <f t="shared" si="61"/>
        <v>Very High</v>
      </c>
      <c r="AI977" s="1">
        <f>VLOOKUP(E977,Lookup_Tables!$A$3:$B$5,2,)</f>
        <v>6959.17264573991</v>
      </c>
      <c r="AJ977" t="str">
        <f t="shared" si="62"/>
        <v>Above salary</v>
      </c>
      <c r="AK977" t="str">
        <f t="shared" si="63"/>
        <v>Medium Risk</v>
      </c>
    </row>
    <row r="978" spans="1:37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46</v>
      </c>
      <c r="L978">
        <v>68</v>
      </c>
      <c r="M978">
        <v>3</v>
      </c>
      <c r="N978">
        <v>4</v>
      </c>
      <c r="O978" t="s">
        <v>53</v>
      </c>
      <c r="P978">
        <v>2</v>
      </c>
      <c r="Q978" t="s">
        <v>48</v>
      </c>
      <c r="R978" s="3">
        <v>13402</v>
      </c>
      <c r="S978">
        <v>18235</v>
      </c>
      <c r="T978">
        <v>4</v>
      </c>
      <c r="U978" t="s">
        <v>35</v>
      </c>
      <c r="V978" s="2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tr">
        <f t="shared" si="60"/>
        <v>46+</v>
      </c>
      <c r="AH978" t="str">
        <f t="shared" si="61"/>
        <v>Very High</v>
      </c>
      <c r="AI978" s="1">
        <f>VLOOKUP(E978,Lookup_Tables!$A$3:$B$5,2,)</f>
        <v>6281.2528616024974</v>
      </c>
      <c r="AJ978" t="str">
        <f t="shared" si="62"/>
        <v>Above salary</v>
      </c>
      <c r="AK978" t="str">
        <f t="shared" si="63"/>
        <v>High Risk</v>
      </c>
    </row>
    <row r="979" spans="1:37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1374</v>
      </c>
      <c r="J979">
        <v>1</v>
      </c>
      <c r="K979" t="s">
        <v>39</v>
      </c>
      <c r="L979">
        <v>92</v>
      </c>
      <c r="M979">
        <v>2</v>
      </c>
      <c r="N979">
        <v>1</v>
      </c>
      <c r="O979" t="s">
        <v>47</v>
      </c>
      <c r="P979">
        <v>3</v>
      </c>
      <c r="Q979" t="s">
        <v>52</v>
      </c>
      <c r="R979" s="3">
        <v>2029</v>
      </c>
      <c r="S979">
        <v>15891</v>
      </c>
      <c r="T979">
        <v>1</v>
      </c>
      <c r="U979" t="s">
        <v>43</v>
      </c>
      <c r="V979" s="2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tr">
        <f t="shared" si="60"/>
        <v>26-35</v>
      </c>
      <c r="AH979" t="str">
        <f t="shared" si="61"/>
        <v>Low</v>
      </c>
      <c r="AI979" s="1">
        <f>VLOOKUP(E979,Lookup_Tables!$A$3:$B$5,2,)</f>
        <v>6281.2528616024974</v>
      </c>
      <c r="AJ979" t="str">
        <f t="shared" si="62"/>
        <v>Below salary</v>
      </c>
      <c r="AK979" t="str">
        <f t="shared" si="63"/>
        <v>Low Risk</v>
      </c>
    </row>
    <row r="980" spans="1:37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1375</v>
      </c>
      <c r="J980">
        <v>2</v>
      </c>
      <c r="K980" t="s">
        <v>39</v>
      </c>
      <c r="L980">
        <v>89</v>
      </c>
      <c r="M980">
        <v>4</v>
      </c>
      <c r="N980">
        <v>2</v>
      </c>
      <c r="O980" t="s">
        <v>54</v>
      </c>
      <c r="P980">
        <v>3</v>
      </c>
      <c r="Q980" t="s">
        <v>52</v>
      </c>
      <c r="R980" s="3">
        <v>6377</v>
      </c>
      <c r="S980">
        <v>13888</v>
      </c>
      <c r="T980">
        <v>5</v>
      </c>
      <c r="U980" t="s">
        <v>43</v>
      </c>
      <c r="V980" s="2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tr">
        <f t="shared" si="60"/>
        <v>36-45</v>
      </c>
      <c r="AH980" t="str">
        <f t="shared" si="61"/>
        <v>Mid</v>
      </c>
      <c r="AI980" s="1">
        <f>VLOOKUP(E980,Lookup_Tables!$A$3:$B$5,2,)</f>
        <v>6281.2528616024974</v>
      </c>
      <c r="AJ980" t="str">
        <f t="shared" si="62"/>
        <v>Above salary</v>
      </c>
      <c r="AK980" t="str">
        <f t="shared" si="63"/>
        <v>Low Risk</v>
      </c>
    </row>
    <row r="981" spans="1:37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t="s">
        <v>46</v>
      </c>
      <c r="L981">
        <v>86</v>
      </c>
      <c r="M981">
        <v>3</v>
      </c>
      <c r="N981">
        <v>2</v>
      </c>
      <c r="O981" t="s">
        <v>50</v>
      </c>
      <c r="P981">
        <v>3</v>
      </c>
      <c r="Q981" t="s">
        <v>48</v>
      </c>
      <c r="R981" s="3">
        <v>5429</v>
      </c>
      <c r="S981">
        <v>17491</v>
      </c>
      <c r="T981">
        <v>4</v>
      </c>
      <c r="U981" t="s">
        <v>43</v>
      </c>
      <c r="V981" s="2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tr">
        <f t="shared" si="60"/>
        <v>26-35</v>
      </c>
      <c r="AH981" t="str">
        <f t="shared" si="61"/>
        <v>Mid</v>
      </c>
      <c r="AI981" s="1">
        <f>VLOOKUP(E981,Lookup_Tables!$A$3:$B$5,2,)</f>
        <v>6281.2528616024974</v>
      </c>
      <c r="AJ981" t="str">
        <f t="shared" si="62"/>
        <v>Below salary</v>
      </c>
      <c r="AK981" t="str">
        <f t="shared" si="63"/>
        <v>Low Risk</v>
      </c>
    </row>
    <row r="982" spans="1:37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90</v>
      </c>
      <c r="M982">
        <v>2</v>
      </c>
      <c r="N982">
        <v>1</v>
      </c>
      <c r="O982" t="s">
        <v>57</v>
      </c>
      <c r="P982">
        <v>4</v>
      </c>
      <c r="Q982" t="s">
        <v>41</v>
      </c>
      <c r="R982" s="3">
        <v>2785</v>
      </c>
      <c r="S982">
        <v>11882</v>
      </c>
      <c r="T982">
        <v>7</v>
      </c>
      <c r="U982" t="s">
        <v>43</v>
      </c>
      <c r="V982" s="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tr">
        <f t="shared" si="60"/>
        <v>26-35</v>
      </c>
      <c r="AH982" t="str">
        <f t="shared" si="61"/>
        <v>Low</v>
      </c>
      <c r="AI982" s="1">
        <f>VLOOKUP(E982,Lookup_Tables!$A$3:$B$5,2,)</f>
        <v>6959.17264573991</v>
      </c>
      <c r="AJ982" t="str">
        <f t="shared" si="62"/>
        <v>Below salary</v>
      </c>
      <c r="AK982" t="str">
        <f t="shared" si="63"/>
        <v>Low Risk</v>
      </c>
    </row>
    <row r="983" spans="1:37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1380</v>
      </c>
      <c r="J983">
        <v>4</v>
      </c>
      <c r="K983" t="s">
        <v>39</v>
      </c>
      <c r="L983">
        <v>67</v>
      </c>
      <c r="M983">
        <v>3</v>
      </c>
      <c r="N983">
        <v>2</v>
      </c>
      <c r="O983" t="s">
        <v>40</v>
      </c>
      <c r="P983">
        <v>3</v>
      </c>
      <c r="Q983" t="s">
        <v>48</v>
      </c>
      <c r="R983" s="3">
        <v>4614</v>
      </c>
      <c r="S983">
        <v>23288</v>
      </c>
      <c r="T983">
        <v>0</v>
      </c>
      <c r="U983" t="s">
        <v>35</v>
      </c>
      <c r="V983" s="2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tr">
        <f t="shared" si="60"/>
        <v>26-35</v>
      </c>
      <c r="AH983" t="str">
        <f t="shared" si="61"/>
        <v>Mid</v>
      </c>
      <c r="AI983" s="1">
        <f>VLOOKUP(E983,Lookup_Tables!$A$3:$B$5,2,)</f>
        <v>6959.17264573991</v>
      </c>
      <c r="AJ983" t="str">
        <f t="shared" si="62"/>
        <v>Below salary</v>
      </c>
      <c r="AK983" t="str">
        <f t="shared" si="63"/>
        <v>Medium Risk</v>
      </c>
    </row>
    <row r="984" spans="1:37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46</v>
      </c>
      <c r="L984">
        <v>57</v>
      </c>
      <c r="M984">
        <v>4</v>
      </c>
      <c r="N984">
        <v>1</v>
      </c>
      <c r="O984" t="s">
        <v>47</v>
      </c>
      <c r="P984">
        <v>3</v>
      </c>
      <c r="Q984" t="s">
        <v>52</v>
      </c>
      <c r="R984" s="3">
        <v>2610</v>
      </c>
      <c r="S984">
        <v>15748</v>
      </c>
      <c r="T984">
        <v>1</v>
      </c>
      <c r="U984" t="s">
        <v>43</v>
      </c>
      <c r="V984" s="2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tr">
        <f t="shared" si="60"/>
        <v>36-45</v>
      </c>
      <c r="AH984" t="str">
        <f t="shared" si="61"/>
        <v>Low</v>
      </c>
      <c r="AI984" s="1">
        <f>VLOOKUP(E984,Lookup_Tables!$A$3:$B$5,2,)</f>
        <v>6281.2528616024974</v>
      </c>
      <c r="AJ984" t="str">
        <f t="shared" si="62"/>
        <v>Below salary</v>
      </c>
      <c r="AK984" t="str">
        <f t="shared" si="63"/>
        <v>Low Risk</v>
      </c>
    </row>
    <row r="985" spans="1:37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1383</v>
      </c>
      <c r="J985">
        <v>3</v>
      </c>
      <c r="K985" t="s">
        <v>39</v>
      </c>
      <c r="L985">
        <v>98</v>
      </c>
      <c r="M985">
        <v>3</v>
      </c>
      <c r="N985">
        <v>2</v>
      </c>
      <c r="O985" t="s">
        <v>54</v>
      </c>
      <c r="P985">
        <v>4</v>
      </c>
      <c r="Q985" t="s">
        <v>41</v>
      </c>
      <c r="R985" s="3">
        <v>6687</v>
      </c>
      <c r="S985">
        <v>6163</v>
      </c>
      <c r="T985">
        <v>1</v>
      </c>
      <c r="U985" t="s">
        <v>43</v>
      </c>
      <c r="V985" s="2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tr">
        <f t="shared" si="60"/>
        <v>26-35</v>
      </c>
      <c r="AH985" t="str">
        <f t="shared" si="61"/>
        <v>Mid</v>
      </c>
      <c r="AI985" s="1">
        <f>VLOOKUP(E985,Lookup_Tables!$A$3:$B$5,2,)</f>
        <v>6281.2528616024974</v>
      </c>
      <c r="AJ985" t="str">
        <f t="shared" si="62"/>
        <v>Above salary</v>
      </c>
      <c r="AK985" t="str">
        <f t="shared" si="63"/>
        <v>Low Risk</v>
      </c>
    </row>
    <row r="986" spans="1:37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46</v>
      </c>
      <c r="L986">
        <v>48</v>
      </c>
      <c r="M986">
        <v>2</v>
      </c>
      <c r="N986">
        <v>2</v>
      </c>
      <c r="O986" t="s">
        <v>40</v>
      </c>
      <c r="P986">
        <v>1</v>
      </c>
      <c r="Q986" t="s">
        <v>48</v>
      </c>
      <c r="R986" s="3">
        <v>4724</v>
      </c>
      <c r="S986">
        <v>24232</v>
      </c>
      <c r="T986">
        <v>1</v>
      </c>
      <c r="U986" t="s">
        <v>43</v>
      </c>
      <c r="V986" s="2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tr">
        <f t="shared" si="60"/>
        <v>26-35</v>
      </c>
      <c r="AH986" t="str">
        <f t="shared" si="61"/>
        <v>Mid</v>
      </c>
      <c r="AI986" s="1">
        <f>VLOOKUP(E986,Lookup_Tables!$A$3:$B$5,2,)</f>
        <v>6959.17264573991</v>
      </c>
      <c r="AJ986" t="str">
        <f t="shared" si="62"/>
        <v>Below salary</v>
      </c>
      <c r="AK986" t="str">
        <f t="shared" si="63"/>
        <v>Medium Risk</v>
      </c>
    </row>
    <row r="987" spans="1:37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t="s">
        <v>46</v>
      </c>
      <c r="L987">
        <v>98</v>
      </c>
      <c r="M987">
        <v>3</v>
      </c>
      <c r="N987">
        <v>2</v>
      </c>
      <c r="O987" t="s">
        <v>53</v>
      </c>
      <c r="P987">
        <v>3</v>
      </c>
      <c r="Q987" t="s">
        <v>48</v>
      </c>
      <c r="R987" s="3">
        <v>6179</v>
      </c>
      <c r="S987">
        <v>21057</v>
      </c>
      <c r="T987">
        <v>1</v>
      </c>
      <c r="U987" t="s">
        <v>35</v>
      </c>
      <c r="V987" s="2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tr">
        <f t="shared" si="60"/>
        <v>26-35</v>
      </c>
      <c r="AH987" t="str">
        <f t="shared" si="61"/>
        <v>Mid</v>
      </c>
      <c r="AI987" s="1">
        <f>VLOOKUP(E987,Lookup_Tables!$A$3:$B$5,2,)</f>
        <v>6281.2528616024974</v>
      </c>
      <c r="AJ987" t="str">
        <f t="shared" si="62"/>
        <v>Below salary</v>
      </c>
      <c r="AK987" t="str">
        <f t="shared" si="63"/>
        <v>Medium Risk</v>
      </c>
    </row>
    <row r="988" spans="1:37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46</v>
      </c>
      <c r="L988">
        <v>44</v>
      </c>
      <c r="M988">
        <v>2</v>
      </c>
      <c r="N988">
        <v>2</v>
      </c>
      <c r="O988" t="s">
        <v>40</v>
      </c>
      <c r="P988">
        <v>4</v>
      </c>
      <c r="Q988" t="s">
        <v>48</v>
      </c>
      <c r="R988" s="3">
        <v>6120</v>
      </c>
      <c r="S988">
        <v>3567</v>
      </c>
      <c r="T988">
        <v>3</v>
      </c>
      <c r="U988" t="s">
        <v>35</v>
      </c>
      <c r="V988" s="2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tr">
        <f t="shared" si="60"/>
        <v>36-45</v>
      </c>
      <c r="AH988" t="str">
        <f t="shared" si="61"/>
        <v>Mid</v>
      </c>
      <c r="AI988" s="1">
        <f>VLOOKUP(E988,Lookup_Tables!$A$3:$B$5,2,)</f>
        <v>6959.17264573991</v>
      </c>
      <c r="AJ988" t="str">
        <f t="shared" si="62"/>
        <v>Below salary</v>
      </c>
      <c r="AK988" t="str">
        <f t="shared" si="63"/>
        <v>Medium Risk</v>
      </c>
    </row>
    <row r="989" spans="1:37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1391</v>
      </c>
      <c r="J989">
        <v>2</v>
      </c>
      <c r="K989" t="s">
        <v>46</v>
      </c>
      <c r="L989">
        <v>52</v>
      </c>
      <c r="M989">
        <v>3</v>
      </c>
      <c r="N989">
        <v>3</v>
      </c>
      <c r="O989" t="s">
        <v>40</v>
      </c>
      <c r="P989">
        <v>2</v>
      </c>
      <c r="Q989" t="s">
        <v>48</v>
      </c>
      <c r="R989" s="3">
        <v>10596</v>
      </c>
      <c r="S989">
        <v>15395</v>
      </c>
      <c r="T989">
        <v>2</v>
      </c>
      <c r="U989" t="s">
        <v>43</v>
      </c>
      <c r="V989" s="2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tr">
        <f t="shared" si="60"/>
        <v>46+</v>
      </c>
      <c r="AH989" t="str">
        <f t="shared" si="61"/>
        <v>High</v>
      </c>
      <c r="AI989" s="1">
        <f>VLOOKUP(E989,Lookup_Tables!$A$3:$B$5,2,)</f>
        <v>6959.17264573991</v>
      </c>
      <c r="AJ989" t="str">
        <f t="shared" si="62"/>
        <v>Above salary</v>
      </c>
      <c r="AK989" t="str">
        <f t="shared" si="63"/>
        <v>Medium Risk</v>
      </c>
    </row>
    <row r="990" spans="1:37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75</v>
      </c>
      <c r="M990">
        <v>3</v>
      </c>
      <c r="N990">
        <v>2</v>
      </c>
      <c r="O990" t="s">
        <v>47</v>
      </c>
      <c r="P990">
        <v>4</v>
      </c>
      <c r="Q990" t="s">
        <v>52</v>
      </c>
      <c r="R990" s="3">
        <v>5467</v>
      </c>
      <c r="S990">
        <v>13953</v>
      </c>
      <c r="T990">
        <v>3</v>
      </c>
      <c r="U990" t="s">
        <v>35</v>
      </c>
      <c r="V990" s="2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tr">
        <f t="shared" si="60"/>
        <v>36-45</v>
      </c>
      <c r="AH990" t="str">
        <f t="shared" si="61"/>
        <v>Mid</v>
      </c>
      <c r="AI990" s="1">
        <f>VLOOKUP(E990,Lookup_Tables!$A$3:$B$5,2,)</f>
        <v>6281.2528616024974</v>
      </c>
      <c r="AJ990" t="str">
        <f t="shared" si="62"/>
        <v>Below salary</v>
      </c>
      <c r="AK990" t="str">
        <f t="shared" si="63"/>
        <v>Medium Risk</v>
      </c>
    </row>
    <row r="991" spans="1:37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46</v>
      </c>
      <c r="L991">
        <v>54</v>
      </c>
      <c r="M991">
        <v>3</v>
      </c>
      <c r="N991">
        <v>1</v>
      </c>
      <c r="O991" t="s">
        <v>47</v>
      </c>
      <c r="P991">
        <v>3</v>
      </c>
      <c r="Q991" t="s">
        <v>48</v>
      </c>
      <c r="R991" s="3">
        <v>2996</v>
      </c>
      <c r="S991">
        <v>5182</v>
      </c>
      <c r="T991">
        <v>7</v>
      </c>
      <c r="U991" t="s">
        <v>35</v>
      </c>
      <c r="V991" s="2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tr">
        <f t="shared" si="60"/>
        <v>36-45</v>
      </c>
      <c r="AH991" t="str">
        <f t="shared" si="61"/>
        <v>Low</v>
      </c>
      <c r="AI991" s="1">
        <f>VLOOKUP(E991,Lookup_Tables!$A$3:$B$5,2,)</f>
        <v>6281.2528616024974</v>
      </c>
      <c r="AJ991" t="str">
        <f t="shared" si="62"/>
        <v>Below salary</v>
      </c>
      <c r="AK991" t="str">
        <f t="shared" si="63"/>
        <v>Medium Risk</v>
      </c>
    </row>
    <row r="992" spans="1:37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46</v>
      </c>
      <c r="L992">
        <v>61</v>
      </c>
      <c r="M992">
        <v>3</v>
      </c>
      <c r="N992">
        <v>2</v>
      </c>
      <c r="O992" t="s">
        <v>40</v>
      </c>
      <c r="P992">
        <v>4</v>
      </c>
      <c r="Q992" t="s">
        <v>48</v>
      </c>
      <c r="R992" s="3">
        <v>9998</v>
      </c>
      <c r="S992">
        <v>19293</v>
      </c>
      <c r="T992">
        <v>6</v>
      </c>
      <c r="U992" t="s">
        <v>43</v>
      </c>
      <c r="V992" s="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tr">
        <f t="shared" si="60"/>
        <v>26-35</v>
      </c>
      <c r="AH992" t="str">
        <f t="shared" si="61"/>
        <v>High</v>
      </c>
      <c r="AI992" s="1">
        <f>VLOOKUP(E992,Lookup_Tables!$A$3:$B$5,2,)</f>
        <v>6959.17264573991</v>
      </c>
      <c r="AJ992" t="str">
        <f t="shared" si="62"/>
        <v>Above salary</v>
      </c>
      <c r="AK992" t="str">
        <f t="shared" si="63"/>
        <v>Low Risk</v>
      </c>
    </row>
    <row r="993" spans="1:37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1396</v>
      </c>
      <c r="J993">
        <v>3</v>
      </c>
      <c r="K993" t="s">
        <v>46</v>
      </c>
      <c r="L993">
        <v>36</v>
      </c>
      <c r="M993">
        <v>3</v>
      </c>
      <c r="N993">
        <v>2</v>
      </c>
      <c r="O993" t="s">
        <v>40</v>
      </c>
      <c r="P993">
        <v>2</v>
      </c>
      <c r="Q993" t="s">
        <v>48</v>
      </c>
      <c r="R993" s="3">
        <v>4078</v>
      </c>
      <c r="S993">
        <v>20497</v>
      </c>
      <c r="T993">
        <v>0</v>
      </c>
      <c r="U993" t="s">
        <v>35</v>
      </c>
      <c r="V993" s="2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tr">
        <f t="shared" si="60"/>
        <v>26-35</v>
      </c>
      <c r="AH993" t="str">
        <f t="shared" si="61"/>
        <v>Mid</v>
      </c>
      <c r="AI993" s="1">
        <f>VLOOKUP(E993,Lookup_Tables!$A$3:$B$5,2,)</f>
        <v>6959.17264573991</v>
      </c>
      <c r="AJ993" t="str">
        <f t="shared" si="62"/>
        <v>Below salary</v>
      </c>
      <c r="AK993" t="str">
        <f t="shared" si="63"/>
        <v>High Risk</v>
      </c>
    </row>
    <row r="994" spans="1:37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46</v>
      </c>
      <c r="L994">
        <v>71</v>
      </c>
      <c r="M994">
        <v>3</v>
      </c>
      <c r="N994">
        <v>3</v>
      </c>
      <c r="O994" t="s">
        <v>54</v>
      </c>
      <c r="P994">
        <v>3</v>
      </c>
      <c r="Q994" t="s">
        <v>48</v>
      </c>
      <c r="R994" s="3">
        <v>10920</v>
      </c>
      <c r="S994">
        <v>3449</v>
      </c>
      <c r="T994">
        <v>3</v>
      </c>
      <c r="U994" t="s">
        <v>43</v>
      </c>
      <c r="V994" s="2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tr">
        <f t="shared" si="60"/>
        <v>36-45</v>
      </c>
      <c r="AH994" t="str">
        <f t="shared" si="61"/>
        <v>High</v>
      </c>
      <c r="AI994" s="1">
        <f>VLOOKUP(E994,Lookup_Tables!$A$3:$B$5,2,)</f>
        <v>6281.2528616024974</v>
      </c>
      <c r="AJ994" t="str">
        <f t="shared" si="62"/>
        <v>Above salary</v>
      </c>
      <c r="AK994" t="str">
        <f t="shared" si="63"/>
        <v>Low Risk</v>
      </c>
    </row>
    <row r="995" spans="1:37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46</v>
      </c>
      <c r="L995">
        <v>93</v>
      </c>
      <c r="M995">
        <v>4</v>
      </c>
      <c r="N995">
        <v>2</v>
      </c>
      <c r="O995" t="s">
        <v>40</v>
      </c>
      <c r="P995">
        <v>3</v>
      </c>
      <c r="Q995" t="s">
        <v>48</v>
      </c>
      <c r="R995" s="3">
        <v>6232</v>
      </c>
      <c r="S995">
        <v>12477</v>
      </c>
      <c r="T995">
        <v>2</v>
      </c>
      <c r="U995" t="s">
        <v>43</v>
      </c>
      <c r="V995" s="2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tr">
        <f t="shared" si="60"/>
        <v>18-25</v>
      </c>
      <c r="AH995" t="str">
        <f t="shared" si="61"/>
        <v>Mid</v>
      </c>
      <c r="AI995" s="1">
        <f>VLOOKUP(E995,Lookup_Tables!$A$3:$B$5,2,)</f>
        <v>6959.17264573991</v>
      </c>
      <c r="AJ995" t="str">
        <f t="shared" si="62"/>
        <v>Below salary</v>
      </c>
      <c r="AK995" t="str">
        <f t="shared" si="63"/>
        <v>Low Risk</v>
      </c>
    </row>
    <row r="996" spans="1:37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t="s">
        <v>39</v>
      </c>
      <c r="L996">
        <v>59</v>
      </c>
      <c r="M996">
        <v>4</v>
      </c>
      <c r="N996">
        <v>4</v>
      </c>
      <c r="O996" t="s">
        <v>53</v>
      </c>
      <c r="P996">
        <v>3</v>
      </c>
      <c r="Q996" t="s">
        <v>48</v>
      </c>
      <c r="R996" s="3">
        <v>13247</v>
      </c>
      <c r="S996">
        <v>9731</v>
      </c>
      <c r="T996">
        <v>2</v>
      </c>
      <c r="U996" t="s">
        <v>35</v>
      </c>
      <c r="V996" s="2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tr">
        <f t="shared" si="60"/>
        <v>46+</v>
      </c>
      <c r="AH996" t="str">
        <f t="shared" si="61"/>
        <v>Very High</v>
      </c>
      <c r="AI996" s="1">
        <f>VLOOKUP(E996,Lookup_Tables!$A$3:$B$5,2,)</f>
        <v>6281.2528616024974</v>
      </c>
      <c r="AJ996" t="str">
        <f t="shared" si="62"/>
        <v>Above salary</v>
      </c>
      <c r="AK996" t="str">
        <f t="shared" si="63"/>
        <v>Medium Risk</v>
      </c>
    </row>
    <row r="997" spans="1:37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1402</v>
      </c>
      <c r="J997">
        <v>1</v>
      </c>
      <c r="K997" t="s">
        <v>39</v>
      </c>
      <c r="L997">
        <v>73</v>
      </c>
      <c r="M997">
        <v>2</v>
      </c>
      <c r="N997">
        <v>2</v>
      </c>
      <c r="O997" t="s">
        <v>47</v>
      </c>
      <c r="P997">
        <v>3</v>
      </c>
      <c r="Q997" t="s">
        <v>41</v>
      </c>
      <c r="R997" s="3">
        <v>4081</v>
      </c>
      <c r="S997">
        <v>20003</v>
      </c>
      <c r="T997">
        <v>1</v>
      </c>
      <c r="U997" t="s">
        <v>35</v>
      </c>
      <c r="V997" s="2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tr">
        <f t="shared" si="60"/>
        <v>36-45</v>
      </c>
      <c r="AH997" t="str">
        <f t="shared" si="61"/>
        <v>Mid</v>
      </c>
      <c r="AI997" s="1">
        <f>VLOOKUP(E997,Lookup_Tables!$A$3:$B$5,2,)</f>
        <v>6281.2528616024974</v>
      </c>
      <c r="AJ997" t="str">
        <f t="shared" si="62"/>
        <v>Below salary</v>
      </c>
      <c r="AK997" t="str">
        <f t="shared" si="63"/>
        <v>Medium Risk</v>
      </c>
    </row>
    <row r="998" spans="1:37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1403</v>
      </c>
      <c r="J998">
        <v>4</v>
      </c>
      <c r="K998" t="s">
        <v>39</v>
      </c>
      <c r="L998">
        <v>98</v>
      </c>
      <c r="M998">
        <v>2</v>
      </c>
      <c r="N998">
        <v>2</v>
      </c>
      <c r="O998" t="s">
        <v>40</v>
      </c>
      <c r="P998">
        <v>4</v>
      </c>
      <c r="Q998" t="s">
        <v>48</v>
      </c>
      <c r="R998" s="3">
        <v>5769</v>
      </c>
      <c r="S998">
        <v>7100</v>
      </c>
      <c r="T998">
        <v>1</v>
      </c>
      <c r="U998" t="s">
        <v>35</v>
      </c>
      <c r="V998" s="2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tr">
        <f t="shared" si="60"/>
        <v>26-35</v>
      </c>
      <c r="AH998" t="str">
        <f t="shared" si="61"/>
        <v>Mid</v>
      </c>
      <c r="AI998" s="1">
        <f>VLOOKUP(E998,Lookup_Tables!$A$3:$B$5,2,)</f>
        <v>6959.17264573991</v>
      </c>
      <c r="AJ998" t="str">
        <f t="shared" si="62"/>
        <v>Below salary</v>
      </c>
      <c r="AK998" t="str">
        <f t="shared" si="63"/>
        <v>Medium Risk</v>
      </c>
    </row>
    <row r="999" spans="1:37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51</v>
      </c>
      <c r="M999">
        <v>3</v>
      </c>
      <c r="N999">
        <v>1</v>
      </c>
      <c r="O999" t="s">
        <v>47</v>
      </c>
      <c r="P999">
        <v>3</v>
      </c>
      <c r="Q999" t="s">
        <v>41</v>
      </c>
      <c r="R999" s="3">
        <v>2394</v>
      </c>
      <c r="S999">
        <v>25681</v>
      </c>
      <c r="T999">
        <v>1</v>
      </c>
      <c r="U999" t="s">
        <v>35</v>
      </c>
      <c r="V999" s="2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tr">
        <f t="shared" si="60"/>
        <v>26-35</v>
      </c>
      <c r="AH999" t="str">
        <f t="shared" si="61"/>
        <v>Low</v>
      </c>
      <c r="AI999" s="1">
        <f>VLOOKUP(E999,Lookup_Tables!$A$3:$B$5,2,)</f>
        <v>6281.2528616024974</v>
      </c>
      <c r="AJ999" t="str">
        <f t="shared" si="62"/>
        <v>Below salary</v>
      </c>
      <c r="AK999" t="str">
        <f t="shared" si="63"/>
        <v>Medium Risk</v>
      </c>
    </row>
    <row r="1000" spans="1:37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t="s">
        <v>46</v>
      </c>
      <c r="L1000">
        <v>36</v>
      </c>
      <c r="M1000">
        <v>2</v>
      </c>
      <c r="N1000">
        <v>1</v>
      </c>
      <c r="O1000" t="s">
        <v>47</v>
      </c>
      <c r="P1000">
        <v>4</v>
      </c>
      <c r="Q1000" t="s">
        <v>41</v>
      </c>
      <c r="R1000" s="3">
        <v>3904</v>
      </c>
      <c r="S1000">
        <v>4050</v>
      </c>
      <c r="T1000">
        <v>0</v>
      </c>
      <c r="U1000" t="s">
        <v>43</v>
      </c>
      <c r="V1000" s="2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tr">
        <f t="shared" si="60"/>
        <v>26-35</v>
      </c>
      <c r="AH1000" t="str">
        <f t="shared" si="61"/>
        <v>Mid</v>
      </c>
      <c r="AI1000" s="1">
        <f>VLOOKUP(E1000,Lookup_Tables!$A$3:$B$5,2,)</f>
        <v>6281.2528616024974</v>
      </c>
      <c r="AJ1000" t="str">
        <f t="shared" si="62"/>
        <v>Below salary</v>
      </c>
      <c r="AK1000" t="str">
        <f t="shared" si="63"/>
        <v>Low Risk</v>
      </c>
    </row>
    <row r="1001" spans="1:37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1408</v>
      </c>
      <c r="J1001">
        <v>3</v>
      </c>
      <c r="K1001" t="s">
        <v>39</v>
      </c>
      <c r="L1001">
        <v>31</v>
      </c>
      <c r="M1001">
        <v>3</v>
      </c>
      <c r="N1001">
        <v>4</v>
      </c>
      <c r="O1001" t="s">
        <v>56</v>
      </c>
      <c r="P1001">
        <v>1</v>
      </c>
      <c r="Q1001" t="s">
        <v>48</v>
      </c>
      <c r="R1001" s="3">
        <v>16799</v>
      </c>
      <c r="S1001">
        <v>16616</v>
      </c>
      <c r="T1001">
        <v>0</v>
      </c>
      <c r="U1001" t="s">
        <v>43</v>
      </c>
      <c r="V1001" s="2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tr">
        <f t="shared" si="60"/>
        <v>36-45</v>
      </c>
      <c r="AH1001" t="str">
        <f t="shared" si="61"/>
        <v>Very High</v>
      </c>
      <c r="AI1001" s="1">
        <f>VLOOKUP(E1001,Lookup_Tables!$A$3:$B$5,2,)</f>
        <v>6654.5079365079364</v>
      </c>
      <c r="AJ1001" t="str">
        <f t="shared" si="62"/>
        <v>Above salary</v>
      </c>
      <c r="AK1001" t="str">
        <f t="shared" si="63"/>
        <v>Medium Risk</v>
      </c>
    </row>
    <row r="1002" spans="1:37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t="s">
        <v>39</v>
      </c>
      <c r="L1002">
        <v>54</v>
      </c>
      <c r="M1002">
        <v>3</v>
      </c>
      <c r="N1002">
        <v>1</v>
      </c>
      <c r="O1002" t="s">
        <v>50</v>
      </c>
      <c r="P1002">
        <v>1</v>
      </c>
      <c r="Q1002" t="s">
        <v>48</v>
      </c>
      <c r="R1002" s="3">
        <v>2950</v>
      </c>
      <c r="S1002">
        <v>17363</v>
      </c>
      <c r="T1002">
        <v>9</v>
      </c>
      <c r="U1002" t="s">
        <v>43</v>
      </c>
      <c r="V1002" s="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tr">
        <f t="shared" si="60"/>
        <v>46+</v>
      </c>
      <c r="AH1002" t="str">
        <f t="shared" si="61"/>
        <v>Low</v>
      </c>
      <c r="AI1002" s="1">
        <f>VLOOKUP(E1002,Lookup_Tables!$A$3:$B$5,2,)</f>
        <v>6281.2528616024974</v>
      </c>
      <c r="AJ1002" t="str">
        <f t="shared" si="62"/>
        <v>Below salary</v>
      </c>
      <c r="AK1002" t="str">
        <f t="shared" si="63"/>
        <v>Medium Risk</v>
      </c>
    </row>
    <row r="1003" spans="1:37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t="s">
        <v>39</v>
      </c>
      <c r="L1003">
        <v>94</v>
      </c>
      <c r="M1003">
        <v>3</v>
      </c>
      <c r="N1003">
        <v>1</v>
      </c>
      <c r="O1003" t="s">
        <v>50</v>
      </c>
      <c r="P1003">
        <v>3</v>
      </c>
      <c r="Q1003" t="s">
        <v>41</v>
      </c>
      <c r="R1003" s="3">
        <v>3629</v>
      </c>
      <c r="S1003">
        <v>19106</v>
      </c>
      <c r="T1003">
        <v>4</v>
      </c>
      <c r="U1003" t="s">
        <v>43</v>
      </c>
      <c r="V1003" s="2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tr">
        <f t="shared" si="60"/>
        <v>36-45</v>
      </c>
      <c r="AH1003" t="str">
        <f t="shared" si="61"/>
        <v>Mid</v>
      </c>
      <c r="AI1003" s="1">
        <f>VLOOKUP(E1003,Lookup_Tables!$A$3:$B$5,2,)</f>
        <v>6281.2528616024974</v>
      </c>
      <c r="AJ1003" t="str">
        <f t="shared" si="62"/>
        <v>Below salary</v>
      </c>
      <c r="AK1003" t="str">
        <f t="shared" si="63"/>
        <v>Low Risk</v>
      </c>
    </row>
    <row r="1004" spans="1:37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46</v>
      </c>
      <c r="L1004">
        <v>60</v>
      </c>
      <c r="M1004">
        <v>3</v>
      </c>
      <c r="N1004">
        <v>3</v>
      </c>
      <c r="O1004" t="s">
        <v>53</v>
      </c>
      <c r="P1004">
        <v>4</v>
      </c>
      <c r="Q1004" t="s">
        <v>41</v>
      </c>
      <c r="R1004" s="3">
        <v>9362</v>
      </c>
      <c r="S1004">
        <v>19944</v>
      </c>
      <c r="T1004">
        <v>2</v>
      </c>
      <c r="U1004" t="s">
        <v>43</v>
      </c>
      <c r="V1004" s="2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tr">
        <f t="shared" si="60"/>
        <v>26-35</v>
      </c>
      <c r="AH1004" t="str">
        <f t="shared" si="61"/>
        <v>High</v>
      </c>
      <c r="AI1004" s="1">
        <f>VLOOKUP(E1004,Lookup_Tables!$A$3:$B$5,2,)</f>
        <v>6281.2528616024974</v>
      </c>
      <c r="AJ1004" t="str">
        <f t="shared" si="62"/>
        <v>Above salary</v>
      </c>
      <c r="AK1004" t="str">
        <f t="shared" si="63"/>
        <v>Low Risk</v>
      </c>
    </row>
    <row r="1005" spans="1:37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1415</v>
      </c>
      <c r="J1005">
        <v>1</v>
      </c>
      <c r="K1005" t="s">
        <v>46</v>
      </c>
      <c r="L1005">
        <v>81</v>
      </c>
      <c r="M1005">
        <v>3</v>
      </c>
      <c r="N1005">
        <v>1</v>
      </c>
      <c r="O1005" t="s">
        <v>50</v>
      </c>
      <c r="P1005">
        <v>4</v>
      </c>
      <c r="Q1005" t="s">
        <v>48</v>
      </c>
      <c r="R1005" s="3">
        <v>3229</v>
      </c>
      <c r="S1005">
        <v>4910</v>
      </c>
      <c r="T1005">
        <v>4</v>
      </c>
      <c r="U1005" t="s">
        <v>43</v>
      </c>
      <c r="V1005" s="2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tr">
        <f t="shared" si="60"/>
        <v>18-25</v>
      </c>
      <c r="AH1005" t="str">
        <f t="shared" si="61"/>
        <v>Mid</v>
      </c>
      <c r="AI1005" s="1">
        <f>VLOOKUP(E1005,Lookup_Tables!$A$3:$B$5,2,)</f>
        <v>6281.2528616024974</v>
      </c>
      <c r="AJ1005" t="str">
        <f t="shared" si="62"/>
        <v>Below salary</v>
      </c>
      <c r="AK1005" t="str">
        <f t="shared" si="63"/>
        <v>Low Risk</v>
      </c>
    </row>
    <row r="1006" spans="1:37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t="s">
        <v>46</v>
      </c>
      <c r="L1006">
        <v>100</v>
      </c>
      <c r="M1006">
        <v>4</v>
      </c>
      <c r="N1006">
        <v>1</v>
      </c>
      <c r="O1006" t="s">
        <v>50</v>
      </c>
      <c r="P1006">
        <v>1</v>
      </c>
      <c r="Q1006" t="s">
        <v>41</v>
      </c>
      <c r="R1006" s="3">
        <v>3578</v>
      </c>
      <c r="S1006">
        <v>23577</v>
      </c>
      <c r="T1006">
        <v>0</v>
      </c>
      <c r="U1006" t="s">
        <v>43</v>
      </c>
      <c r="V1006" s="2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tr">
        <f t="shared" si="60"/>
        <v>26-35</v>
      </c>
      <c r="AH1006" t="str">
        <f t="shared" si="61"/>
        <v>Mid</v>
      </c>
      <c r="AI1006" s="1">
        <f>VLOOKUP(E1006,Lookup_Tables!$A$3:$B$5,2,)</f>
        <v>6281.2528616024974</v>
      </c>
      <c r="AJ1006" t="str">
        <f t="shared" si="62"/>
        <v>Below salary</v>
      </c>
      <c r="AK1006" t="str">
        <f t="shared" si="63"/>
        <v>Medium Risk</v>
      </c>
    </row>
    <row r="1007" spans="1:37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t="s">
        <v>46</v>
      </c>
      <c r="L1007">
        <v>51</v>
      </c>
      <c r="M1007">
        <v>2</v>
      </c>
      <c r="N1007">
        <v>3</v>
      </c>
      <c r="O1007" t="s">
        <v>61</v>
      </c>
      <c r="P1007">
        <v>1</v>
      </c>
      <c r="Q1007" t="s">
        <v>41</v>
      </c>
      <c r="R1007" s="3">
        <v>7988</v>
      </c>
      <c r="S1007">
        <v>9769</v>
      </c>
      <c r="T1007">
        <v>1</v>
      </c>
      <c r="U1007" t="s">
        <v>43</v>
      </c>
      <c r="V1007" s="2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tr">
        <f t="shared" si="60"/>
        <v>26-35</v>
      </c>
      <c r="AH1007" t="str">
        <f t="shared" si="61"/>
        <v>High</v>
      </c>
      <c r="AI1007" s="1">
        <f>VLOOKUP(E1007,Lookup_Tables!$A$3:$B$5,2,)</f>
        <v>6654.5079365079364</v>
      </c>
      <c r="AJ1007" t="str">
        <f t="shared" si="62"/>
        <v>Above salary</v>
      </c>
      <c r="AK1007" t="str">
        <f t="shared" si="63"/>
        <v>Medium Risk</v>
      </c>
    </row>
    <row r="1008" spans="1:37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46</v>
      </c>
      <c r="L1008">
        <v>97</v>
      </c>
      <c r="M1008">
        <v>2</v>
      </c>
      <c r="N1008">
        <v>2</v>
      </c>
      <c r="O1008" t="s">
        <v>50</v>
      </c>
      <c r="P1008">
        <v>1</v>
      </c>
      <c r="Q1008" t="s">
        <v>41</v>
      </c>
      <c r="R1008" s="3">
        <v>4284</v>
      </c>
      <c r="S1008">
        <v>22710</v>
      </c>
      <c r="T1008">
        <v>3</v>
      </c>
      <c r="U1008" t="s">
        <v>43</v>
      </c>
      <c r="V1008" s="2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tr">
        <f t="shared" si="60"/>
        <v>46+</v>
      </c>
      <c r="AH1008" t="str">
        <f t="shared" si="61"/>
        <v>Mid</v>
      </c>
      <c r="AI1008" s="1">
        <f>VLOOKUP(E1008,Lookup_Tables!$A$3:$B$5,2,)</f>
        <v>6281.2528616024974</v>
      </c>
      <c r="AJ1008" t="str">
        <f t="shared" si="62"/>
        <v>Below salary</v>
      </c>
      <c r="AK1008" t="str">
        <f t="shared" si="63"/>
        <v>Medium Risk</v>
      </c>
    </row>
    <row r="1009" spans="1:37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t="s">
        <v>39</v>
      </c>
      <c r="L1009">
        <v>84</v>
      </c>
      <c r="M1009">
        <v>3</v>
      </c>
      <c r="N1009">
        <v>3</v>
      </c>
      <c r="O1009" t="s">
        <v>54</v>
      </c>
      <c r="P1009">
        <v>4</v>
      </c>
      <c r="Q1009" t="s">
        <v>41</v>
      </c>
      <c r="R1009" s="3">
        <v>7553</v>
      </c>
      <c r="S1009">
        <v>22930</v>
      </c>
      <c r="T1009">
        <v>0</v>
      </c>
      <c r="U1009" t="s">
        <v>35</v>
      </c>
      <c r="V1009" s="2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tr">
        <f t="shared" si="60"/>
        <v>26-35</v>
      </c>
      <c r="AH1009" t="str">
        <f t="shared" si="61"/>
        <v>High</v>
      </c>
      <c r="AI1009" s="1">
        <f>VLOOKUP(E1009,Lookup_Tables!$A$3:$B$5,2,)</f>
        <v>6281.2528616024974</v>
      </c>
      <c r="AJ1009" t="str">
        <f t="shared" si="62"/>
        <v>Above salary</v>
      </c>
      <c r="AK1009" t="str">
        <f t="shared" si="63"/>
        <v>Medium Risk</v>
      </c>
    </row>
    <row r="1010" spans="1:37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t="s">
        <v>39</v>
      </c>
      <c r="L1010">
        <v>54</v>
      </c>
      <c r="M1010">
        <v>3</v>
      </c>
      <c r="N1010">
        <v>4</v>
      </c>
      <c r="O1010" t="s">
        <v>58</v>
      </c>
      <c r="P1010">
        <v>4</v>
      </c>
      <c r="Q1010" t="s">
        <v>41</v>
      </c>
      <c r="R1010" s="3">
        <v>17328</v>
      </c>
      <c r="S1010">
        <v>5652</v>
      </c>
      <c r="T1010">
        <v>6</v>
      </c>
      <c r="U1010" t="s">
        <v>43</v>
      </c>
      <c r="V1010" s="2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tr">
        <f t="shared" si="60"/>
        <v>46+</v>
      </c>
      <c r="AH1010" t="str">
        <f t="shared" si="61"/>
        <v>Very High</v>
      </c>
      <c r="AI1010" s="1">
        <f>VLOOKUP(E1010,Lookup_Tables!$A$3:$B$5,2,)</f>
        <v>6281.2528616024974</v>
      </c>
      <c r="AJ1010" t="str">
        <f t="shared" si="62"/>
        <v>Above salary</v>
      </c>
      <c r="AK1010" t="str">
        <f t="shared" si="63"/>
        <v>Low Risk</v>
      </c>
    </row>
    <row r="1011" spans="1:37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t="s">
        <v>39</v>
      </c>
      <c r="L1011">
        <v>76</v>
      </c>
      <c r="M1011">
        <v>3</v>
      </c>
      <c r="N1011">
        <v>5</v>
      </c>
      <c r="O1011" t="s">
        <v>58</v>
      </c>
      <c r="P1011">
        <v>1</v>
      </c>
      <c r="Q1011" t="s">
        <v>48</v>
      </c>
      <c r="R1011" s="3">
        <v>19701</v>
      </c>
      <c r="S1011">
        <v>22456</v>
      </c>
      <c r="T1011">
        <v>3</v>
      </c>
      <c r="U1011" t="s">
        <v>35</v>
      </c>
      <c r="V1011" s="2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tr">
        <f t="shared" si="60"/>
        <v>46+</v>
      </c>
      <c r="AH1011" t="str">
        <f t="shared" si="61"/>
        <v>Very High</v>
      </c>
      <c r="AI1011" s="1">
        <f>VLOOKUP(E1011,Lookup_Tables!$A$3:$B$5,2,)</f>
        <v>6281.2528616024974</v>
      </c>
      <c r="AJ1011" t="str">
        <f t="shared" si="62"/>
        <v>Above salary</v>
      </c>
      <c r="AK1011" t="str">
        <f t="shared" si="63"/>
        <v>High Risk</v>
      </c>
    </row>
    <row r="1012" spans="1:37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t="s">
        <v>46</v>
      </c>
      <c r="L1012">
        <v>81</v>
      </c>
      <c r="M1012">
        <v>4</v>
      </c>
      <c r="N1012">
        <v>4</v>
      </c>
      <c r="O1012" t="s">
        <v>58</v>
      </c>
      <c r="P1012">
        <v>4</v>
      </c>
      <c r="Q1012" t="s">
        <v>52</v>
      </c>
      <c r="R1012" s="3">
        <v>14732</v>
      </c>
      <c r="S1012">
        <v>12414</v>
      </c>
      <c r="T1012">
        <v>2</v>
      </c>
      <c r="U1012" t="s">
        <v>43</v>
      </c>
      <c r="V1012" s="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tr">
        <f t="shared" si="60"/>
        <v>46+</v>
      </c>
      <c r="AH1012" t="str">
        <f t="shared" si="61"/>
        <v>Very High</v>
      </c>
      <c r="AI1012" s="1">
        <f>VLOOKUP(E1012,Lookup_Tables!$A$3:$B$5,2,)</f>
        <v>6281.2528616024974</v>
      </c>
      <c r="AJ1012" t="str">
        <f t="shared" si="62"/>
        <v>Above salary</v>
      </c>
      <c r="AK1012" t="str">
        <f t="shared" si="63"/>
        <v>Low Risk</v>
      </c>
    </row>
    <row r="1013" spans="1:37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1425</v>
      </c>
      <c r="J1013">
        <v>1</v>
      </c>
      <c r="K1013" t="s">
        <v>39</v>
      </c>
      <c r="L1013">
        <v>99</v>
      </c>
      <c r="M1013">
        <v>3</v>
      </c>
      <c r="N1013">
        <v>2</v>
      </c>
      <c r="O1013" t="s">
        <v>40</v>
      </c>
      <c r="P1013">
        <v>2</v>
      </c>
      <c r="Q1013" t="s">
        <v>41</v>
      </c>
      <c r="R1013" s="3">
        <v>9278</v>
      </c>
      <c r="S1013">
        <v>20763</v>
      </c>
      <c r="T1013">
        <v>3</v>
      </c>
      <c r="U1013" t="s">
        <v>35</v>
      </c>
      <c r="V1013" s="2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tr">
        <f t="shared" si="60"/>
        <v>36-45</v>
      </c>
      <c r="AH1013" t="str">
        <f t="shared" si="61"/>
        <v>High</v>
      </c>
      <c r="AI1013" s="1">
        <f>VLOOKUP(E1013,Lookup_Tables!$A$3:$B$5,2,)</f>
        <v>6959.17264573991</v>
      </c>
      <c r="AJ1013" t="str">
        <f t="shared" si="62"/>
        <v>Above salary</v>
      </c>
      <c r="AK1013" t="str">
        <f t="shared" si="63"/>
        <v>High Risk</v>
      </c>
    </row>
    <row r="1014" spans="1:37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50</v>
      </c>
      <c r="M1014">
        <v>1</v>
      </c>
      <c r="N1014">
        <v>1</v>
      </c>
      <c r="O1014" t="s">
        <v>57</v>
      </c>
      <c r="P1014">
        <v>3</v>
      </c>
      <c r="Q1014" t="s">
        <v>41</v>
      </c>
      <c r="R1014" s="3">
        <v>1359</v>
      </c>
      <c r="S1014">
        <v>16154</v>
      </c>
      <c r="T1014">
        <v>1</v>
      </c>
      <c r="U1014" t="s">
        <v>43</v>
      </c>
      <c r="V1014" s="2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tr">
        <f t="shared" si="60"/>
        <v>26-35</v>
      </c>
      <c r="AH1014" t="str">
        <f t="shared" si="61"/>
        <v>Low</v>
      </c>
      <c r="AI1014" s="1">
        <f>VLOOKUP(E1014,Lookup_Tables!$A$3:$B$5,2,)</f>
        <v>6959.17264573991</v>
      </c>
      <c r="AJ1014" t="str">
        <f t="shared" si="62"/>
        <v>Below salary</v>
      </c>
      <c r="AK1014" t="str">
        <f t="shared" si="63"/>
        <v>Low Risk</v>
      </c>
    </row>
    <row r="1015" spans="1:37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1428</v>
      </c>
      <c r="J1015">
        <v>4</v>
      </c>
      <c r="K1015" t="s">
        <v>39</v>
      </c>
      <c r="L1015">
        <v>73</v>
      </c>
      <c r="M1015">
        <v>3</v>
      </c>
      <c r="N1015">
        <v>2</v>
      </c>
      <c r="O1015" t="s">
        <v>40</v>
      </c>
      <c r="P1015">
        <v>1</v>
      </c>
      <c r="Q1015" t="s">
        <v>52</v>
      </c>
      <c r="R1015" s="3">
        <v>4779</v>
      </c>
      <c r="S1015">
        <v>12761</v>
      </c>
      <c r="T1015">
        <v>7</v>
      </c>
      <c r="U1015" t="s">
        <v>43</v>
      </c>
      <c r="V1015" s="2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tr">
        <f t="shared" si="60"/>
        <v>26-35</v>
      </c>
      <c r="AH1015" t="str">
        <f t="shared" si="61"/>
        <v>Mid</v>
      </c>
      <c r="AI1015" s="1">
        <f>VLOOKUP(E1015,Lookup_Tables!$A$3:$B$5,2,)</f>
        <v>6959.17264573991</v>
      </c>
      <c r="AJ1015" t="str">
        <f t="shared" si="62"/>
        <v>Below salary</v>
      </c>
      <c r="AK1015" t="str">
        <f t="shared" si="63"/>
        <v>Medium Risk</v>
      </c>
    </row>
    <row r="1016" spans="1:37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93</v>
      </c>
      <c r="M1016">
        <v>3</v>
      </c>
      <c r="N1016">
        <v>4</v>
      </c>
      <c r="O1016" t="s">
        <v>58</v>
      </c>
      <c r="P1016">
        <v>2</v>
      </c>
      <c r="Q1016" t="s">
        <v>41</v>
      </c>
      <c r="R1016" s="3">
        <v>16422</v>
      </c>
      <c r="S1016">
        <v>8847</v>
      </c>
      <c r="T1016">
        <v>3</v>
      </c>
      <c r="U1016" t="s">
        <v>43</v>
      </c>
      <c r="V1016" s="2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tr">
        <f t="shared" si="60"/>
        <v>26-35</v>
      </c>
      <c r="AH1016" t="str">
        <f t="shared" si="61"/>
        <v>Very High</v>
      </c>
      <c r="AI1016" s="1">
        <f>VLOOKUP(E1016,Lookup_Tables!$A$3:$B$5,2,)</f>
        <v>6281.2528616024974</v>
      </c>
      <c r="AJ1016" t="str">
        <f t="shared" si="62"/>
        <v>Above salary</v>
      </c>
      <c r="AK1016" t="str">
        <f t="shared" si="63"/>
        <v>Medium Risk</v>
      </c>
    </row>
    <row r="1017" spans="1:37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t="s">
        <v>46</v>
      </c>
      <c r="L1017">
        <v>91</v>
      </c>
      <c r="M1017">
        <v>3</v>
      </c>
      <c r="N1017">
        <v>1</v>
      </c>
      <c r="O1017" t="s">
        <v>47</v>
      </c>
      <c r="P1017">
        <v>1</v>
      </c>
      <c r="Q1017" t="s">
        <v>52</v>
      </c>
      <c r="R1017" s="3">
        <v>2996</v>
      </c>
      <c r="S1017">
        <v>20284</v>
      </c>
      <c r="T1017">
        <v>5</v>
      </c>
      <c r="U1017" t="s">
        <v>43</v>
      </c>
      <c r="V1017" s="2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tr">
        <f t="shared" si="60"/>
        <v>26-35</v>
      </c>
      <c r="AH1017" t="str">
        <f t="shared" si="61"/>
        <v>Low</v>
      </c>
      <c r="AI1017" s="1">
        <f>VLOOKUP(E1017,Lookup_Tables!$A$3:$B$5,2,)</f>
        <v>6281.2528616024974</v>
      </c>
      <c r="AJ1017" t="str">
        <f t="shared" si="62"/>
        <v>Below salary</v>
      </c>
      <c r="AK1017" t="str">
        <f t="shared" si="63"/>
        <v>Medium Risk</v>
      </c>
    </row>
    <row r="1018" spans="1:37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34</v>
      </c>
      <c r="M1018">
        <v>2</v>
      </c>
      <c r="N1018">
        <v>1</v>
      </c>
      <c r="O1018" t="s">
        <v>47</v>
      </c>
      <c r="P1018">
        <v>2</v>
      </c>
      <c r="Q1018" t="s">
        <v>41</v>
      </c>
      <c r="R1018" s="3">
        <v>1261</v>
      </c>
      <c r="S1018">
        <v>22262</v>
      </c>
      <c r="T1018">
        <v>1</v>
      </c>
      <c r="U1018" t="s">
        <v>43</v>
      </c>
      <c r="V1018" s="2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tr">
        <f t="shared" si="60"/>
        <v>26-35</v>
      </c>
      <c r="AH1018" t="str">
        <f t="shared" si="61"/>
        <v>Low</v>
      </c>
      <c r="AI1018" s="1">
        <f>VLOOKUP(E1018,Lookup_Tables!$A$3:$B$5,2,)</f>
        <v>6281.2528616024974</v>
      </c>
      <c r="AJ1018" t="str">
        <f t="shared" si="62"/>
        <v>Below salary</v>
      </c>
      <c r="AK1018" t="str">
        <f t="shared" si="63"/>
        <v>Medium Risk</v>
      </c>
    </row>
    <row r="1019" spans="1:37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46</v>
      </c>
      <c r="L1019">
        <v>91</v>
      </c>
      <c r="M1019">
        <v>3</v>
      </c>
      <c r="N1019">
        <v>1</v>
      </c>
      <c r="O1019" t="s">
        <v>50</v>
      </c>
      <c r="P1019">
        <v>1</v>
      </c>
      <c r="Q1019" t="s">
        <v>48</v>
      </c>
      <c r="R1019" s="3">
        <v>2099</v>
      </c>
      <c r="S1019">
        <v>7679</v>
      </c>
      <c r="T1019">
        <v>0</v>
      </c>
      <c r="U1019" t="s">
        <v>43</v>
      </c>
      <c r="V1019" s="2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tr">
        <f t="shared" si="60"/>
        <v>26-35</v>
      </c>
      <c r="AH1019" t="str">
        <f t="shared" si="61"/>
        <v>Low</v>
      </c>
      <c r="AI1019" s="1">
        <f>VLOOKUP(E1019,Lookup_Tables!$A$3:$B$5,2,)</f>
        <v>6281.2528616024974</v>
      </c>
      <c r="AJ1019" t="str">
        <f t="shared" si="62"/>
        <v>Below salary</v>
      </c>
      <c r="AK1019" t="str">
        <f t="shared" si="63"/>
        <v>Medium Risk</v>
      </c>
    </row>
    <row r="1020" spans="1:37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46</v>
      </c>
      <c r="L1020">
        <v>37</v>
      </c>
      <c r="M1020">
        <v>2</v>
      </c>
      <c r="N1020">
        <v>2</v>
      </c>
      <c r="O1020" t="s">
        <v>50</v>
      </c>
      <c r="P1020">
        <v>4</v>
      </c>
      <c r="Q1020" t="s">
        <v>41</v>
      </c>
      <c r="R1020" s="3">
        <v>5810</v>
      </c>
      <c r="S1020">
        <v>22604</v>
      </c>
      <c r="T1020">
        <v>1</v>
      </c>
      <c r="U1020" t="s">
        <v>43</v>
      </c>
      <c r="V1020" s="2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tr">
        <f t="shared" si="60"/>
        <v>36-45</v>
      </c>
      <c r="AH1020" t="str">
        <f t="shared" si="61"/>
        <v>Mid</v>
      </c>
      <c r="AI1020" s="1">
        <f>VLOOKUP(E1020,Lookup_Tables!$A$3:$B$5,2,)</f>
        <v>6281.2528616024974</v>
      </c>
      <c r="AJ1020" t="str">
        <f t="shared" si="62"/>
        <v>Below salary</v>
      </c>
      <c r="AK1020" t="str">
        <f t="shared" si="63"/>
        <v>Low Risk</v>
      </c>
    </row>
    <row r="1021" spans="1:37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1436</v>
      </c>
      <c r="J1021">
        <v>3</v>
      </c>
      <c r="K1021" t="s">
        <v>39</v>
      </c>
      <c r="L1021">
        <v>98</v>
      </c>
      <c r="M1021">
        <v>2</v>
      </c>
      <c r="N1021">
        <v>2</v>
      </c>
      <c r="O1021" t="s">
        <v>40</v>
      </c>
      <c r="P1021">
        <v>1</v>
      </c>
      <c r="Q1021" t="s">
        <v>48</v>
      </c>
      <c r="R1021" s="3">
        <v>5647</v>
      </c>
      <c r="S1021">
        <v>13494</v>
      </c>
      <c r="T1021">
        <v>4</v>
      </c>
      <c r="U1021" t="s">
        <v>43</v>
      </c>
      <c r="V1021" s="2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tr">
        <f t="shared" si="60"/>
        <v>36-45</v>
      </c>
      <c r="AH1021" t="str">
        <f t="shared" si="61"/>
        <v>Mid</v>
      </c>
      <c r="AI1021" s="1">
        <f>VLOOKUP(E1021,Lookup_Tables!$A$3:$B$5,2,)</f>
        <v>6959.17264573991</v>
      </c>
      <c r="AJ1021" t="str">
        <f t="shared" si="62"/>
        <v>Below salary</v>
      </c>
      <c r="AK1021" t="str">
        <f t="shared" si="63"/>
        <v>Medium Risk</v>
      </c>
    </row>
    <row r="1022" spans="1:37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1438</v>
      </c>
      <c r="J1022">
        <v>1</v>
      </c>
      <c r="K1022" t="s">
        <v>46</v>
      </c>
      <c r="L1022">
        <v>74</v>
      </c>
      <c r="M1022">
        <v>3</v>
      </c>
      <c r="N1022">
        <v>1</v>
      </c>
      <c r="O1022" t="s">
        <v>47</v>
      </c>
      <c r="P1022">
        <v>4</v>
      </c>
      <c r="Q1022" t="s">
        <v>48</v>
      </c>
      <c r="R1022" s="3">
        <v>3420</v>
      </c>
      <c r="S1022">
        <v>10205</v>
      </c>
      <c r="T1022">
        <v>7</v>
      </c>
      <c r="U1022" t="s">
        <v>43</v>
      </c>
      <c r="V1022" s="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tr">
        <f t="shared" si="60"/>
        <v>46+</v>
      </c>
      <c r="AH1022" t="str">
        <f t="shared" si="61"/>
        <v>Mid</v>
      </c>
      <c r="AI1022" s="1">
        <f>VLOOKUP(E1022,Lookup_Tables!$A$3:$B$5,2,)</f>
        <v>6281.2528616024974</v>
      </c>
      <c r="AJ1022" t="str">
        <f t="shared" si="62"/>
        <v>Below salary</v>
      </c>
      <c r="AK1022" t="str">
        <f t="shared" si="63"/>
        <v>Low Risk</v>
      </c>
    </row>
    <row r="1023" spans="1:37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46</v>
      </c>
      <c r="L1023">
        <v>68</v>
      </c>
      <c r="M1023">
        <v>2</v>
      </c>
      <c r="N1023">
        <v>1</v>
      </c>
      <c r="O1023" t="s">
        <v>57</v>
      </c>
      <c r="P1023">
        <v>1</v>
      </c>
      <c r="Q1023" t="s">
        <v>48</v>
      </c>
      <c r="R1023" s="3">
        <v>4400</v>
      </c>
      <c r="S1023">
        <v>15182</v>
      </c>
      <c r="T1023">
        <v>3</v>
      </c>
      <c r="U1023" t="s">
        <v>43</v>
      </c>
      <c r="V1023" s="2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tr">
        <f t="shared" si="60"/>
        <v>18-25</v>
      </c>
      <c r="AH1023" t="str">
        <f t="shared" si="61"/>
        <v>Mid</v>
      </c>
      <c r="AI1023" s="1">
        <f>VLOOKUP(E1023,Lookup_Tables!$A$3:$B$5,2,)</f>
        <v>6959.17264573991</v>
      </c>
      <c r="AJ1023" t="str">
        <f t="shared" si="62"/>
        <v>Below salary</v>
      </c>
      <c r="AK1023" t="str">
        <f t="shared" si="63"/>
        <v>Medium Risk</v>
      </c>
    </row>
    <row r="1024" spans="1:37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1440</v>
      </c>
      <c r="J1024">
        <v>3</v>
      </c>
      <c r="K1024" t="s">
        <v>46</v>
      </c>
      <c r="L1024">
        <v>84</v>
      </c>
      <c r="M1024">
        <v>4</v>
      </c>
      <c r="N1024">
        <v>1</v>
      </c>
      <c r="O1024" t="s">
        <v>50</v>
      </c>
      <c r="P1024">
        <v>3</v>
      </c>
      <c r="Q1024" t="s">
        <v>41</v>
      </c>
      <c r="R1024" s="3">
        <v>3500</v>
      </c>
      <c r="S1024">
        <v>25470</v>
      </c>
      <c r="T1024">
        <v>0</v>
      </c>
      <c r="U1024" t="s">
        <v>43</v>
      </c>
      <c r="V1024" s="2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tr">
        <f t="shared" si="60"/>
        <v>36-45</v>
      </c>
      <c r="AH1024" t="str">
        <f t="shared" si="61"/>
        <v>Mid</v>
      </c>
      <c r="AI1024" s="1">
        <f>VLOOKUP(E1024,Lookup_Tables!$A$3:$B$5,2,)</f>
        <v>6281.2528616024974</v>
      </c>
      <c r="AJ1024" t="str">
        <f t="shared" si="62"/>
        <v>Below salary</v>
      </c>
      <c r="AK1024" t="str">
        <f t="shared" si="63"/>
        <v>Low Risk</v>
      </c>
    </row>
    <row r="1025" spans="1:37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90</v>
      </c>
      <c r="M1025">
        <v>3</v>
      </c>
      <c r="N1025">
        <v>1</v>
      </c>
      <c r="O1025" t="s">
        <v>47</v>
      </c>
      <c r="P1025">
        <v>1</v>
      </c>
      <c r="Q1025" t="s">
        <v>48</v>
      </c>
      <c r="R1025" s="3">
        <v>2066</v>
      </c>
      <c r="S1025">
        <v>10494</v>
      </c>
      <c r="T1025">
        <v>2</v>
      </c>
      <c r="U1025" t="s">
        <v>43</v>
      </c>
      <c r="V1025" s="2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tr">
        <f t="shared" si="60"/>
        <v>46+</v>
      </c>
      <c r="AH1025" t="str">
        <f t="shared" si="61"/>
        <v>Low</v>
      </c>
      <c r="AI1025" s="1">
        <f>VLOOKUP(E1025,Lookup_Tables!$A$3:$B$5,2,)</f>
        <v>6281.2528616024974</v>
      </c>
      <c r="AJ1025" t="str">
        <f t="shared" si="62"/>
        <v>Below salary</v>
      </c>
      <c r="AK1025" t="str">
        <f t="shared" si="63"/>
        <v>Medium Risk</v>
      </c>
    </row>
    <row r="1026" spans="1:37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t="s">
        <v>39</v>
      </c>
      <c r="L1026">
        <v>82</v>
      </c>
      <c r="M1026">
        <v>3</v>
      </c>
      <c r="N1026">
        <v>4</v>
      </c>
      <c r="O1026" t="s">
        <v>58</v>
      </c>
      <c r="P1026">
        <v>3</v>
      </c>
      <c r="Q1026" t="s">
        <v>48</v>
      </c>
      <c r="R1026" s="3">
        <v>17169</v>
      </c>
      <c r="S1026">
        <v>26703</v>
      </c>
      <c r="T1026">
        <v>3</v>
      </c>
      <c r="U1026" t="s">
        <v>43</v>
      </c>
      <c r="V1026" s="2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tr">
        <f t="shared" ref="AG1026:AG1089" si="64">IF(A1026&lt;=25,"18-25",IF(A1026&lt;= 35, "26-35",IF(A1026&lt;=45, "36-45","46+")))</f>
        <v>46+</v>
      </c>
      <c r="AH1026" t="str">
        <f t="shared" ref="AH1026:AH1089" si="65">IF(R1026&lt;3000,"Low",IF(R1026&lt;7000,"Mid", IF(R1026&lt;12000, "High", "Very High")))</f>
        <v>Very High</v>
      </c>
      <c r="AI1026" s="1">
        <f>VLOOKUP(E1026,Lookup_Tables!$A$3:$B$5,2,)</f>
        <v>6281.2528616024974</v>
      </c>
      <c r="AJ1026" t="str">
        <f t="shared" ref="AJ1026:AJ1089" si="66">IF(R1026&gt;AI1026, "Above salary","Below salary")</f>
        <v>Above salary</v>
      </c>
      <c r="AK1026" t="str">
        <f t="shared" si="63"/>
        <v>Low Risk</v>
      </c>
    </row>
    <row r="1027" spans="1:37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t="s">
        <v>39</v>
      </c>
      <c r="L1027">
        <v>42</v>
      </c>
      <c r="M1027">
        <v>3</v>
      </c>
      <c r="N1027">
        <v>2</v>
      </c>
      <c r="O1027" t="s">
        <v>40</v>
      </c>
      <c r="P1027">
        <v>3</v>
      </c>
      <c r="Q1027" t="s">
        <v>48</v>
      </c>
      <c r="R1027" s="3">
        <v>4162</v>
      </c>
      <c r="S1027">
        <v>15211</v>
      </c>
      <c r="T1027">
        <v>1</v>
      </c>
      <c r="U1027" t="s">
        <v>35</v>
      </c>
      <c r="V1027" s="2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tr">
        <f t="shared" si="64"/>
        <v>18-25</v>
      </c>
      <c r="AH1027" t="str">
        <f t="shared" si="65"/>
        <v>Mid</v>
      </c>
      <c r="AI1027" s="1">
        <f>VLOOKUP(E1027,Lookup_Tables!$A$3:$B$5,2,)</f>
        <v>6959.17264573991</v>
      </c>
      <c r="AJ1027" t="str">
        <f t="shared" si="66"/>
        <v>Below salary</v>
      </c>
      <c r="AK1027" t="str">
        <f t="shared" ref="AK1027:AK1090" si="67">IF(AND(P1027&lt;=2,U1027="Yes"),"High Risk",IF(OR(P1027&lt;=2,U1027="Yes"),"Medium Risk","Low Risk"))</f>
        <v>Medium Risk</v>
      </c>
    </row>
    <row r="1028" spans="1:37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1446</v>
      </c>
      <c r="J1028">
        <v>4</v>
      </c>
      <c r="K1028" t="s">
        <v>46</v>
      </c>
      <c r="L1028">
        <v>97</v>
      </c>
      <c r="M1028">
        <v>3</v>
      </c>
      <c r="N1028">
        <v>2</v>
      </c>
      <c r="O1028" t="s">
        <v>40</v>
      </c>
      <c r="P1028">
        <v>4</v>
      </c>
      <c r="Q1028" t="s">
        <v>48</v>
      </c>
      <c r="R1028" s="3">
        <v>9204</v>
      </c>
      <c r="S1028">
        <v>23343</v>
      </c>
      <c r="T1028">
        <v>4</v>
      </c>
      <c r="U1028" t="s">
        <v>43</v>
      </c>
      <c r="V1028" s="2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tr">
        <f t="shared" si="64"/>
        <v>26-35</v>
      </c>
      <c r="AH1028" t="str">
        <f t="shared" si="65"/>
        <v>High</v>
      </c>
      <c r="AI1028" s="1">
        <f>VLOOKUP(E1028,Lookup_Tables!$A$3:$B$5,2,)</f>
        <v>6959.17264573991</v>
      </c>
      <c r="AJ1028" t="str">
        <f t="shared" si="66"/>
        <v>Above salary</v>
      </c>
      <c r="AK1028" t="str">
        <f t="shared" si="67"/>
        <v>Low Risk</v>
      </c>
    </row>
    <row r="1029" spans="1:37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86</v>
      </c>
      <c r="M1029">
        <v>2</v>
      </c>
      <c r="N1029">
        <v>1</v>
      </c>
      <c r="O1029" t="s">
        <v>50</v>
      </c>
      <c r="P1029">
        <v>2</v>
      </c>
      <c r="Q1029" t="s">
        <v>48</v>
      </c>
      <c r="R1029" s="3">
        <v>3294</v>
      </c>
      <c r="S1029">
        <v>3708</v>
      </c>
      <c r="T1029">
        <v>5</v>
      </c>
      <c r="U1029" t="s">
        <v>43</v>
      </c>
      <c r="V1029" s="2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tr">
        <f t="shared" si="64"/>
        <v>26-35</v>
      </c>
      <c r="AH1029" t="str">
        <f t="shared" si="65"/>
        <v>Mid</v>
      </c>
      <c r="AI1029" s="1">
        <f>VLOOKUP(E1029,Lookup_Tables!$A$3:$B$5,2,)</f>
        <v>6281.2528616024974</v>
      </c>
      <c r="AJ1029" t="str">
        <f t="shared" si="66"/>
        <v>Below salary</v>
      </c>
      <c r="AK1029" t="str">
        <f t="shared" si="67"/>
        <v>Medium Risk</v>
      </c>
    </row>
    <row r="1030" spans="1:37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t="s">
        <v>46</v>
      </c>
      <c r="L1030">
        <v>90</v>
      </c>
      <c r="M1030">
        <v>4</v>
      </c>
      <c r="N1030">
        <v>1</v>
      </c>
      <c r="O1030" t="s">
        <v>47</v>
      </c>
      <c r="P1030">
        <v>3</v>
      </c>
      <c r="Q1030" t="s">
        <v>48</v>
      </c>
      <c r="R1030" s="3">
        <v>2127</v>
      </c>
      <c r="S1030">
        <v>5561</v>
      </c>
      <c r="T1030">
        <v>2</v>
      </c>
      <c r="U1030" t="s">
        <v>35</v>
      </c>
      <c r="V1030" s="2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tr">
        <f t="shared" si="64"/>
        <v>36-45</v>
      </c>
      <c r="AH1030" t="str">
        <f t="shared" si="65"/>
        <v>Low</v>
      </c>
      <c r="AI1030" s="1">
        <f>VLOOKUP(E1030,Lookup_Tables!$A$3:$B$5,2,)</f>
        <v>6281.2528616024974</v>
      </c>
      <c r="AJ1030" t="str">
        <f t="shared" si="66"/>
        <v>Below salary</v>
      </c>
      <c r="AK1030" t="str">
        <f t="shared" si="67"/>
        <v>Medium Risk</v>
      </c>
    </row>
    <row r="1031" spans="1:37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t="s">
        <v>46</v>
      </c>
      <c r="L1031">
        <v>81</v>
      </c>
      <c r="M1031">
        <v>3</v>
      </c>
      <c r="N1031">
        <v>2</v>
      </c>
      <c r="O1031" t="s">
        <v>50</v>
      </c>
      <c r="P1031">
        <v>3</v>
      </c>
      <c r="Q1031" t="s">
        <v>52</v>
      </c>
      <c r="R1031" s="3">
        <v>3975</v>
      </c>
      <c r="S1031">
        <v>23099</v>
      </c>
      <c r="T1031">
        <v>3</v>
      </c>
      <c r="U1031" t="s">
        <v>43</v>
      </c>
      <c r="V1031" s="2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tr">
        <f t="shared" si="64"/>
        <v>36-45</v>
      </c>
      <c r="AH1031" t="str">
        <f t="shared" si="65"/>
        <v>Mid</v>
      </c>
      <c r="AI1031" s="1">
        <f>VLOOKUP(E1031,Lookup_Tables!$A$3:$B$5,2,)</f>
        <v>6281.2528616024974</v>
      </c>
      <c r="AJ1031" t="str">
        <f t="shared" si="66"/>
        <v>Below salary</v>
      </c>
      <c r="AK1031" t="str">
        <f t="shared" si="67"/>
        <v>Low Risk</v>
      </c>
    </row>
    <row r="1032" spans="1:37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46</v>
      </c>
      <c r="L1032">
        <v>31</v>
      </c>
      <c r="M1032">
        <v>3</v>
      </c>
      <c r="N1032">
        <v>3</v>
      </c>
      <c r="O1032" t="s">
        <v>40</v>
      </c>
      <c r="P1032">
        <v>4</v>
      </c>
      <c r="Q1032" t="s">
        <v>52</v>
      </c>
      <c r="R1032" s="3">
        <v>10793</v>
      </c>
      <c r="S1032">
        <v>8386</v>
      </c>
      <c r="T1032">
        <v>1</v>
      </c>
      <c r="U1032" t="s">
        <v>43</v>
      </c>
      <c r="V1032" s="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tr">
        <f t="shared" si="64"/>
        <v>26-35</v>
      </c>
      <c r="AH1032" t="str">
        <f t="shared" si="65"/>
        <v>High</v>
      </c>
      <c r="AI1032" s="1">
        <f>VLOOKUP(E1032,Lookup_Tables!$A$3:$B$5,2,)</f>
        <v>6959.17264573991</v>
      </c>
      <c r="AJ1032" t="str">
        <f t="shared" si="66"/>
        <v>Above salary</v>
      </c>
      <c r="AK1032" t="str">
        <f t="shared" si="67"/>
        <v>Low Risk</v>
      </c>
    </row>
    <row r="1033" spans="1:37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1457</v>
      </c>
      <c r="J1033">
        <v>1</v>
      </c>
      <c r="K1033" t="s">
        <v>46</v>
      </c>
      <c r="L1033">
        <v>52</v>
      </c>
      <c r="M1033">
        <v>3</v>
      </c>
      <c r="N1033">
        <v>3</v>
      </c>
      <c r="O1033" t="s">
        <v>40</v>
      </c>
      <c r="P1033">
        <v>4</v>
      </c>
      <c r="Q1033" t="s">
        <v>52</v>
      </c>
      <c r="R1033" s="3">
        <v>10096</v>
      </c>
      <c r="S1033">
        <v>15986</v>
      </c>
      <c r="T1033">
        <v>4</v>
      </c>
      <c r="U1033" t="s">
        <v>43</v>
      </c>
      <c r="V1033" s="2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tr">
        <f t="shared" si="64"/>
        <v>46+</v>
      </c>
      <c r="AH1033" t="str">
        <f t="shared" si="65"/>
        <v>High</v>
      </c>
      <c r="AI1033" s="1">
        <f>VLOOKUP(E1033,Lookup_Tables!$A$3:$B$5,2,)</f>
        <v>6959.17264573991</v>
      </c>
      <c r="AJ1033" t="str">
        <f t="shared" si="66"/>
        <v>Above salary</v>
      </c>
      <c r="AK1033" t="str">
        <f t="shared" si="67"/>
        <v>Low Risk</v>
      </c>
    </row>
    <row r="1034" spans="1:37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54</v>
      </c>
      <c r="M1034">
        <v>2</v>
      </c>
      <c r="N1034">
        <v>1</v>
      </c>
      <c r="O1034" t="s">
        <v>50</v>
      </c>
      <c r="P1034">
        <v>1</v>
      </c>
      <c r="Q1034" t="s">
        <v>41</v>
      </c>
      <c r="R1034" s="3">
        <v>3646</v>
      </c>
      <c r="S1034">
        <v>17181</v>
      </c>
      <c r="T1034">
        <v>2</v>
      </c>
      <c r="U1034" t="s">
        <v>35</v>
      </c>
      <c r="V1034" s="2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tr">
        <f t="shared" si="64"/>
        <v>36-45</v>
      </c>
      <c r="AH1034" t="str">
        <f t="shared" si="65"/>
        <v>Mid</v>
      </c>
      <c r="AI1034" s="1">
        <f>VLOOKUP(E1034,Lookup_Tables!$A$3:$B$5,2,)</f>
        <v>6281.2528616024974</v>
      </c>
      <c r="AJ1034" t="str">
        <f t="shared" si="66"/>
        <v>Below salary</v>
      </c>
      <c r="AK1034" t="str">
        <f t="shared" si="67"/>
        <v>High Risk</v>
      </c>
    </row>
    <row r="1035" spans="1:37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100</v>
      </c>
      <c r="M1035">
        <v>4</v>
      </c>
      <c r="N1035">
        <v>3</v>
      </c>
      <c r="O1035" t="s">
        <v>53</v>
      </c>
      <c r="P1035">
        <v>2</v>
      </c>
      <c r="Q1035" t="s">
        <v>41</v>
      </c>
      <c r="R1035" s="3">
        <v>7446</v>
      </c>
      <c r="S1035">
        <v>8931</v>
      </c>
      <c r="T1035">
        <v>1</v>
      </c>
      <c r="U1035" t="s">
        <v>43</v>
      </c>
      <c r="V1035" s="2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tr">
        <f t="shared" si="64"/>
        <v>26-35</v>
      </c>
      <c r="AH1035" t="str">
        <f t="shared" si="65"/>
        <v>High</v>
      </c>
      <c r="AI1035" s="1">
        <f>VLOOKUP(E1035,Lookup_Tables!$A$3:$B$5,2,)</f>
        <v>6281.2528616024974</v>
      </c>
      <c r="AJ1035" t="str">
        <f t="shared" si="66"/>
        <v>Above salary</v>
      </c>
      <c r="AK1035" t="str">
        <f t="shared" si="67"/>
        <v>Medium Risk</v>
      </c>
    </row>
    <row r="1036" spans="1:37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t="s">
        <v>46</v>
      </c>
      <c r="L1036">
        <v>95</v>
      </c>
      <c r="M1036">
        <v>1</v>
      </c>
      <c r="N1036">
        <v>3</v>
      </c>
      <c r="O1036" t="s">
        <v>54</v>
      </c>
      <c r="P1036">
        <v>1</v>
      </c>
      <c r="Q1036" t="s">
        <v>52</v>
      </c>
      <c r="R1036" s="3">
        <v>10851</v>
      </c>
      <c r="S1036">
        <v>19863</v>
      </c>
      <c r="T1036">
        <v>2</v>
      </c>
      <c r="U1036" t="s">
        <v>35</v>
      </c>
      <c r="V1036" s="2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tr">
        <f t="shared" si="64"/>
        <v>36-45</v>
      </c>
      <c r="AH1036" t="str">
        <f t="shared" si="65"/>
        <v>High</v>
      </c>
      <c r="AI1036" s="1">
        <f>VLOOKUP(E1036,Lookup_Tables!$A$3:$B$5,2,)</f>
        <v>6281.2528616024974</v>
      </c>
      <c r="AJ1036" t="str">
        <f t="shared" si="66"/>
        <v>Above salary</v>
      </c>
      <c r="AK1036" t="str">
        <f t="shared" si="67"/>
        <v>High Risk</v>
      </c>
    </row>
    <row r="1037" spans="1:37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t="s">
        <v>39</v>
      </c>
      <c r="L1037">
        <v>96</v>
      </c>
      <c r="M1037">
        <v>4</v>
      </c>
      <c r="N1037">
        <v>1</v>
      </c>
      <c r="O1037" t="s">
        <v>61</v>
      </c>
      <c r="P1037">
        <v>2</v>
      </c>
      <c r="Q1037" t="s">
        <v>41</v>
      </c>
      <c r="R1037" s="3">
        <v>2109</v>
      </c>
      <c r="S1037">
        <v>24609</v>
      </c>
      <c r="T1037">
        <v>9</v>
      </c>
      <c r="U1037" t="s">
        <v>43</v>
      </c>
      <c r="V1037" s="2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tr">
        <f t="shared" si="64"/>
        <v>26-35</v>
      </c>
      <c r="AH1037" t="str">
        <f t="shared" si="65"/>
        <v>Low</v>
      </c>
      <c r="AI1037" s="1">
        <f>VLOOKUP(E1037,Lookup_Tables!$A$3:$B$5,2,)</f>
        <v>6654.5079365079364</v>
      </c>
      <c r="AJ1037" t="str">
        <f t="shared" si="66"/>
        <v>Below salary</v>
      </c>
      <c r="AK1037" t="str">
        <f t="shared" si="67"/>
        <v>Medium Risk</v>
      </c>
    </row>
    <row r="1038" spans="1:37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46</v>
      </c>
      <c r="L1038">
        <v>94</v>
      </c>
      <c r="M1038">
        <v>3</v>
      </c>
      <c r="N1038">
        <v>1</v>
      </c>
      <c r="O1038" t="s">
        <v>50</v>
      </c>
      <c r="P1038">
        <v>4</v>
      </c>
      <c r="Q1038" t="s">
        <v>48</v>
      </c>
      <c r="R1038" s="3">
        <v>3722</v>
      </c>
      <c r="S1038">
        <v>21081</v>
      </c>
      <c r="T1038">
        <v>6</v>
      </c>
      <c r="U1038" t="s">
        <v>35</v>
      </c>
      <c r="V1038" s="2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tr">
        <f t="shared" si="64"/>
        <v>26-35</v>
      </c>
      <c r="AH1038" t="str">
        <f t="shared" si="65"/>
        <v>Mid</v>
      </c>
      <c r="AI1038" s="1">
        <f>VLOOKUP(E1038,Lookup_Tables!$A$3:$B$5,2,)</f>
        <v>6281.2528616024974</v>
      </c>
      <c r="AJ1038" t="str">
        <f t="shared" si="66"/>
        <v>Below salary</v>
      </c>
      <c r="AK1038" t="str">
        <f t="shared" si="67"/>
        <v>Medium Risk</v>
      </c>
    </row>
    <row r="1039" spans="1:37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1465</v>
      </c>
      <c r="J1039">
        <v>2</v>
      </c>
      <c r="K1039" t="s">
        <v>46</v>
      </c>
      <c r="L1039">
        <v>55</v>
      </c>
      <c r="M1039">
        <v>3</v>
      </c>
      <c r="N1039">
        <v>3</v>
      </c>
      <c r="O1039" t="s">
        <v>53</v>
      </c>
      <c r="P1039">
        <v>4</v>
      </c>
      <c r="Q1039" t="s">
        <v>48</v>
      </c>
      <c r="R1039" s="3">
        <v>9380</v>
      </c>
      <c r="S1039">
        <v>14720</v>
      </c>
      <c r="T1039">
        <v>4</v>
      </c>
      <c r="U1039" t="s">
        <v>35</v>
      </c>
      <c r="V1039" s="2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tr">
        <f t="shared" si="64"/>
        <v>36-45</v>
      </c>
      <c r="AH1039" t="str">
        <f t="shared" si="65"/>
        <v>High</v>
      </c>
      <c r="AI1039" s="1">
        <f>VLOOKUP(E1039,Lookup_Tables!$A$3:$B$5,2,)</f>
        <v>6281.2528616024974</v>
      </c>
      <c r="AJ1039" t="str">
        <f t="shared" si="66"/>
        <v>Above salary</v>
      </c>
      <c r="AK1039" t="str">
        <f t="shared" si="67"/>
        <v>Medium Risk</v>
      </c>
    </row>
    <row r="1040" spans="1:37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1466</v>
      </c>
      <c r="J1040">
        <v>3</v>
      </c>
      <c r="K1040" t="s">
        <v>46</v>
      </c>
      <c r="L1040">
        <v>96</v>
      </c>
      <c r="M1040">
        <v>3</v>
      </c>
      <c r="N1040">
        <v>2</v>
      </c>
      <c r="O1040" t="s">
        <v>40</v>
      </c>
      <c r="P1040">
        <v>1</v>
      </c>
      <c r="Q1040" t="s">
        <v>52</v>
      </c>
      <c r="R1040" s="3">
        <v>5486</v>
      </c>
      <c r="S1040">
        <v>24795</v>
      </c>
      <c r="T1040">
        <v>4</v>
      </c>
      <c r="U1040" t="s">
        <v>43</v>
      </c>
      <c r="V1040" s="2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tr">
        <f t="shared" si="64"/>
        <v>46+</v>
      </c>
      <c r="AH1040" t="str">
        <f t="shared" si="65"/>
        <v>Mid</v>
      </c>
      <c r="AI1040" s="1">
        <f>VLOOKUP(E1040,Lookup_Tables!$A$3:$B$5,2,)</f>
        <v>6959.17264573991</v>
      </c>
      <c r="AJ1040" t="str">
        <f t="shared" si="66"/>
        <v>Below salary</v>
      </c>
      <c r="AK1040" t="str">
        <f t="shared" si="67"/>
        <v>Medium Risk</v>
      </c>
    </row>
    <row r="1041" spans="1:37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1467</v>
      </c>
      <c r="J1041">
        <v>1</v>
      </c>
      <c r="K1041" t="s">
        <v>39</v>
      </c>
      <c r="L1041">
        <v>52</v>
      </c>
      <c r="M1041">
        <v>3</v>
      </c>
      <c r="N1041">
        <v>1</v>
      </c>
      <c r="O1041" t="s">
        <v>61</v>
      </c>
      <c r="P1041">
        <v>3</v>
      </c>
      <c r="Q1041" t="s">
        <v>48</v>
      </c>
      <c r="R1041" s="3">
        <v>2742</v>
      </c>
      <c r="S1041">
        <v>3072</v>
      </c>
      <c r="T1041">
        <v>1</v>
      </c>
      <c r="U1041" t="s">
        <v>43</v>
      </c>
      <c r="V1041" s="2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tr">
        <f t="shared" si="64"/>
        <v>26-35</v>
      </c>
      <c r="AH1041" t="str">
        <f t="shared" si="65"/>
        <v>Low</v>
      </c>
      <c r="AI1041" s="1">
        <f>VLOOKUP(E1041,Lookup_Tables!$A$3:$B$5,2,)</f>
        <v>6654.5079365079364</v>
      </c>
      <c r="AJ1041" t="str">
        <f t="shared" si="66"/>
        <v>Below salary</v>
      </c>
      <c r="AK1041" t="str">
        <f t="shared" si="67"/>
        <v>Low Risk</v>
      </c>
    </row>
    <row r="1042" spans="1:37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t="s">
        <v>46</v>
      </c>
      <c r="L1042">
        <v>55</v>
      </c>
      <c r="M1042">
        <v>2</v>
      </c>
      <c r="N1042">
        <v>3</v>
      </c>
      <c r="O1042" t="s">
        <v>58</v>
      </c>
      <c r="P1042">
        <v>2</v>
      </c>
      <c r="Q1042" t="s">
        <v>52</v>
      </c>
      <c r="R1042" s="3">
        <v>13757</v>
      </c>
      <c r="S1042">
        <v>25178</v>
      </c>
      <c r="T1042">
        <v>2</v>
      </c>
      <c r="U1042" t="s">
        <v>43</v>
      </c>
      <c r="V1042" s="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tr">
        <f t="shared" si="64"/>
        <v>36-45</v>
      </c>
      <c r="AH1042" t="str">
        <f t="shared" si="65"/>
        <v>Very High</v>
      </c>
      <c r="AI1042" s="1">
        <f>VLOOKUP(E1042,Lookup_Tables!$A$3:$B$5,2,)</f>
        <v>6281.2528616024974</v>
      </c>
      <c r="AJ1042" t="str">
        <f t="shared" si="66"/>
        <v>Above salary</v>
      </c>
      <c r="AK1042" t="str">
        <f t="shared" si="67"/>
        <v>Medium Risk</v>
      </c>
    </row>
    <row r="1043" spans="1:37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t="s">
        <v>46</v>
      </c>
      <c r="L1043">
        <v>84</v>
      </c>
      <c r="M1043">
        <v>3</v>
      </c>
      <c r="N1043">
        <v>2</v>
      </c>
      <c r="O1043" t="s">
        <v>40</v>
      </c>
      <c r="P1043">
        <v>1</v>
      </c>
      <c r="Q1043" t="s">
        <v>41</v>
      </c>
      <c r="R1043" s="3">
        <v>8463</v>
      </c>
      <c r="S1043">
        <v>23490</v>
      </c>
      <c r="T1043">
        <v>0</v>
      </c>
      <c r="U1043" t="s">
        <v>43</v>
      </c>
      <c r="V1043" s="2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tr">
        <f t="shared" si="64"/>
        <v>26-35</v>
      </c>
      <c r="AH1043" t="str">
        <f t="shared" si="65"/>
        <v>High</v>
      </c>
      <c r="AI1043" s="1">
        <f>VLOOKUP(E1043,Lookup_Tables!$A$3:$B$5,2,)</f>
        <v>6959.17264573991</v>
      </c>
      <c r="AJ1043" t="str">
        <f t="shared" si="66"/>
        <v>Above salary</v>
      </c>
      <c r="AK1043" t="str">
        <f t="shared" si="67"/>
        <v>Medium Risk</v>
      </c>
    </row>
    <row r="1044" spans="1:37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46</v>
      </c>
      <c r="L1044">
        <v>90</v>
      </c>
      <c r="M1044">
        <v>2</v>
      </c>
      <c r="N1044">
        <v>1</v>
      </c>
      <c r="O1044" t="s">
        <v>50</v>
      </c>
      <c r="P1044">
        <v>3</v>
      </c>
      <c r="Q1044" t="s">
        <v>41</v>
      </c>
      <c r="R1044" s="3">
        <v>3162</v>
      </c>
      <c r="S1044">
        <v>7973</v>
      </c>
      <c r="T1044">
        <v>3</v>
      </c>
      <c r="U1044" t="s">
        <v>43</v>
      </c>
      <c r="V1044" s="2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tr">
        <f t="shared" si="64"/>
        <v>36-45</v>
      </c>
      <c r="AH1044" t="str">
        <f t="shared" si="65"/>
        <v>Mid</v>
      </c>
      <c r="AI1044" s="1">
        <f>VLOOKUP(E1044,Lookup_Tables!$A$3:$B$5,2,)</f>
        <v>6281.2528616024974</v>
      </c>
      <c r="AJ1044" t="str">
        <f t="shared" si="66"/>
        <v>Below salary</v>
      </c>
      <c r="AK1044" t="str">
        <f t="shared" si="67"/>
        <v>Low Risk</v>
      </c>
    </row>
    <row r="1045" spans="1:37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t="s">
        <v>46</v>
      </c>
      <c r="L1045">
        <v>39</v>
      </c>
      <c r="M1045">
        <v>4</v>
      </c>
      <c r="N1045">
        <v>4</v>
      </c>
      <c r="O1045" t="s">
        <v>58</v>
      </c>
      <c r="P1045">
        <v>2</v>
      </c>
      <c r="Q1045" t="s">
        <v>41</v>
      </c>
      <c r="R1045" s="3">
        <v>16598</v>
      </c>
      <c r="S1045">
        <v>19764</v>
      </c>
      <c r="T1045">
        <v>4</v>
      </c>
      <c r="U1045" t="s">
        <v>43</v>
      </c>
      <c r="V1045" s="2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tr">
        <f t="shared" si="64"/>
        <v>46+</v>
      </c>
      <c r="AH1045" t="str">
        <f t="shared" si="65"/>
        <v>Very High</v>
      </c>
      <c r="AI1045" s="1">
        <f>VLOOKUP(E1045,Lookup_Tables!$A$3:$B$5,2,)</f>
        <v>6281.2528616024974</v>
      </c>
      <c r="AJ1045" t="str">
        <f t="shared" si="66"/>
        <v>Above salary</v>
      </c>
      <c r="AK1045" t="str">
        <f t="shared" si="67"/>
        <v>Medium Risk</v>
      </c>
    </row>
    <row r="1046" spans="1:37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1473</v>
      </c>
      <c r="J1046">
        <v>1</v>
      </c>
      <c r="K1046" t="s">
        <v>46</v>
      </c>
      <c r="L1046">
        <v>96</v>
      </c>
      <c r="M1046">
        <v>3</v>
      </c>
      <c r="N1046">
        <v>2</v>
      </c>
      <c r="O1046" t="s">
        <v>54</v>
      </c>
      <c r="P1046">
        <v>3</v>
      </c>
      <c r="Q1046" t="s">
        <v>48</v>
      </c>
      <c r="R1046" s="3">
        <v>6651</v>
      </c>
      <c r="S1046">
        <v>21534</v>
      </c>
      <c r="T1046">
        <v>2</v>
      </c>
      <c r="U1046" t="s">
        <v>43</v>
      </c>
      <c r="V1046" s="2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tr">
        <f t="shared" si="64"/>
        <v>46+</v>
      </c>
      <c r="AH1046" t="str">
        <f t="shared" si="65"/>
        <v>Mid</v>
      </c>
      <c r="AI1046" s="1">
        <f>VLOOKUP(E1046,Lookup_Tables!$A$3:$B$5,2,)</f>
        <v>6281.2528616024974</v>
      </c>
      <c r="AJ1046" t="str">
        <f t="shared" si="66"/>
        <v>Above salary</v>
      </c>
      <c r="AK1046" t="str">
        <f t="shared" si="67"/>
        <v>Low Risk</v>
      </c>
    </row>
    <row r="1047" spans="1:37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t="s">
        <v>46</v>
      </c>
      <c r="L1047">
        <v>68</v>
      </c>
      <c r="M1047">
        <v>3</v>
      </c>
      <c r="N1047">
        <v>1</v>
      </c>
      <c r="O1047" t="s">
        <v>47</v>
      </c>
      <c r="P1047">
        <v>3</v>
      </c>
      <c r="Q1047" t="s">
        <v>52</v>
      </c>
      <c r="R1047" s="3">
        <v>2345</v>
      </c>
      <c r="S1047">
        <v>8045</v>
      </c>
      <c r="T1047">
        <v>2</v>
      </c>
      <c r="U1047" t="s">
        <v>43</v>
      </c>
      <c r="V1047" s="2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tr">
        <f t="shared" si="64"/>
        <v>36-45</v>
      </c>
      <c r="AH1047" t="str">
        <f t="shared" si="65"/>
        <v>Low</v>
      </c>
      <c r="AI1047" s="1">
        <f>VLOOKUP(E1047,Lookup_Tables!$A$3:$B$5,2,)</f>
        <v>6281.2528616024974</v>
      </c>
      <c r="AJ1047" t="str">
        <f t="shared" si="66"/>
        <v>Below salary</v>
      </c>
      <c r="AK1047" t="str">
        <f t="shared" si="67"/>
        <v>Low Risk</v>
      </c>
    </row>
    <row r="1048" spans="1:37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46</v>
      </c>
      <c r="L1048">
        <v>49</v>
      </c>
      <c r="M1048">
        <v>3</v>
      </c>
      <c r="N1048">
        <v>1</v>
      </c>
      <c r="O1048" t="s">
        <v>47</v>
      </c>
      <c r="P1048">
        <v>2</v>
      </c>
      <c r="Q1048" t="s">
        <v>41</v>
      </c>
      <c r="R1048" s="3">
        <v>3420</v>
      </c>
      <c r="S1048">
        <v>21158</v>
      </c>
      <c r="T1048">
        <v>1</v>
      </c>
      <c r="U1048" t="s">
        <v>43</v>
      </c>
      <c r="V1048" s="2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tr">
        <f t="shared" si="64"/>
        <v>36-45</v>
      </c>
      <c r="AH1048" t="str">
        <f t="shared" si="65"/>
        <v>Mid</v>
      </c>
      <c r="AI1048" s="1">
        <f>VLOOKUP(E1048,Lookup_Tables!$A$3:$B$5,2,)</f>
        <v>6281.2528616024974</v>
      </c>
      <c r="AJ1048" t="str">
        <f t="shared" si="66"/>
        <v>Below salary</v>
      </c>
      <c r="AK1048" t="str">
        <f t="shared" si="67"/>
        <v>Medium Risk</v>
      </c>
    </row>
    <row r="1049" spans="1:37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t="s">
        <v>46</v>
      </c>
      <c r="L1049">
        <v>54</v>
      </c>
      <c r="M1049">
        <v>3</v>
      </c>
      <c r="N1049">
        <v>2</v>
      </c>
      <c r="O1049" t="s">
        <v>40</v>
      </c>
      <c r="P1049">
        <v>1</v>
      </c>
      <c r="Q1049" t="s">
        <v>48</v>
      </c>
      <c r="R1049" s="3">
        <v>4373</v>
      </c>
      <c r="S1049">
        <v>17456</v>
      </c>
      <c r="T1049">
        <v>0</v>
      </c>
      <c r="U1049" t="s">
        <v>43</v>
      </c>
      <c r="V1049" s="2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tr">
        <f t="shared" si="64"/>
        <v>26-35</v>
      </c>
      <c r="AH1049" t="str">
        <f t="shared" si="65"/>
        <v>Mid</v>
      </c>
      <c r="AI1049" s="1">
        <f>VLOOKUP(E1049,Lookup_Tables!$A$3:$B$5,2,)</f>
        <v>6959.17264573991</v>
      </c>
      <c r="AJ1049" t="str">
        <f t="shared" si="66"/>
        <v>Below salary</v>
      </c>
      <c r="AK1049" t="str">
        <f t="shared" si="67"/>
        <v>Medium Risk</v>
      </c>
    </row>
    <row r="1050" spans="1:37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t="s">
        <v>46</v>
      </c>
      <c r="L1050">
        <v>81</v>
      </c>
      <c r="M1050">
        <v>1</v>
      </c>
      <c r="N1050">
        <v>2</v>
      </c>
      <c r="O1050" t="s">
        <v>40</v>
      </c>
      <c r="P1050">
        <v>1</v>
      </c>
      <c r="Q1050" t="s">
        <v>41</v>
      </c>
      <c r="R1050" s="3">
        <v>4759</v>
      </c>
      <c r="S1050">
        <v>15891</v>
      </c>
      <c r="T1050">
        <v>3</v>
      </c>
      <c r="U1050" t="s">
        <v>43</v>
      </c>
      <c r="V1050" s="2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tr">
        <f t="shared" si="64"/>
        <v>26-35</v>
      </c>
      <c r="AH1050" t="str">
        <f t="shared" si="65"/>
        <v>Mid</v>
      </c>
      <c r="AI1050" s="1">
        <f>VLOOKUP(E1050,Lookup_Tables!$A$3:$B$5,2,)</f>
        <v>6959.17264573991</v>
      </c>
      <c r="AJ1050" t="str">
        <f t="shared" si="66"/>
        <v>Below salary</v>
      </c>
      <c r="AK1050" t="str">
        <f t="shared" si="67"/>
        <v>Medium Risk</v>
      </c>
    </row>
    <row r="1051" spans="1:37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46</v>
      </c>
      <c r="L1051">
        <v>96</v>
      </c>
      <c r="M1051">
        <v>3</v>
      </c>
      <c r="N1051">
        <v>2</v>
      </c>
      <c r="O1051" t="s">
        <v>40</v>
      </c>
      <c r="P1051">
        <v>3</v>
      </c>
      <c r="Q1051" t="s">
        <v>48</v>
      </c>
      <c r="R1051" s="3">
        <v>5301</v>
      </c>
      <c r="S1051">
        <v>2939</v>
      </c>
      <c r="T1051">
        <v>8</v>
      </c>
      <c r="U1051" t="s">
        <v>43</v>
      </c>
      <c r="V1051" s="2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tr">
        <f t="shared" si="64"/>
        <v>26-35</v>
      </c>
      <c r="AH1051" t="str">
        <f t="shared" si="65"/>
        <v>Mid</v>
      </c>
      <c r="AI1051" s="1">
        <f>VLOOKUP(E1051,Lookup_Tables!$A$3:$B$5,2,)</f>
        <v>6959.17264573991</v>
      </c>
      <c r="AJ1051" t="str">
        <f t="shared" si="66"/>
        <v>Below salary</v>
      </c>
      <c r="AK1051" t="str">
        <f t="shared" si="67"/>
        <v>Low Risk</v>
      </c>
    </row>
    <row r="1052" spans="1:37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t="s">
        <v>39</v>
      </c>
      <c r="L1052">
        <v>74</v>
      </c>
      <c r="M1052">
        <v>3</v>
      </c>
      <c r="N1052">
        <v>1</v>
      </c>
      <c r="O1052" t="s">
        <v>50</v>
      </c>
      <c r="P1052">
        <v>4</v>
      </c>
      <c r="Q1052" t="s">
        <v>41</v>
      </c>
      <c r="R1052" s="3">
        <v>3673</v>
      </c>
      <c r="S1052">
        <v>16458</v>
      </c>
      <c r="T1052">
        <v>1</v>
      </c>
      <c r="U1052" t="s">
        <v>43</v>
      </c>
      <c r="V1052" s="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tr">
        <f t="shared" si="64"/>
        <v>36-45</v>
      </c>
      <c r="AH1052" t="str">
        <f t="shared" si="65"/>
        <v>Mid</v>
      </c>
      <c r="AI1052" s="1">
        <f>VLOOKUP(E1052,Lookup_Tables!$A$3:$B$5,2,)</f>
        <v>6281.2528616024974</v>
      </c>
      <c r="AJ1052" t="str">
        <f t="shared" si="66"/>
        <v>Below salary</v>
      </c>
      <c r="AK1052" t="str">
        <f t="shared" si="67"/>
        <v>Low Risk</v>
      </c>
    </row>
    <row r="1053" spans="1:37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1481</v>
      </c>
      <c r="J1053">
        <v>1</v>
      </c>
      <c r="K1053" t="s">
        <v>39</v>
      </c>
      <c r="L1053">
        <v>79</v>
      </c>
      <c r="M1053">
        <v>3</v>
      </c>
      <c r="N1053">
        <v>2</v>
      </c>
      <c r="O1053" t="s">
        <v>40</v>
      </c>
      <c r="P1053">
        <v>3</v>
      </c>
      <c r="Q1053" t="s">
        <v>48</v>
      </c>
      <c r="R1053" s="3">
        <v>4768</v>
      </c>
      <c r="S1053">
        <v>9282</v>
      </c>
      <c r="T1053">
        <v>7</v>
      </c>
      <c r="U1053" t="s">
        <v>43</v>
      </c>
      <c r="V1053" s="2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tr">
        <f t="shared" si="64"/>
        <v>36-45</v>
      </c>
      <c r="AH1053" t="str">
        <f t="shared" si="65"/>
        <v>Mid</v>
      </c>
      <c r="AI1053" s="1">
        <f>VLOOKUP(E1053,Lookup_Tables!$A$3:$B$5,2,)</f>
        <v>6959.17264573991</v>
      </c>
      <c r="AJ1053" t="str">
        <f t="shared" si="66"/>
        <v>Below salary</v>
      </c>
      <c r="AK1053" t="str">
        <f t="shared" si="67"/>
        <v>Low Risk</v>
      </c>
    </row>
    <row r="1054" spans="1:37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1482</v>
      </c>
      <c r="J1054">
        <v>3</v>
      </c>
      <c r="K1054" t="s">
        <v>46</v>
      </c>
      <c r="L1054">
        <v>64</v>
      </c>
      <c r="M1054">
        <v>3</v>
      </c>
      <c r="N1054">
        <v>1</v>
      </c>
      <c r="O1054" t="s">
        <v>47</v>
      </c>
      <c r="P1054">
        <v>3</v>
      </c>
      <c r="Q1054" t="s">
        <v>52</v>
      </c>
      <c r="R1054" s="3">
        <v>1274</v>
      </c>
      <c r="S1054">
        <v>7152</v>
      </c>
      <c r="T1054">
        <v>1</v>
      </c>
      <c r="U1054" t="s">
        <v>43</v>
      </c>
      <c r="V1054" s="2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tr">
        <f t="shared" si="64"/>
        <v>26-35</v>
      </c>
      <c r="AH1054" t="str">
        <f t="shared" si="65"/>
        <v>Low</v>
      </c>
      <c r="AI1054" s="1">
        <f>VLOOKUP(E1054,Lookup_Tables!$A$3:$B$5,2,)</f>
        <v>6281.2528616024974</v>
      </c>
      <c r="AJ1054" t="str">
        <f t="shared" si="66"/>
        <v>Below salary</v>
      </c>
      <c r="AK1054" t="str">
        <f t="shared" si="67"/>
        <v>Low Risk</v>
      </c>
    </row>
    <row r="1055" spans="1:37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46</v>
      </c>
      <c r="L1055">
        <v>93</v>
      </c>
      <c r="M1055">
        <v>4</v>
      </c>
      <c r="N1055">
        <v>2</v>
      </c>
      <c r="O1055" t="s">
        <v>47</v>
      </c>
      <c r="P1055">
        <v>3</v>
      </c>
      <c r="Q1055" t="s">
        <v>48</v>
      </c>
      <c r="R1055" s="3">
        <v>4900</v>
      </c>
      <c r="S1055">
        <v>2721</v>
      </c>
      <c r="T1055">
        <v>0</v>
      </c>
      <c r="U1055" t="s">
        <v>43</v>
      </c>
      <c r="V1055" s="2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tr">
        <f t="shared" si="64"/>
        <v>46+</v>
      </c>
      <c r="AH1055" t="str">
        <f t="shared" si="65"/>
        <v>Mid</v>
      </c>
      <c r="AI1055" s="1">
        <f>VLOOKUP(E1055,Lookup_Tables!$A$3:$B$5,2,)</f>
        <v>6281.2528616024974</v>
      </c>
      <c r="AJ1055" t="str">
        <f t="shared" si="66"/>
        <v>Below salary</v>
      </c>
      <c r="AK1055" t="str">
        <f t="shared" si="67"/>
        <v>Low Risk</v>
      </c>
    </row>
    <row r="1056" spans="1:37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46</v>
      </c>
      <c r="L1056">
        <v>35</v>
      </c>
      <c r="M1056">
        <v>3</v>
      </c>
      <c r="N1056">
        <v>3</v>
      </c>
      <c r="O1056" t="s">
        <v>54</v>
      </c>
      <c r="P1056">
        <v>2</v>
      </c>
      <c r="Q1056" t="s">
        <v>52</v>
      </c>
      <c r="R1056" s="3">
        <v>10466</v>
      </c>
      <c r="S1056">
        <v>20948</v>
      </c>
      <c r="T1056">
        <v>3</v>
      </c>
      <c r="U1056" t="s">
        <v>43</v>
      </c>
      <c r="V1056" s="2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tr">
        <f t="shared" si="64"/>
        <v>46+</v>
      </c>
      <c r="AH1056" t="str">
        <f t="shared" si="65"/>
        <v>High</v>
      </c>
      <c r="AI1056" s="1">
        <f>VLOOKUP(E1056,Lookup_Tables!$A$3:$B$5,2,)</f>
        <v>6281.2528616024974</v>
      </c>
      <c r="AJ1056" t="str">
        <f t="shared" si="66"/>
        <v>Above salary</v>
      </c>
      <c r="AK1056" t="str">
        <f t="shared" si="67"/>
        <v>Medium Risk</v>
      </c>
    </row>
    <row r="1057" spans="1:37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t="s">
        <v>46</v>
      </c>
      <c r="L1057">
        <v>71</v>
      </c>
      <c r="M1057">
        <v>3</v>
      </c>
      <c r="N1057">
        <v>4</v>
      </c>
      <c r="O1057" t="s">
        <v>58</v>
      </c>
      <c r="P1057">
        <v>1</v>
      </c>
      <c r="Q1057" t="s">
        <v>52</v>
      </c>
      <c r="R1057" s="3">
        <v>17007</v>
      </c>
      <c r="S1057">
        <v>11929</v>
      </c>
      <c r="T1057">
        <v>7</v>
      </c>
      <c r="U1057" t="s">
        <v>43</v>
      </c>
      <c r="V1057" s="2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tr">
        <f t="shared" si="64"/>
        <v>26-35</v>
      </c>
      <c r="AH1057" t="str">
        <f t="shared" si="65"/>
        <v>Very High</v>
      </c>
      <c r="AI1057" s="1">
        <f>VLOOKUP(E1057,Lookup_Tables!$A$3:$B$5,2,)</f>
        <v>6281.2528616024974</v>
      </c>
      <c r="AJ1057" t="str">
        <f t="shared" si="66"/>
        <v>Above salary</v>
      </c>
      <c r="AK1057" t="str">
        <f t="shared" si="67"/>
        <v>Medium Risk</v>
      </c>
    </row>
    <row r="1058" spans="1:37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1486</v>
      </c>
      <c r="J1058">
        <v>1</v>
      </c>
      <c r="K1058" t="s">
        <v>46</v>
      </c>
      <c r="L1058">
        <v>92</v>
      </c>
      <c r="M1058">
        <v>3</v>
      </c>
      <c r="N1058">
        <v>1</v>
      </c>
      <c r="O1058" t="s">
        <v>57</v>
      </c>
      <c r="P1058">
        <v>3</v>
      </c>
      <c r="Q1058" t="s">
        <v>48</v>
      </c>
      <c r="R1058" s="3">
        <v>2909</v>
      </c>
      <c r="S1058">
        <v>15747</v>
      </c>
      <c r="T1058">
        <v>3</v>
      </c>
      <c r="U1058" t="s">
        <v>43</v>
      </c>
      <c r="V1058" s="2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tr">
        <f t="shared" si="64"/>
        <v>26-35</v>
      </c>
      <c r="AH1058" t="str">
        <f t="shared" si="65"/>
        <v>Low</v>
      </c>
      <c r="AI1058" s="1">
        <f>VLOOKUP(E1058,Lookup_Tables!$A$3:$B$5,2,)</f>
        <v>6959.17264573991</v>
      </c>
      <c r="AJ1058" t="str">
        <f t="shared" si="66"/>
        <v>Below salary</v>
      </c>
      <c r="AK1058" t="str">
        <f t="shared" si="67"/>
        <v>Low Risk</v>
      </c>
    </row>
    <row r="1059" spans="1:37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1487</v>
      </c>
      <c r="J1059">
        <v>1</v>
      </c>
      <c r="K1059" t="s">
        <v>39</v>
      </c>
      <c r="L1059">
        <v>51</v>
      </c>
      <c r="M1059">
        <v>3</v>
      </c>
      <c r="N1059">
        <v>2</v>
      </c>
      <c r="O1059" t="s">
        <v>40</v>
      </c>
      <c r="P1059">
        <v>2</v>
      </c>
      <c r="Q1059" t="s">
        <v>41</v>
      </c>
      <c r="R1059" s="3">
        <v>5765</v>
      </c>
      <c r="S1059">
        <v>17485</v>
      </c>
      <c r="T1059">
        <v>5</v>
      </c>
      <c r="U1059" t="s">
        <v>43</v>
      </c>
      <c r="V1059" s="2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tr">
        <f t="shared" si="64"/>
        <v>26-35</v>
      </c>
      <c r="AH1059" t="str">
        <f t="shared" si="65"/>
        <v>Mid</v>
      </c>
      <c r="AI1059" s="1">
        <f>VLOOKUP(E1059,Lookup_Tables!$A$3:$B$5,2,)</f>
        <v>6959.17264573991</v>
      </c>
      <c r="AJ1059" t="str">
        <f t="shared" si="66"/>
        <v>Below salary</v>
      </c>
      <c r="AK1059" t="str">
        <f t="shared" si="67"/>
        <v>Medium Risk</v>
      </c>
    </row>
    <row r="1060" spans="1:37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t="s">
        <v>39</v>
      </c>
      <c r="L1060">
        <v>40</v>
      </c>
      <c r="M1060">
        <v>2</v>
      </c>
      <c r="N1060">
        <v>2</v>
      </c>
      <c r="O1060" t="s">
        <v>40</v>
      </c>
      <c r="P1060">
        <v>2</v>
      </c>
      <c r="Q1060" t="s">
        <v>41</v>
      </c>
      <c r="R1060" s="3">
        <v>4599</v>
      </c>
      <c r="S1060">
        <v>7815</v>
      </c>
      <c r="T1060">
        <v>0</v>
      </c>
      <c r="U1060" t="s">
        <v>35</v>
      </c>
      <c r="V1060" s="2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tr">
        <f t="shared" si="64"/>
        <v>26-35</v>
      </c>
      <c r="AH1060" t="str">
        <f t="shared" si="65"/>
        <v>Mid</v>
      </c>
      <c r="AI1060" s="1">
        <f>VLOOKUP(E1060,Lookup_Tables!$A$3:$B$5,2,)</f>
        <v>6959.17264573991</v>
      </c>
      <c r="AJ1060" t="str">
        <f t="shared" si="66"/>
        <v>Below salary</v>
      </c>
      <c r="AK1060" t="str">
        <f t="shared" si="67"/>
        <v>High Risk</v>
      </c>
    </row>
    <row r="1061" spans="1:37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46</v>
      </c>
      <c r="L1061">
        <v>76</v>
      </c>
      <c r="M1061">
        <v>3</v>
      </c>
      <c r="N1061">
        <v>1</v>
      </c>
      <c r="O1061" t="s">
        <v>57</v>
      </c>
      <c r="P1061">
        <v>3</v>
      </c>
      <c r="Q1061" t="s">
        <v>48</v>
      </c>
      <c r="R1061" s="3">
        <v>2404</v>
      </c>
      <c r="S1061">
        <v>16192</v>
      </c>
      <c r="T1061">
        <v>1</v>
      </c>
      <c r="U1061" t="s">
        <v>43</v>
      </c>
      <c r="V1061" s="2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tr">
        <f t="shared" si="64"/>
        <v>26-35</v>
      </c>
      <c r="AH1061" t="str">
        <f t="shared" si="65"/>
        <v>Low</v>
      </c>
      <c r="AI1061" s="1">
        <f>VLOOKUP(E1061,Lookup_Tables!$A$3:$B$5,2,)</f>
        <v>6959.17264573991</v>
      </c>
      <c r="AJ1061" t="str">
        <f t="shared" si="66"/>
        <v>Below salary</v>
      </c>
      <c r="AK1061" t="str">
        <f t="shared" si="67"/>
        <v>Low Risk</v>
      </c>
    </row>
    <row r="1062" spans="1:37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t="s">
        <v>46</v>
      </c>
      <c r="L1062">
        <v>89</v>
      </c>
      <c r="M1062">
        <v>3</v>
      </c>
      <c r="N1062">
        <v>1</v>
      </c>
      <c r="O1062" t="s">
        <v>50</v>
      </c>
      <c r="P1062">
        <v>1</v>
      </c>
      <c r="Q1062" t="s">
        <v>41</v>
      </c>
      <c r="R1062" s="3">
        <v>3172</v>
      </c>
      <c r="S1062">
        <v>16998</v>
      </c>
      <c r="T1062">
        <v>2</v>
      </c>
      <c r="U1062" t="s">
        <v>35</v>
      </c>
      <c r="V1062" s="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tr">
        <f t="shared" si="64"/>
        <v>18-25</v>
      </c>
      <c r="AH1062" t="str">
        <f t="shared" si="65"/>
        <v>Mid</v>
      </c>
      <c r="AI1062" s="1">
        <f>VLOOKUP(E1062,Lookup_Tables!$A$3:$B$5,2,)</f>
        <v>6281.2528616024974</v>
      </c>
      <c r="AJ1062" t="str">
        <f t="shared" si="66"/>
        <v>Below salary</v>
      </c>
      <c r="AK1062" t="str">
        <f t="shared" si="67"/>
        <v>High Risk</v>
      </c>
    </row>
    <row r="1063" spans="1:37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78</v>
      </c>
      <c r="M1063">
        <v>3</v>
      </c>
      <c r="N1063">
        <v>1</v>
      </c>
      <c r="O1063" t="s">
        <v>57</v>
      </c>
      <c r="P1063">
        <v>2</v>
      </c>
      <c r="Q1063" t="s">
        <v>48</v>
      </c>
      <c r="R1063" s="3">
        <v>2033</v>
      </c>
      <c r="S1063">
        <v>7103</v>
      </c>
      <c r="T1063">
        <v>1</v>
      </c>
      <c r="U1063" t="s">
        <v>43</v>
      </c>
      <c r="V1063" s="2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tr">
        <f t="shared" si="64"/>
        <v>18-25</v>
      </c>
      <c r="AH1063" t="str">
        <f t="shared" si="65"/>
        <v>Low</v>
      </c>
      <c r="AI1063" s="1">
        <f>VLOOKUP(E1063,Lookup_Tables!$A$3:$B$5,2,)</f>
        <v>6959.17264573991</v>
      </c>
      <c r="AJ1063" t="str">
        <f t="shared" si="66"/>
        <v>Below salary</v>
      </c>
      <c r="AK1063" t="str">
        <f t="shared" si="67"/>
        <v>Medium Risk</v>
      </c>
    </row>
    <row r="1064" spans="1:37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t="s">
        <v>46</v>
      </c>
      <c r="L1064">
        <v>86</v>
      </c>
      <c r="M1064">
        <v>3</v>
      </c>
      <c r="N1064">
        <v>3</v>
      </c>
      <c r="O1064" t="s">
        <v>53</v>
      </c>
      <c r="P1064">
        <v>3</v>
      </c>
      <c r="Q1064" t="s">
        <v>41</v>
      </c>
      <c r="R1064" s="3">
        <v>10209</v>
      </c>
      <c r="S1064">
        <v>19719</v>
      </c>
      <c r="T1064">
        <v>5</v>
      </c>
      <c r="U1064" t="s">
        <v>35</v>
      </c>
      <c r="V1064" s="2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tr">
        <f t="shared" si="64"/>
        <v>36-45</v>
      </c>
      <c r="AH1064" t="str">
        <f t="shared" si="65"/>
        <v>High</v>
      </c>
      <c r="AI1064" s="1">
        <f>VLOOKUP(E1064,Lookup_Tables!$A$3:$B$5,2,)</f>
        <v>6281.2528616024974</v>
      </c>
      <c r="AJ1064" t="str">
        <f t="shared" si="66"/>
        <v>Above salary</v>
      </c>
      <c r="AK1064" t="str">
        <f t="shared" si="67"/>
        <v>Medium Risk</v>
      </c>
    </row>
    <row r="1065" spans="1:37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46</v>
      </c>
      <c r="L1065">
        <v>77</v>
      </c>
      <c r="M1065">
        <v>2</v>
      </c>
      <c r="N1065">
        <v>2</v>
      </c>
      <c r="O1065" t="s">
        <v>40</v>
      </c>
      <c r="P1065">
        <v>3</v>
      </c>
      <c r="Q1065" t="s">
        <v>52</v>
      </c>
      <c r="R1065" s="3">
        <v>8620</v>
      </c>
      <c r="S1065">
        <v>23757</v>
      </c>
      <c r="T1065">
        <v>1</v>
      </c>
      <c r="U1065" t="s">
        <v>43</v>
      </c>
      <c r="V1065" s="2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tr">
        <f t="shared" si="64"/>
        <v>26-35</v>
      </c>
      <c r="AH1065" t="str">
        <f t="shared" si="65"/>
        <v>High</v>
      </c>
      <c r="AI1065" s="1">
        <f>VLOOKUP(E1065,Lookup_Tables!$A$3:$B$5,2,)</f>
        <v>6959.17264573991</v>
      </c>
      <c r="AJ1065" t="str">
        <f t="shared" si="66"/>
        <v>Above salary</v>
      </c>
      <c r="AK1065" t="str">
        <f t="shared" si="67"/>
        <v>Low Risk</v>
      </c>
    </row>
    <row r="1066" spans="1:37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46</v>
      </c>
      <c r="L1066">
        <v>46</v>
      </c>
      <c r="M1066">
        <v>3</v>
      </c>
      <c r="N1066">
        <v>1</v>
      </c>
      <c r="O1066" t="s">
        <v>61</v>
      </c>
      <c r="P1066">
        <v>3</v>
      </c>
      <c r="Q1066" t="s">
        <v>52</v>
      </c>
      <c r="R1066" s="3">
        <v>2064</v>
      </c>
      <c r="S1066">
        <v>15428</v>
      </c>
      <c r="T1066">
        <v>0</v>
      </c>
      <c r="U1066" t="s">
        <v>43</v>
      </c>
      <c r="V1066" s="2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tr">
        <f t="shared" si="64"/>
        <v>26-35</v>
      </c>
      <c r="AH1066" t="str">
        <f t="shared" si="65"/>
        <v>Low</v>
      </c>
      <c r="AI1066" s="1">
        <f>VLOOKUP(E1066,Lookup_Tables!$A$3:$B$5,2,)</f>
        <v>6654.5079365079364</v>
      </c>
      <c r="AJ1066" t="str">
        <f t="shared" si="66"/>
        <v>Below salary</v>
      </c>
      <c r="AK1066" t="str">
        <f t="shared" si="67"/>
        <v>Low Risk</v>
      </c>
    </row>
    <row r="1067" spans="1:37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46</v>
      </c>
      <c r="L1067">
        <v>30</v>
      </c>
      <c r="M1067">
        <v>3</v>
      </c>
      <c r="N1067">
        <v>2</v>
      </c>
      <c r="O1067" t="s">
        <v>54</v>
      </c>
      <c r="P1067">
        <v>3</v>
      </c>
      <c r="Q1067" t="s">
        <v>48</v>
      </c>
      <c r="R1067" s="3">
        <v>4035</v>
      </c>
      <c r="S1067">
        <v>16143</v>
      </c>
      <c r="T1067">
        <v>0</v>
      </c>
      <c r="U1067" t="s">
        <v>35</v>
      </c>
      <c r="V1067" s="2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tr">
        <f t="shared" si="64"/>
        <v>46+</v>
      </c>
      <c r="AH1067" t="str">
        <f t="shared" si="65"/>
        <v>Mid</v>
      </c>
      <c r="AI1067" s="1">
        <f>VLOOKUP(E1067,Lookup_Tables!$A$3:$B$5,2,)</f>
        <v>6281.2528616024974</v>
      </c>
      <c r="AJ1067" t="str">
        <f t="shared" si="66"/>
        <v>Below salary</v>
      </c>
      <c r="AK1067" t="str">
        <f t="shared" si="67"/>
        <v>Medium Risk</v>
      </c>
    </row>
    <row r="1068" spans="1:37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t="s">
        <v>39</v>
      </c>
      <c r="L1068">
        <v>82</v>
      </c>
      <c r="M1068">
        <v>2</v>
      </c>
      <c r="N1068">
        <v>1</v>
      </c>
      <c r="O1068" t="s">
        <v>50</v>
      </c>
      <c r="P1068">
        <v>2</v>
      </c>
      <c r="Q1068" t="s">
        <v>48</v>
      </c>
      <c r="R1068" s="3">
        <v>3838</v>
      </c>
      <c r="S1068">
        <v>8192</v>
      </c>
      <c r="T1068">
        <v>8</v>
      </c>
      <c r="U1068" t="s">
        <v>43</v>
      </c>
      <c r="V1068" s="2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tr">
        <f t="shared" si="64"/>
        <v>26-35</v>
      </c>
      <c r="AH1068" t="str">
        <f t="shared" si="65"/>
        <v>Mid</v>
      </c>
      <c r="AI1068" s="1">
        <f>VLOOKUP(E1068,Lookup_Tables!$A$3:$B$5,2,)</f>
        <v>6281.2528616024974</v>
      </c>
      <c r="AJ1068" t="str">
        <f t="shared" si="66"/>
        <v>Below salary</v>
      </c>
      <c r="AK1068" t="str">
        <f t="shared" si="67"/>
        <v>Medium Risk</v>
      </c>
    </row>
    <row r="1069" spans="1:37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t="s">
        <v>39</v>
      </c>
      <c r="L1069">
        <v>78</v>
      </c>
      <c r="M1069">
        <v>3</v>
      </c>
      <c r="N1069">
        <v>2</v>
      </c>
      <c r="O1069" t="s">
        <v>40</v>
      </c>
      <c r="P1069">
        <v>3</v>
      </c>
      <c r="Q1069" t="s">
        <v>48</v>
      </c>
      <c r="R1069" s="3">
        <v>4591</v>
      </c>
      <c r="S1069">
        <v>24200</v>
      </c>
      <c r="T1069">
        <v>3</v>
      </c>
      <c r="U1069" t="s">
        <v>35</v>
      </c>
      <c r="V1069" s="2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tr">
        <f t="shared" si="64"/>
        <v>46+</v>
      </c>
      <c r="AH1069" t="str">
        <f t="shared" si="65"/>
        <v>Mid</v>
      </c>
      <c r="AI1069" s="1">
        <f>VLOOKUP(E1069,Lookup_Tables!$A$3:$B$5,2,)</f>
        <v>6959.17264573991</v>
      </c>
      <c r="AJ1069" t="str">
        <f t="shared" si="66"/>
        <v>Below salary</v>
      </c>
      <c r="AK1069" t="str">
        <f t="shared" si="67"/>
        <v>Medium Risk</v>
      </c>
    </row>
    <row r="1070" spans="1:37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t="s">
        <v>46</v>
      </c>
      <c r="L1070">
        <v>38</v>
      </c>
      <c r="M1070">
        <v>2</v>
      </c>
      <c r="N1070">
        <v>1</v>
      </c>
      <c r="O1070" t="s">
        <v>50</v>
      </c>
      <c r="P1070">
        <v>1</v>
      </c>
      <c r="Q1070" t="s">
        <v>41</v>
      </c>
      <c r="R1070" s="3">
        <v>2561</v>
      </c>
      <c r="S1070">
        <v>5355</v>
      </c>
      <c r="T1070">
        <v>7</v>
      </c>
      <c r="U1070" t="s">
        <v>43</v>
      </c>
      <c r="V1070" s="2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tr">
        <f t="shared" si="64"/>
        <v>26-35</v>
      </c>
      <c r="AH1070" t="str">
        <f t="shared" si="65"/>
        <v>Low</v>
      </c>
      <c r="AI1070" s="1">
        <f>VLOOKUP(E1070,Lookup_Tables!$A$3:$B$5,2,)</f>
        <v>6281.2528616024974</v>
      </c>
      <c r="AJ1070" t="str">
        <f t="shared" si="66"/>
        <v>Below salary</v>
      </c>
      <c r="AK1070" t="str">
        <f t="shared" si="67"/>
        <v>Medium Risk</v>
      </c>
    </row>
    <row r="1071" spans="1:37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46</v>
      </c>
      <c r="L1071">
        <v>72</v>
      </c>
      <c r="M1071">
        <v>2</v>
      </c>
      <c r="N1071">
        <v>1</v>
      </c>
      <c r="O1071" t="s">
        <v>47</v>
      </c>
      <c r="P1071">
        <v>3</v>
      </c>
      <c r="Q1071" t="s">
        <v>52</v>
      </c>
      <c r="R1071" s="3">
        <v>1563</v>
      </c>
      <c r="S1071">
        <v>12530</v>
      </c>
      <c r="T1071">
        <v>1</v>
      </c>
      <c r="U1071" t="s">
        <v>43</v>
      </c>
      <c r="V1071" s="2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tr">
        <f t="shared" si="64"/>
        <v>26-35</v>
      </c>
      <c r="AH1071" t="str">
        <f t="shared" si="65"/>
        <v>Low</v>
      </c>
      <c r="AI1071" s="1">
        <f>VLOOKUP(E1071,Lookup_Tables!$A$3:$B$5,2,)</f>
        <v>6281.2528616024974</v>
      </c>
      <c r="AJ1071" t="str">
        <f t="shared" si="66"/>
        <v>Below salary</v>
      </c>
      <c r="AK1071" t="str">
        <f t="shared" si="67"/>
        <v>Low Risk</v>
      </c>
    </row>
    <row r="1072" spans="1:37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46</v>
      </c>
      <c r="L1072">
        <v>55</v>
      </c>
      <c r="M1072">
        <v>3</v>
      </c>
      <c r="N1072">
        <v>2</v>
      </c>
      <c r="O1072" t="s">
        <v>40</v>
      </c>
      <c r="P1072">
        <v>1</v>
      </c>
      <c r="Q1072" t="s">
        <v>41</v>
      </c>
      <c r="R1072" s="3">
        <v>4898</v>
      </c>
      <c r="S1072">
        <v>11827</v>
      </c>
      <c r="T1072">
        <v>0</v>
      </c>
      <c r="U1072" t="s">
        <v>43</v>
      </c>
      <c r="V1072" s="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tr">
        <f t="shared" si="64"/>
        <v>26-35</v>
      </c>
      <c r="AH1072" t="str">
        <f t="shared" si="65"/>
        <v>Mid</v>
      </c>
      <c r="AI1072" s="1">
        <f>VLOOKUP(E1072,Lookup_Tables!$A$3:$B$5,2,)</f>
        <v>6959.17264573991</v>
      </c>
      <c r="AJ1072" t="str">
        <f t="shared" si="66"/>
        <v>Below salary</v>
      </c>
      <c r="AK1072" t="str">
        <f t="shared" si="67"/>
        <v>Medium Risk</v>
      </c>
    </row>
    <row r="1073" spans="1:37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t="s">
        <v>39</v>
      </c>
      <c r="L1073">
        <v>43</v>
      </c>
      <c r="M1073">
        <v>2</v>
      </c>
      <c r="N1073">
        <v>2</v>
      </c>
      <c r="O1073" t="s">
        <v>50</v>
      </c>
      <c r="P1073">
        <v>1</v>
      </c>
      <c r="Q1073" t="s">
        <v>48</v>
      </c>
      <c r="R1073" s="3">
        <v>4789</v>
      </c>
      <c r="S1073">
        <v>23070</v>
      </c>
      <c r="T1073">
        <v>4</v>
      </c>
      <c r="U1073" t="s">
        <v>43</v>
      </c>
      <c r="V1073" s="2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tr">
        <f t="shared" si="64"/>
        <v>46+</v>
      </c>
      <c r="AH1073" t="str">
        <f t="shared" si="65"/>
        <v>Mid</v>
      </c>
      <c r="AI1073" s="1">
        <f>VLOOKUP(E1073,Lookup_Tables!$A$3:$B$5,2,)</f>
        <v>6281.2528616024974</v>
      </c>
      <c r="AJ1073" t="str">
        <f t="shared" si="66"/>
        <v>Below salary</v>
      </c>
      <c r="AK1073" t="str">
        <f t="shared" si="67"/>
        <v>Medium Risk</v>
      </c>
    </row>
    <row r="1074" spans="1:37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97</v>
      </c>
      <c r="M1074">
        <v>3</v>
      </c>
      <c r="N1074">
        <v>1</v>
      </c>
      <c r="O1074" t="s">
        <v>50</v>
      </c>
      <c r="P1074">
        <v>2</v>
      </c>
      <c r="Q1074" t="s">
        <v>48</v>
      </c>
      <c r="R1074" s="3">
        <v>3180</v>
      </c>
      <c r="S1074">
        <v>4668</v>
      </c>
      <c r="T1074">
        <v>0</v>
      </c>
      <c r="U1074" t="s">
        <v>43</v>
      </c>
      <c r="V1074" s="2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tr">
        <f t="shared" si="64"/>
        <v>26-35</v>
      </c>
      <c r="AH1074" t="str">
        <f t="shared" si="65"/>
        <v>Mid</v>
      </c>
      <c r="AI1074" s="1">
        <f>VLOOKUP(E1074,Lookup_Tables!$A$3:$B$5,2,)</f>
        <v>6281.2528616024974</v>
      </c>
      <c r="AJ1074" t="str">
        <f t="shared" si="66"/>
        <v>Below salary</v>
      </c>
      <c r="AK1074" t="str">
        <f t="shared" si="67"/>
        <v>Medium Risk</v>
      </c>
    </row>
    <row r="1075" spans="1:37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46</v>
      </c>
      <c r="L1075">
        <v>96</v>
      </c>
      <c r="M1075">
        <v>1</v>
      </c>
      <c r="N1075">
        <v>2</v>
      </c>
      <c r="O1075" t="s">
        <v>53</v>
      </c>
      <c r="P1075">
        <v>2</v>
      </c>
      <c r="Q1075" t="s">
        <v>48</v>
      </c>
      <c r="R1075" s="3">
        <v>6549</v>
      </c>
      <c r="S1075">
        <v>3173</v>
      </c>
      <c r="T1075">
        <v>1</v>
      </c>
      <c r="U1075" t="s">
        <v>43</v>
      </c>
      <c r="V1075" s="2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tr">
        <f t="shared" si="64"/>
        <v>26-35</v>
      </c>
      <c r="AH1075" t="str">
        <f t="shared" si="65"/>
        <v>Mid</v>
      </c>
      <c r="AI1075" s="1">
        <f>VLOOKUP(E1075,Lookup_Tables!$A$3:$B$5,2,)</f>
        <v>6281.2528616024974</v>
      </c>
      <c r="AJ1075" t="str">
        <f t="shared" si="66"/>
        <v>Above salary</v>
      </c>
      <c r="AK1075" t="str">
        <f t="shared" si="67"/>
        <v>Medium Risk</v>
      </c>
    </row>
    <row r="1076" spans="1:37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46</v>
      </c>
      <c r="L1076">
        <v>69</v>
      </c>
      <c r="M1076">
        <v>3</v>
      </c>
      <c r="N1076">
        <v>2</v>
      </c>
      <c r="O1076" t="s">
        <v>54</v>
      </c>
      <c r="P1076">
        <v>3</v>
      </c>
      <c r="Q1076" t="s">
        <v>41</v>
      </c>
      <c r="R1076" s="3">
        <v>6388</v>
      </c>
      <c r="S1076">
        <v>22049</v>
      </c>
      <c r="T1076">
        <v>2</v>
      </c>
      <c r="U1076" t="s">
        <v>35</v>
      </c>
      <c r="V1076" s="2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tr">
        <f t="shared" si="64"/>
        <v>26-35</v>
      </c>
      <c r="AH1076" t="str">
        <f t="shared" si="65"/>
        <v>Mid</v>
      </c>
      <c r="AI1076" s="1">
        <f>VLOOKUP(E1076,Lookup_Tables!$A$3:$B$5,2,)</f>
        <v>6281.2528616024974</v>
      </c>
      <c r="AJ1076" t="str">
        <f t="shared" si="66"/>
        <v>Above salary</v>
      </c>
      <c r="AK1076" t="str">
        <f t="shared" si="67"/>
        <v>Medium Risk</v>
      </c>
    </row>
    <row r="1077" spans="1:37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t="s">
        <v>46</v>
      </c>
      <c r="L1077">
        <v>64</v>
      </c>
      <c r="M1077">
        <v>3</v>
      </c>
      <c r="N1077">
        <v>3</v>
      </c>
      <c r="O1077" t="s">
        <v>56</v>
      </c>
      <c r="P1077">
        <v>4</v>
      </c>
      <c r="Q1077" t="s">
        <v>41</v>
      </c>
      <c r="R1077" s="3">
        <v>11244</v>
      </c>
      <c r="S1077">
        <v>21072</v>
      </c>
      <c r="T1077">
        <v>2</v>
      </c>
      <c r="U1077" t="s">
        <v>43</v>
      </c>
      <c r="V1077" s="2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tr">
        <f t="shared" si="64"/>
        <v>26-35</v>
      </c>
      <c r="AH1077" t="str">
        <f t="shared" si="65"/>
        <v>High</v>
      </c>
      <c r="AI1077" s="1">
        <f>VLOOKUP(E1077,Lookup_Tables!$A$3:$B$5,2,)</f>
        <v>6281.2528616024974</v>
      </c>
      <c r="AJ1077" t="str">
        <f t="shared" si="66"/>
        <v>Above salary</v>
      </c>
      <c r="AK1077" t="str">
        <f t="shared" si="67"/>
        <v>Low Risk</v>
      </c>
    </row>
    <row r="1078" spans="1:37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t="s">
        <v>39</v>
      </c>
      <c r="L1078">
        <v>87</v>
      </c>
      <c r="M1078">
        <v>3</v>
      </c>
      <c r="N1078">
        <v>4</v>
      </c>
      <c r="O1078" t="s">
        <v>56</v>
      </c>
      <c r="P1078">
        <v>4</v>
      </c>
      <c r="Q1078" t="s">
        <v>52</v>
      </c>
      <c r="R1078" s="3">
        <v>16032</v>
      </c>
      <c r="S1078">
        <v>24456</v>
      </c>
      <c r="T1078">
        <v>3</v>
      </c>
      <c r="U1078" t="s">
        <v>43</v>
      </c>
      <c r="V1078" s="2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tr">
        <f t="shared" si="64"/>
        <v>46+</v>
      </c>
      <c r="AH1078" t="str">
        <f t="shared" si="65"/>
        <v>Very High</v>
      </c>
      <c r="AI1078" s="1">
        <f>VLOOKUP(E1078,Lookup_Tables!$A$3:$B$5,2,)</f>
        <v>6281.2528616024974</v>
      </c>
      <c r="AJ1078" t="str">
        <f t="shared" si="66"/>
        <v>Above salary</v>
      </c>
      <c r="AK1078" t="str">
        <f t="shared" si="67"/>
        <v>Low Risk</v>
      </c>
    </row>
    <row r="1079" spans="1:37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1522</v>
      </c>
      <c r="J1079">
        <v>1</v>
      </c>
      <c r="K1079" t="s">
        <v>46</v>
      </c>
      <c r="L1079">
        <v>100</v>
      </c>
      <c r="M1079">
        <v>2</v>
      </c>
      <c r="N1079">
        <v>1</v>
      </c>
      <c r="O1079" t="s">
        <v>47</v>
      </c>
      <c r="P1079">
        <v>1</v>
      </c>
      <c r="Q1079" t="s">
        <v>41</v>
      </c>
      <c r="R1079" s="3">
        <v>2362</v>
      </c>
      <c r="S1079">
        <v>7568</v>
      </c>
      <c r="T1079">
        <v>6</v>
      </c>
      <c r="U1079" t="s">
        <v>43</v>
      </c>
      <c r="V1079" s="2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tr">
        <f t="shared" si="64"/>
        <v>26-35</v>
      </c>
      <c r="AH1079" t="str">
        <f t="shared" si="65"/>
        <v>Low</v>
      </c>
      <c r="AI1079" s="1">
        <f>VLOOKUP(E1079,Lookup_Tables!$A$3:$B$5,2,)</f>
        <v>6281.2528616024974</v>
      </c>
      <c r="AJ1079" t="str">
        <f t="shared" si="66"/>
        <v>Below salary</v>
      </c>
      <c r="AK1079" t="str">
        <f t="shared" si="67"/>
        <v>Medium Risk</v>
      </c>
    </row>
    <row r="1080" spans="1:37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46</v>
      </c>
      <c r="L1080">
        <v>32</v>
      </c>
      <c r="M1080">
        <v>3</v>
      </c>
      <c r="N1080">
        <v>4</v>
      </c>
      <c r="O1080" t="s">
        <v>58</v>
      </c>
      <c r="P1080">
        <v>1</v>
      </c>
      <c r="Q1080" t="s">
        <v>48</v>
      </c>
      <c r="R1080" s="3">
        <v>16328</v>
      </c>
      <c r="S1080">
        <v>22074</v>
      </c>
      <c r="T1080">
        <v>3</v>
      </c>
      <c r="U1080" t="s">
        <v>43</v>
      </c>
      <c r="V1080" s="2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tr">
        <f t="shared" si="64"/>
        <v>36-45</v>
      </c>
      <c r="AH1080" t="str">
        <f t="shared" si="65"/>
        <v>Very High</v>
      </c>
      <c r="AI1080" s="1">
        <f>VLOOKUP(E1080,Lookup_Tables!$A$3:$B$5,2,)</f>
        <v>6281.2528616024974</v>
      </c>
      <c r="AJ1080" t="str">
        <f t="shared" si="66"/>
        <v>Above salary</v>
      </c>
      <c r="AK1080" t="str">
        <f t="shared" si="67"/>
        <v>Medium Risk</v>
      </c>
    </row>
    <row r="1081" spans="1:37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32</v>
      </c>
      <c r="M1081">
        <v>3</v>
      </c>
      <c r="N1081">
        <v>3</v>
      </c>
      <c r="O1081" t="s">
        <v>53</v>
      </c>
      <c r="P1081">
        <v>2</v>
      </c>
      <c r="Q1081" t="s">
        <v>41</v>
      </c>
      <c r="R1081" s="3">
        <v>8376</v>
      </c>
      <c r="S1081">
        <v>9150</v>
      </c>
      <c r="T1081">
        <v>4</v>
      </c>
      <c r="U1081" t="s">
        <v>43</v>
      </c>
      <c r="V1081" s="2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tr">
        <f t="shared" si="64"/>
        <v>36-45</v>
      </c>
      <c r="AH1081" t="str">
        <f t="shared" si="65"/>
        <v>High</v>
      </c>
      <c r="AI1081" s="1">
        <f>VLOOKUP(E1081,Lookup_Tables!$A$3:$B$5,2,)</f>
        <v>6281.2528616024974</v>
      </c>
      <c r="AJ1081" t="str">
        <f t="shared" si="66"/>
        <v>Above salary</v>
      </c>
      <c r="AK1081" t="str">
        <f t="shared" si="67"/>
        <v>Medium Risk</v>
      </c>
    </row>
    <row r="1082" spans="1:37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51</v>
      </c>
      <c r="M1082">
        <v>3</v>
      </c>
      <c r="N1082">
        <v>4</v>
      </c>
      <c r="O1082" t="s">
        <v>56</v>
      </c>
      <c r="P1082">
        <v>2</v>
      </c>
      <c r="Q1082" t="s">
        <v>48</v>
      </c>
      <c r="R1082" s="3">
        <v>16606</v>
      </c>
      <c r="S1082">
        <v>11380</v>
      </c>
      <c r="T1082">
        <v>8</v>
      </c>
      <c r="U1082" t="s">
        <v>43</v>
      </c>
      <c r="V1082" s="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tr">
        <f t="shared" si="64"/>
        <v>46+</v>
      </c>
      <c r="AH1082" t="str">
        <f t="shared" si="65"/>
        <v>Very High</v>
      </c>
      <c r="AI1082" s="1">
        <f>VLOOKUP(E1082,Lookup_Tables!$A$3:$B$5,2,)</f>
        <v>6959.17264573991</v>
      </c>
      <c r="AJ1082" t="str">
        <f t="shared" si="66"/>
        <v>Above salary</v>
      </c>
      <c r="AK1082" t="str">
        <f t="shared" si="67"/>
        <v>Medium Risk</v>
      </c>
    </row>
    <row r="1083" spans="1:37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91</v>
      </c>
      <c r="M1083">
        <v>2</v>
      </c>
      <c r="N1083">
        <v>3</v>
      </c>
      <c r="O1083" t="s">
        <v>54</v>
      </c>
      <c r="P1083">
        <v>2</v>
      </c>
      <c r="Q1083" t="s">
        <v>41</v>
      </c>
      <c r="R1083" s="3">
        <v>8606</v>
      </c>
      <c r="S1083">
        <v>21195</v>
      </c>
      <c r="T1083">
        <v>1</v>
      </c>
      <c r="U1083" t="s">
        <v>43</v>
      </c>
      <c r="V1083" s="2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tr">
        <f t="shared" si="64"/>
        <v>26-35</v>
      </c>
      <c r="AH1083" t="str">
        <f t="shared" si="65"/>
        <v>High</v>
      </c>
      <c r="AI1083" s="1">
        <f>VLOOKUP(E1083,Lookup_Tables!$A$3:$B$5,2,)</f>
        <v>6281.2528616024974</v>
      </c>
      <c r="AJ1083" t="str">
        <f t="shared" si="66"/>
        <v>Above salary</v>
      </c>
      <c r="AK1083" t="str">
        <f t="shared" si="67"/>
        <v>Medium Risk</v>
      </c>
    </row>
    <row r="1084" spans="1:37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46</v>
      </c>
      <c r="L1084">
        <v>97</v>
      </c>
      <c r="M1084">
        <v>3</v>
      </c>
      <c r="N1084">
        <v>2</v>
      </c>
      <c r="O1084" t="s">
        <v>50</v>
      </c>
      <c r="P1084">
        <v>3</v>
      </c>
      <c r="Q1084" t="s">
        <v>41</v>
      </c>
      <c r="R1084" s="3">
        <v>2272</v>
      </c>
      <c r="S1084">
        <v>24812</v>
      </c>
      <c r="T1084">
        <v>0</v>
      </c>
      <c r="U1084" t="s">
        <v>43</v>
      </c>
      <c r="V1084" s="2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tr">
        <f t="shared" si="64"/>
        <v>18-25</v>
      </c>
      <c r="AH1084" t="str">
        <f t="shared" si="65"/>
        <v>Low</v>
      </c>
      <c r="AI1084" s="1">
        <f>VLOOKUP(E1084,Lookup_Tables!$A$3:$B$5,2,)</f>
        <v>6281.2528616024974</v>
      </c>
      <c r="AJ1084" t="str">
        <f t="shared" si="66"/>
        <v>Below salary</v>
      </c>
      <c r="AK1084" t="str">
        <f t="shared" si="67"/>
        <v>Low Risk</v>
      </c>
    </row>
    <row r="1085" spans="1:37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46</v>
      </c>
      <c r="L1085">
        <v>86</v>
      </c>
      <c r="M1085">
        <v>3</v>
      </c>
      <c r="N1085">
        <v>1</v>
      </c>
      <c r="O1085" t="s">
        <v>50</v>
      </c>
      <c r="P1085">
        <v>1</v>
      </c>
      <c r="Q1085" t="s">
        <v>41</v>
      </c>
      <c r="R1085" s="3">
        <v>2018</v>
      </c>
      <c r="S1085">
        <v>21831</v>
      </c>
      <c r="T1085">
        <v>3</v>
      </c>
      <c r="U1085" t="s">
        <v>43</v>
      </c>
      <c r="V1085" s="2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tr">
        <f t="shared" si="64"/>
        <v>36-45</v>
      </c>
      <c r="AH1085" t="str">
        <f t="shared" si="65"/>
        <v>Low</v>
      </c>
      <c r="AI1085" s="1">
        <f>VLOOKUP(E1085,Lookup_Tables!$A$3:$B$5,2,)</f>
        <v>6281.2528616024974</v>
      </c>
      <c r="AJ1085" t="str">
        <f t="shared" si="66"/>
        <v>Below salary</v>
      </c>
      <c r="AK1085" t="str">
        <f t="shared" si="67"/>
        <v>Medium Risk</v>
      </c>
    </row>
    <row r="1086" spans="1:37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1535</v>
      </c>
      <c r="J1086">
        <v>4</v>
      </c>
      <c r="K1086" t="s">
        <v>46</v>
      </c>
      <c r="L1086">
        <v>64</v>
      </c>
      <c r="M1086">
        <v>2</v>
      </c>
      <c r="N1086">
        <v>3</v>
      </c>
      <c r="O1086" t="s">
        <v>40</v>
      </c>
      <c r="P1086">
        <v>3</v>
      </c>
      <c r="Q1086" t="s">
        <v>48</v>
      </c>
      <c r="R1086" s="3">
        <v>7083</v>
      </c>
      <c r="S1086">
        <v>12288</v>
      </c>
      <c r="T1086">
        <v>1</v>
      </c>
      <c r="U1086" t="s">
        <v>35</v>
      </c>
      <c r="V1086" s="2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tr">
        <f t="shared" si="64"/>
        <v>26-35</v>
      </c>
      <c r="AH1086" t="str">
        <f t="shared" si="65"/>
        <v>High</v>
      </c>
      <c r="AI1086" s="1">
        <f>VLOOKUP(E1086,Lookup_Tables!$A$3:$B$5,2,)</f>
        <v>6959.17264573991</v>
      </c>
      <c r="AJ1086" t="str">
        <f t="shared" si="66"/>
        <v>Above salary</v>
      </c>
      <c r="AK1086" t="str">
        <f t="shared" si="67"/>
        <v>Medium Risk</v>
      </c>
    </row>
    <row r="1087" spans="1:37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33</v>
      </c>
      <c r="M1087">
        <v>3</v>
      </c>
      <c r="N1087">
        <v>1</v>
      </c>
      <c r="O1087" t="s">
        <v>47</v>
      </c>
      <c r="P1087">
        <v>3</v>
      </c>
      <c r="Q1087" t="s">
        <v>41</v>
      </c>
      <c r="R1087" s="3">
        <v>4084</v>
      </c>
      <c r="S1087">
        <v>4156</v>
      </c>
      <c r="T1087">
        <v>1</v>
      </c>
      <c r="U1087" t="s">
        <v>43</v>
      </c>
      <c r="V1087" s="2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tr">
        <f t="shared" si="64"/>
        <v>26-35</v>
      </c>
      <c r="AH1087" t="str">
        <f t="shared" si="65"/>
        <v>Mid</v>
      </c>
      <c r="AI1087" s="1">
        <f>VLOOKUP(E1087,Lookup_Tables!$A$3:$B$5,2,)</f>
        <v>6281.2528616024974</v>
      </c>
      <c r="AJ1087" t="str">
        <f t="shared" si="66"/>
        <v>Below salary</v>
      </c>
      <c r="AK1087" t="str">
        <f t="shared" si="67"/>
        <v>Low Risk</v>
      </c>
    </row>
    <row r="1088" spans="1:37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t="s">
        <v>46</v>
      </c>
      <c r="L1088">
        <v>88</v>
      </c>
      <c r="M1088">
        <v>1</v>
      </c>
      <c r="N1088">
        <v>4</v>
      </c>
      <c r="O1088" t="s">
        <v>58</v>
      </c>
      <c r="P1088">
        <v>4</v>
      </c>
      <c r="Q1088" t="s">
        <v>41</v>
      </c>
      <c r="R1088" s="3">
        <v>14411</v>
      </c>
      <c r="S1088">
        <v>24450</v>
      </c>
      <c r="T1088">
        <v>1</v>
      </c>
      <c r="U1088" t="s">
        <v>35</v>
      </c>
      <c r="V1088" s="2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tr">
        <f t="shared" si="64"/>
        <v>46+</v>
      </c>
      <c r="AH1088" t="str">
        <f t="shared" si="65"/>
        <v>Very High</v>
      </c>
      <c r="AI1088" s="1">
        <f>VLOOKUP(E1088,Lookup_Tables!$A$3:$B$5,2,)</f>
        <v>6281.2528616024974</v>
      </c>
      <c r="AJ1088" t="str">
        <f t="shared" si="66"/>
        <v>Above salary</v>
      </c>
      <c r="AK1088" t="str">
        <f t="shared" si="67"/>
        <v>Medium Risk</v>
      </c>
    </row>
    <row r="1089" spans="1:37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1541</v>
      </c>
      <c r="J1089">
        <v>2</v>
      </c>
      <c r="K1089" t="s">
        <v>46</v>
      </c>
      <c r="L1089">
        <v>55</v>
      </c>
      <c r="M1089">
        <v>3</v>
      </c>
      <c r="N1089">
        <v>1</v>
      </c>
      <c r="O1089" t="s">
        <v>57</v>
      </c>
      <c r="P1089">
        <v>3</v>
      </c>
      <c r="Q1089" t="s">
        <v>48</v>
      </c>
      <c r="R1089" s="3">
        <v>2308</v>
      </c>
      <c r="S1089">
        <v>4944</v>
      </c>
      <c r="T1089">
        <v>0</v>
      </c>
      <c r="U1089" t="s">
        <v>35</v>
      </c>
      <c r="V1089" s="2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tr">
        <f t="shared" si="64"/>
        <v>26-35</v>
      </c>
      <c r="AH1089" t="str">
        <f t="shared" si="65"/>
        <v>Low</v>
      </c>
      <c r="AI1089" s="1">
        <f>VLOOKUP(E1089,Lookup_Tables!$A$3:$B$5,2,)</f>
        <v>6959.17264573991</v>
      </c>
      <c r="AJ1089" t="str">
        <f t="shared" si="66"/>
        <v>Below salary</v>
      </c>
      <c r="AK1089" t="str">
        <f t="shared" si="67"/>
        <v>Medium Risk</v>
      </c>
    </row>
    <row r="1090" spans="1:37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t="s">
        <v>46</v>
      </c>
      <c r="L1090">
        <v>68</v>
      </c>
      <c r="M1090">
        <v>2</v>
      </c>
      <c r="N1090">
        <v>1</v>
      </c>
      <c r="O1090" t="s">
        <v>50</v>
      </c>
      <c r="P1090">
        <v>2</v>
      </c>
      <c r="Q1090" t="s">
        <v>48</v>
      </c>
      <c r="R1090" s="3">
        <v>4841</v>
      </c>
      <c r="S1090">
        <v>24052</v>
      </c>
      <c r="T1090">
        <v>4</v>
      </c>
      <c r="U1090" t="s">
        <v>43</v>
      </c>
      <c r="V1090" s="2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tr">
        <f t="shared" ref="AG1090:AG1153" si="68">IF(A1090&lt;=25,"18-25",IF(A1090&lt;= 35, "26-35",IF(A1090&lt;=45, "36-45","46+")))</f>
        <v>36-45</v>
      </c>
      <c r="AH1090" t="str">
        <f t="shared" ref="AH1090:AH1153" si="69">IF(R1090&lt;3000,"Low",IF(R1090&lt;7000,"Mid", IF(R1090&lt;12000, "High", "Very High")))</f>
        <v>Mid</v>
      </c>
      <c r="AI1090" s="1">
        <f>VLOOKUP(E1090,Lookup_Tables!$A$3:$B$5,2,)</f>
        <v>6281.2528616024974</v>
      </c>
      <c r="AJ1090" t="str">
        <f t="shared" ref="AJ1090:AJ1153" si="70">IF(R1090&gt;AI1090, "Above salary","Below salary")</f>
        <v>Below salary</v>
      </c>
      <c r="AK1090" t="str">
        <f t="shared" si="67"/>
        <v>Medium Risk</v>
      </c>
    </row>
    <row r="1091" spans="1:37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t="s">
        <v>46</v>
      </c>
      <c r="L1091">
        <v>47</v>
      </c>
      <c r="M1091">
        <v>3</v>
      </c>
      <c r="N1091">
        <v>2</v>
      </c>
      <c r="O1091" t="s">
        <v>47</v>
      </c>
      <c r="P1091">
        <v>4</v>
      </c>
      <c r="Q1091" t="s">
        <v>48</v>
      </c>
      <c r="R1091" s="3">
        <v>4285</v>
      </c>
      <c r="S1091">
        <v>3031</v>
      </c>
      <c r="T1091">
        <v>1</v>
      </c>
      <c r="U1091" t="s">
        <v>43</v>
      </c>
      <c r="V1091" s="2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tr">
        <f t="shared" si="68"/>
        <v>36-45</v>
      </c>
      <c r="AH1091" t="str">
        <f t="shared" si="69"/>
        <v>Mid</v>
      </c>
      <c r="AI1091" s="1">
        <f>VLOOKUP(E1091,Lookup_Tables!$A$3:$B$5,2,)</f>
        <v>6281.2528616024974</v>
      </c>
      <c r="AJ1091" t="str">
        <f t="shared" si="70"/>
        <v>Below salary</v>
      </c>
      <c r="AK1091" t="str">
        <f t="shared" ref="AK1091:AK1154" si="71">IF(AND(P1091&lt;=2,U1091="Yes"),"High Risk",IF(OR(P1091&lt;=2,U1091="Yes"),"Medium Risk","Low Risk"))</f>
        <v>Low Risk</v>
      </c>
    </row>
    <row r="1092" spans="1:37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t="s">
        <v>39</v>
      </c>
      <c r="L1092">
        <v>39</v>
      </c>
      <c r="M1092">
        <v>1</v>
      </c>
      <c r="N1092">
        <v>2</v>
      </c>
      <c r="O1092" t="s">
        <v>54</v>
      </c>
      <c r="P1092">
        <v>1</v>
      </c>
      <c r="Q1092" t="s">
        <v>48</v>
      </c>
      <c r="R1092" s="3">
        <v>9715</v>
      </c>
      <c r="S1092">
        <v>7288</v>
      </c>
      <c r="T1092">
        <v>3</v>
      </c>
      <c r="U1092" t="s">
        <v>43</v>
      </c>
      <c r="V1092" s="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tr">
        <f t="shared" si="68"/>
        <v>26-35</v>
      </c>
      <c r="AH1092" t="str">
        <f t="shared" si="69"/>
        <v>High</v>
      </c>
      <c r="AI1092" s="1">
        <f>VLOOKUP(E1092,Lookup_Tables!$A$3:$B$5,2,)</f>
        <v>6281.2528616024974</v>
      </c>
      <c r="AJ1092" t="str">
        <f t="shared" si="70"/>
        <v>Above salary</v>
      </c>
      <c r="AK1092" t="str">
        <f t="shared" si="71"/>
        <v>Medium Risk</v>
      </c>
    </row>
    <row r="1093" spans="1:37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46</v>
      </c>
      <c r="L1093">
        <v>44</v>
      </c>
      <c r="M1093">
        <v>2</v>
      </c>
      <c r="N1093">
        <v>2</v>
      </c>
      <c r="O1093" t="s">
        <v>53</v>
      </c>
      <c r="P1093">
        <v>2</v>
      </c>
      <c r="Q1093" t="s">
        <v>41</v>
      </c>
      <c r="R1093" s="3">
        <v>4320</v>
      </c>
      <c r="S1093">
        <v>24152</v>
      </c>
      <c r="T1093">
        <v>1</v>
      </c>
      <c r="U1093" t="s">
        <v>43</v>
      </c>
      <c r="V1093" s="2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tr">
        <f t="shared" si="68"/>
        <v>26-35</v>
      </c>
      <c r="AH1093" t="str">
        <f t="shared" si="69"/>
        <v>Mid</v>
      </c>
      <c r="AI1093" s="1">
        <f>VLOOKUP(E1093,Lookup_Tables!$A$3:$B$5,2,)</f>
        <v>6281.2528616024974</v>
      </c>
      <c r="AJ1093" t="str">
        <f t="shared" si="70"/>
        <v>Below salary</v>
      </c>
      <c r="AK1093" t="str">
        <f t="shared" si="71"/>
        <v>Medium Risk</v>
      </c>
    </row>
    <row r="1094" spans="1:37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1546</v>
      </c>
      <c r="J1094">
        <v>4</v>
      </c>
      <c r="K1094" t="s">
        <v>46</v>
      </c>
      <c r="L1094">
        <v>97</v>
      </c>
      <c r="M1094">
        <v>3</v>
      </c>
      <c r="N1094">
        <v>1</v>
      </c>
      <c r="O1094" t="s">
        <v>47</v>
      </c>
      <c r="P1094">
        <v>4</v>
      </c>
      <c r="Q1094" t="s">
        <v>48</v>
      </c>
      <c r="R1094" s="3">
        <v>2132</v>
      </c>
      <c r="S1094">
        <v>4585</v>
      </c>
      <c r="T1094">
        <v>4</v>
      </c>
      <c r="U1094" t="s">
        <v>43</v>
      </c>
      <c r="V1094" s="2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tr">
        <f t="shared" si="68"/>
        <v>36-45</v>
      </c>
      <c r="AH1094" t="str">
        <f t="shared" si="69"/>
        <v>Low</v>
      </c>
      <c r="AI1094" s="1">
        <f>VLOOKUP(E1094,Lookup_Tables!$A$3:$B$5,2,)</f>
        <v>6281.2528616024974</v>
      </c>
      <c r="AJ1094" t="str">
        <f t="shared" si="70"/>
        <v>Below salary</v>
      </c>
      <c r="AK1094" t="str">
        <f t="shared" si="71"/>
        <v>Low Risk</v>
      </c>
    </row>
    <row r="1095" spans="1:37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46</v>
      </c>
      <c r="L1095">
        <v>40</v>
      </c>
      <c r="M1095">
        <v>3</v>
      </c>
      <c r="N1095">
        <v>3</v>
      </c>
      <c r="O1095" t="s">
        <v>54</v>
      </c>
      <c r="P1095">
        <v>4</v>
      </c>
      <c r="Q1095" t="s">
        <v>48</v>
      </c>
      <c r="R1095" s="3">
        <v>10124</v>
      </c>
      <c r="S1095">
        <v>18611</v>
      </c>
      <c r="T1095">
        <v>2</v>
      </c>
      <c r="U1095" t="s">
        <v>35</v>
      </c>
      <c r="V1095" s="2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tr">
        <f t="shared" si="68"/>
        <v>36-45</v>
      </c>
      <c r="AH1095" t="str">
        <f t="shared" si="69"/>
        <v>High</v>
      </c>
      <c r="AI1095" s="1">
        <f>VLOOKUP(E1095,Lookup_Tables!$A$3:$B$5,2,)</f>
        <v>6281.2528616024974</v>
      </c>
      <c r="AJ1095" t="str">
        <f t="shared" si="70"/>
        <v>Above salary</v>
      </c>
      <c r="AK1095" t="str">
        <f t="shared" si="71"/>
        <v>Medium Risk</v>
      </c>
    </row>
    <row r="1096" spans="1:37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t="s">
        <v>46</v>
      </c>
      <c r="L1096">
        <v>47</v>
      </c>
      <c r="M1096">
        <v>3</v>
      </c>
      <c r="N1096">
        <v>2</v>
      </c>
      <c r="O1096" t="s">
        <v>40</v>
      </c>
      <c r="P1096">
        <v>1</v>
      </c>
      <c r="Q1096" t="s">
        <v>48</v>
      </c>
      <c r="R1096" s="3">
        <v>5473</v>
      </c>
      <c r="S1096">
        <v>19345</v>
      </c>
      <c r="T1096">
        <v>0</v>
      </c>
      <c r="U1096" t="s">
        <v>43</v>
      </c>
      <c r="V1096" s="2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tr">
        <f t="shared" si="68"/>
        <v>36-45</v>
      </c>
      <c r="AH1096" t="str">
        <f t="shared" si="69"/>
        <v>Mid</v>
      </c>
      <c r="AI1096" s="1">
        <f>VLOOKUP(E1096,Lookup_Tables!$A$3:$B$5,2,)</f>
        <v>6959.17264573991</v>
      </c>
      <c r="AJ1096" t="str">
        <f t="shared" si="70"/>
        <v>Below salary</v>
      </c>
      <c r="AK1096" t="str">
        <f t="shared" si="71"/>
        <v>Medium Risk</v>
      </c>
    </row>
    <row r="1097" spans="1:37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46</v>
      </c>
      <c r="L1097">
        <v>79</v>
      </c>
      <c r="M1097">
        <v>3</v>
      </c>
      <c r="N1097">
        <v>2</v>
      </c>
      <c r="O1097" t="s">
        <v>50</v>
      </c>
      <c r="P1097">
        <v>3</v>
      </c>
      <c r="Q1097" t="s">
        <v>48</v>
      </c>
      <c r="R1097" s="3">
        <v>5207</v>
      </c>
      <c r="S1097">
        <v>22949</v>
      </c>
      <c r="T1097">
        <v>1</v>
      </c>
      <c r="U1097" t="s">
        <v>35</v>
      </c>
      <c r="V1097" s="2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tr">
        <f t="shared" si="68"/>
        <v>26-35</v>
      </c>
      <c r="AH1097" t="str">
        <f t="shared" si="69"/>
        <v>Mid</v>
      </c>
      <c r="AI1097" s="1">
        <f>VLOOKUP(E1097,Lookup_Tables!$A$3:$B$5,2,)</f>
        <v>6281.2528616024974</v>
      </c>
      <c r="AJ1097" t="str">
        <f t="shared" si="70"/>
        <v>Below salary</v>
      </c>
      <c r="AK1097" t="str">
        <f t="shared" si="71"/>
        <v>Medium Risk</v>
      </c>
    </row>
    <row r="1098" spans="1:37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t="s">
        <v>46</v>
      </c>
      <c r="L1098">
        <v>38</v>
      </c>
      <c r="M1098">
        <v>3</v>
      </c>
      <c r="N1098">
        <v>4</v>
      </c>
      <c r="O1098" t="s">
        <v>56</v>
      </c>
      <c r="P1098">
        <v>4</v>
      </c>
      <c r="Q1098" t="s">
        <v>41</v>
      </c>
      <c r="R1098" s="3">
        <v>16437</v>
      </c>
      <c r="S1098">
        <v>17381</v>
      </c>
      <c r="T1098">
        <v>1</v>
      </c>
      <c r="U1098" t="s">
        <v>35</v>
      </c>
      <c r="V1098" s="2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tr">
        <f t="shared" si="68"/>
        <v>36-45</v>
      </c>
      <c r="AH1098" t="str">
        <f t="shared" si="69"/>
        <v>Very High</v>
      </c>
      <c r="AI1098" s="1">
        <f>VLOOKUP(E1098,Lookup_Tables!$A$3:$B$5,2,)</f>
        <v>6654.5079365079364</v>
      </c>
      <c r="AJ1098" t="str">
        <f t="shared" si="70"/>
        <v>Above salary</v>
      </c>
      <c r="AK1098" t="str">
        <f t="shared" si="71"/>
        <v>Medium Risk</v>
      </c>
    </row>
    <row r="1099" spans="1:37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1551</v>
      </c>
      <c r="J1099">
        <v>3</v>
      </c>
      <c r="K1099" t="s">
        <v>46</v>
      </c>
      <c r="L1099">
        <v>57</v>
      </c>
      <c r="M1099">
        <v>2</v>
      </c>
      <c r="N1099">
        <v>1</v>
      </c>
      <c r="O1099" t="s">
        <v>50</v>
      </c>
      <c r="P1099">
        <v>1</v>
      </c>
      <c r="Q1099" t="s">
        <v>52</v>
      </c>
      <c r="R1099" s="3">
        <v>2296</v>
      </c>
      <c r="S1099">
        <v>10036</v>
      </c>
      <c r="T1099">
        <v>0</v>
      </c>
      <c r="U1099" t="s">
        <v>43</v>
      </c>
      <c r="V1099" s="2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tr">
        <f t="shared" si="68"/>
        <v>18-25</v>
      </c>
      <c r="AH1099" t="str">
        <f t="shared" si="69"/>
        <v>Low</v>
      </c>
      <c r="AI1099" s="1">
        <f>VLOOKUP(E1099,Lookup_Tables!$A$3:$B$5,2,)</f>
        <v>6281.2528616024974</v>
      </c>
      <c r="AJ1099" t="str">
        <f t="shared" si="70"/>
        <v>Below salary</v>
      </c>
      <c r="AK1099" t="str">
        <f t="shared" si="71"/>
        <v>Medium Risk</v>
      </c>
    </row>
    <row r="1100" spans="1:37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46</v>
      </c>
      <c r="L1100">
        <v>72</v>
      </c>
      <c r="M1100">
        <v>3</v>
      </c>
      <c r="N1100">
        <v>2</v>
      </c>
      <c r="O1100" t="s">
        <v>54</v>
      </c>
      <c r="P1100">
        <v>4</v>
      </c>
      <c r="Q1100" t="s">
        <v>52</v>
      </c>
      <c r="R1100" s="3">
        <v>4069</v>
      </c>
      <c r="S1100">
        <v>8841</v>
      </c>
      <c r="T1100">
        <v>3</v>
      </c>
      <c r="U1100" t="s">
        <v>35</v>
      </c>
      <c r="V1100" s="2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tr">
        <f t="shared" si="68"/>
        <v>36-45</v>
      </c>
      <c r="AH1100" t="str">
        <f t="shared" si="69"/>
        <v>Mid</v>
      </c>
      <c r="AI1100" s="1">
        <f>VLOOKUP(E1100,Lookup_Tables!$A$3:$B$5,2,)</f>
        <v>6281.2528616024974</v>
      </c>
      <c r="AJ1100" t="str">
        <f t="shared" si="70"/>
        <v>Below salary</v>
      </c>
      <c r="AK1100" t="str">
        <f t="shared" si="71"/>
        <v>Medium Risk</v>
      </c>
    </row>
    <row r="1101" spans="1:37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1553</v>
      </c>
      <c r="J1101">
        <v>1</v>
      </c>
      <c r="K1101" t="s">
        <v>46</v>
      </c>
      <c r="L1101">
        <v>66</v>
      </c>
      <c r="M1101">
        <v>3</v>
      </c>
      <c r="N1101">
        <v>3</v>
      </c>
      <c r="O1101" t="s">
        <v>54</v>
      </c>
      <c r="P1101">
        <v>2</v>
      </c>
      <c r="Q1101" t="s">
        <v>52</v>
      </c>
      <c r="R1101" s="3">
        <v>7441</v>
      </c>
      <c r="S1101">
        <v>20933</v>
      </c>
      <c r="T1101">
        <v>1</v>
      </c>
      <c r="U1101" t="s">
        <v>43</v>
      </c>
      <c r="V1101" s="2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tr">
        <f t="shared" si="68"/>
        <v>36-45</v>
      </c>
      <c r="AH1101" t="str">
        <f t="shared" si="69"/>
        <v>High</v>
      </c>
      <c r="AI1101" s="1">
        <f>VLOOKUP(E1101,Lookup_Tables!$A$3:$B$5,2,)</f>
        <v>6281.2528616024974</v>
      </c>
      <c r="AJ1101" t="str">
        <f t="shared" si="70"/>
        <v>Above salary</v>
      </c>
      <c r="AK1101" t="str">
        <f t="shared" si="71"/>
        <v>Medium Risk</v>
      </c>
    </row>
    <row r="1102" spans="1:37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98</v>
      </c>
      <c r="M1102">
        <v>2</v>
      </c>
      <c r="N1102">
        <v>1</v>
      </c>
      <c r="O1102" t="s">
        <v>57</v>
      </c>
      <c r="P1102">
        <v>3</v>
      </c>
      <c r="Q1102" t="s">
        <v>48</v>
      </c>
      <c r="R1102" s="3">
        <v>2430</v>
      </c>
      <c r="S1102">
        <v>26204</v>
      </c>
      <c r="T1102">
        <v>0</v>
      </c>
      <c r="U1102" t="s">
        <v>43</v>
      </c>
      <c r="V1102" s="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tr">
        <f t="shared" si="68"/>
        <v>26-35</v>
      </c>
      <c r="AH1102" t="str">
        <f t="shared" si="69"/>
        <v>Low</v>
      </c>
      <c r="AI1102" s="1">
        <f>VLOOKUP(E1102,Lookup_Tables!$A$3:$B$5,2,)</f>
        <v>6959.17264573991</v>
      </c>
      <c r="AJ1102" t="str">
        <f t="shared" si="70"/>
        <v>Below salary</v>
      </c>
      <c r="AK1102" t="str">
        <f t="shared" si="71"/>
        <v>Low Risk</v>
      </c>
    </row>
    <row r="1103" spans="1:37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67</v>
      </c>
      <c r="M1103">
        <v>2</v>
      </c>
      <c r="N1103">
        <v>2</v>
      </c>
      <c r="O1103" t="s">
        <v>47</v>
      </c>
      <c r="P1103">
        <v>2</v>
      </c>
      <c r="Q1103" t="s">
        <v>48</v>
      </c>
      <c r="R1103" s="3">
        <v>5878</v>
      </c>
      <c r="S1103">
        <v>15624</v>
      </c>
      <c r="T1103">
        <v>3</v>
      </c>
      <c r="U1103" t="s">
        <v>43</v>
      </c>
      <c r="V1103" s="2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tr">
        <f t="shared" si="68"/>
        <v>26-35</v>
      </c>
      <c r="AH1103" t="str">
        <f t="shared" si="69"/>
        <v>Mid</v>
      </c>
      <c r="AI1103" s="1">
        <f>VLOOKUP(E1103,Lookup_Tables!$A$3:$B$5,2,)</f>
        <v>6281.2528616024974</v>
      </c>
      <c r="AJ1103" t="str">
        <f t="shared" si="70"/>
        <v>Below salary</v>
      </c>
      <c r="AK1103" t="str">
        <f t="shared" si="71"/>
        <v>Medium Risk</v>
      </c>
    </row>
    <row r="1104" spans="1:37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46</v>
      </c>
      <c r="L1104">
        <v>70</v>
      </c>
      <c r="M1104">
        <v>3</v>
      </c>
      <c r="N1104">
        <v>1</v>
      </c>
      <c r="O1104" t="s">
        <v>57</v>
      </c>
      <c r="P1104">
        <v>4</v>
      </c>
      <c r="Q1104" t="s">
        <v>41</v>
      </c>
      <c r="R1104" s="3">
        <v>2644</v>
      </c>
      <c r="S1104">
        <v>17001</v>
      </c>
      <c r="T1104">
        <v>3</v>
      </c>
      <c r="U1104" t="s">
        <v>35</v>
      </c>
      <c r="V1104" s="2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tr">
        <f t="shared" si="68"/>
        <v>36-45</v>
      </c>
      <c r="AH1104" t="str">
        <f t="shared" si="69"/>
        <v>Low</v>
      </c>
      <c r="AI1104" s="1">
        <f>VLOOKUP(E1104,Lookup_Tables!$A$3:$B$5,2,)</f>
        <v>6959.17264573991</v>
      </c>
      <c r="AJ1104" t="str">
        <f t="shared" si="70"/>
        <v>Below salary</v>
      </c>
      <c r="AK1104" t="str">
        <f t="shared" si="71"/>
        <v>Medium Risk</v>
      </c>
    </row>
    <row r="1105" spans="1:37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96</v>
      </c>
      <c r="M1105">
        <v>3</v>
      </c>
      <c r="N1105">
        <v>2</v>
      </c>
      <c r="O1105" t="s">
        <v>40</v>
      </c>
      <c r="P1105">
        <v>3</v>
      </c>
      <c r="Q1105" t="s">
        <v>52</v>
      </c>
      <c r="R1105" s="3">
        <v>6439</v>
      </c>
      <c r="S1105">
        <v>13693</v>
      </c>
      <c r="T1105">
        <v>8</v>
      </c>
      <c r="U1105" t="s">
        <v>43</v>
      </c>
      <c r="V1105" s="2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tr">
        <f t="shared" si="68"/>
        <v>46+</v>
      </c>
      <c r="AH1105" t="str">
        <f t="shared" si="69"/>
        <v>Mid</v>
      </c>
      <c r="AI1105" s="1">
        <f>VLOOKUP(E1105,Lookup_Tables!$A$3:$B$5,2,)</f>
        <v>6959.17264573991</v>
      </c>
      <c r="AJ1105" t="str">
        <f t="shared" si="70"/>
        <v>Below salary</v>
      </c>
      <c r="AK1105" t="str">
        <f t="shared" si="71"/>
        <v>Low Risk</v>
      </c>
    </row>
    <row r="1106" spans="1:37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46</v>
      </c>
      <c r="L1106">
        <v>91</v>
      </c>
      <c r="M1106">
        <v>4</v>
      </c>
      <c r="N1106">
        <v>1</v>
      </c>
      <c r="O1106" t="s">
        <v>47</v>
      </c>
      <c r="P1106">
        <v>3</v>
      </c>
      <c r="Q1106" t="s">
        <v>48</v>
      </c>
      <c r="R1106" s="3">
        <v>2451</v>
      </c>
      <c r="S1106">
        <v>22376</v>
      </c>
      <c r="T1106">
        <v>6</v>
      </c>
      <c r="U1106" t="s">
        <v>43</v>
      </c>
      <c r="V1106" s="2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tr">
        <f t="shared" si="68"/>
        <v>26-35</v>
      </c>
      <c r="AH1106" t="str">
        <f t="shared" si="69"/>
        <v>Low</v>
      </c>
      <c r="AI1106" s="1">
        <f>VLOOKUP(E1106,Lookup_Tables!$A$3:$B$5,2,)</f>
        <v>6281.2528616024974</v>
      </c>
      <c r="AJ1106" t="str">
        <f t="shared" si="70"/>
        <v>Below salary</v>
      </c>
      <c r="AK1106" t="str">
        <f t="shared" si="71"/>
        <v>Low Risk</v>
      </c>
    </row>
    <row r="1107" spans="1:37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46</v>
      </c>
      <c r="L1107">
        <v>46</v>
      </c>
      <c r="M1107">
        <v>3</v>
      </c>
      <c r="N1107">
        <v>2</v>
      </c>
      <c r="O1107" t="s">
        <v>40</v>
      </c>
      <c r="P1107">
        <v>1</v>
      </c>
      <c r="Q1107" t="s">
        <v>48</v>
      </c>
      <c r="R1107" s="3">
        <v>6392</v>
      </c>
      <c r="S1107">
        <v>10589</v>
      </c>
      <c r="T1107">
        <v>2</v>
      </c>
      <c r="U1107" t="s">
        <v>43</v>
      </c>
      <c r="V1107" s="2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tr">
        <f t="shared" si="68"/>
        <v>26-35</v>
      </c>
      <c r="AH1107" t="str">
        <f t="shared" si="69"/>
        <v>Mid</v>
      </c>
      <c r="AI1107" s="1">
        <f>VLOOKUP(E1107,Lookup_Tables!$A$3:$B$5,2,)</f>
        <v>6959.17264573991</v>
      </c>
      <c r="AJ1107" t="str">
        <f t="shared" si="70"/>
        <v>Below salary</v>
      </c>
      <c r="AK1107" t="str">
        <f t="shared" si="71"/>
        <v>Medium Risk</v>
      </c>
    </row>
    <row r="1108" spans="1:37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46</v>
      </c>
      <c r="L1108">
        <v>64</v>
      </c>
      <c r="M1108">
        <v>2</v>
      </c>
      <c r="N1108">
        <v>2</v>
      </c>
      <c r="O1108" t="s">
        <v>40</v>
      </c>
      <c r="P1108">
        <v>1</v>
      </c>
      <c r="Q1108" t="s">
        <v>48</v>
      </c>
      <c r="R1108" s="3">
        <v>9714</v>
      </c>
      <c r="S1108">
        <v>5323</v>
      </c>
      <c r="T1108">
        <v>1</v>
      </c>
      <c r="U1108" t="s">
        <v>43</v>
      </c>
      <c r="V1108" s="2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tr">
        <f t="shared" si="68"/>
        <v>26-35</v>
      </c>
      <c r="AH1108" t="str">
        <f t="shared" si="69"/>
        <v>High</v>
      </c>
      <c r="AI1108" s="1">
        <f>VLOOKUP(E1108,Lookup_Tables!$A$3:$B$5,2,)</f>
        <v>6959.17264573991</v>
      </c>
      <c r="AJ1108" t="str">
        <f t="shared" si="70"/>
        <v>Above salary</v>
      </c>
      <c r="AK1108" t="str">
        <f t="shared" si="71"/>
        <v>Medium Risk</v>
      </c>
    </row>
    <row r="1109" spans="1:37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1563</v>
      </c>
      <c r="J1109">
        <v>3</v>
      </c>
      <c r="K1109" t="s">
        <v>46</v>
      </c>
      <c r="L1109">
        <v>71</v>
      </c>
      <c r="M1109">
        <v>3</v>
      </c>
      <c r="N1109">
        <v>2</v>
      </c>
      <c r="O1109" t="s">
        <v>61</v>
      </c>
      <c r="P1109">
        <v>3</v>
      </c>
      <c r="Q1109" t="s">
        <v>48</v>
      </c>
      <c r="R1109" s="3">
        <v>6077</v>
      </c>
      <c r="S1109">
        <v>14814</v>
      </c>
      <c r="T1109">
        <v>3</v>
      </c>
      <c r="U1109" t="s">
        <v>43</v>
      </c>
      <c r="V1109" s="2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tr">
        <f t="shared" si="68"/>
        <v>36-45</v>
      </c>
      <c r="AH1109" t="str">
        <f t="shared" si="69"/>
        <v>Mid</v>
      </c>
      <c r="AI1109" s="1">
        <f>VLOOKUP(E1109,Lookup_Tables!$A$3:$B$5,2,)</f>
        <v>6654.5079365079364</v>
      </c>
      <c r="AJ1109" t="str">
        <f t="shared" si="70"/>
        <v>Below salary</v>
      </c>
      <c r="AK1109" t="str">
        <f t="shared" si="71"/>
        <v>Low Risk</v>
      </c>
    </row>
    <row r="1110" spans="1:37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t="s">
        <v>46</v>
      </c>
      <c r="L1110">
        <v>68</v>
      </c>
      <c r="M1110">
        <v>2</v>
      </c>
      <c r="N1110">
        <v>1</v>
      </c>
      <c r="O1110" t="s">
        <v>50</v>
      </c>
      <c r="P1110">
        <v>1</v>
      </c>
      <c r="Q1110" t="s">
        <v>41</v>
      </c>
      <c r="R1110" s="3">
        <v>2450</v>
      </c>
      <c r="S1110">
        <v>21731</v>
      </c>
      <c r="T1110">
        <v>1</v>
      </c>
      <c r="U1110" t="s">
        <v>43</v>
      </c>
      <c r="V1110" s="2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tr">
        <f t="shared" si="68"/>
        <v>26-35</v>
      </c>
      <c r="AH1110" t="str">
        <f t="shared" si="69"/>
        <v>Low</v>
      </c>
      <c r="AI1110" s="1">
        <f>VLOOKUP(E1110,Lookup_Tables!$A$3:$B$5,2,)</f>
        <v>6281.2528616024974</v>
      </c>
      <c r="AJ1110" t="str">
        <f t="shared" si="70"/>
        <v>Below salary</v>
      </c>
      <c r="AK1110" t="str">
        <f t="shared" si="71"/>
        <v>Medium Risk</v>
      </c>
    </row>
    <row r="1111" spans="1:37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1568</v>
      </c>
      <c r="J1111">
        <v>3</v>
      </c>
      <c r="K1111" t="s">
        <v>46</v>
      </c>
      <c r="L1111">
        <v>33</v>
      </c>
      <c r="M1111">
        <v>3</v>
      </c>
      <c r="N1111">
        <v>3</v>
      </c>
      <c r="O1111" t="s">
        <v>40</v>
      </c>
      <c r="P1111">
        <v>2</v>
      </c>
      <c r="Q1111" t="s">
        <v>48</v>
      </c>
      <c r="R1111" s="3">
        <v>9250</v>
      </c>
      <c r="S1111">
        <v>17799</v>
      </c>
      <c r="T1111">
        <v>3</v>
      </c>
      <c r="U1111" t="s">
        <v>43</v>
      </c>
      <c r="V1111" s="2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tr">
        <f t="shared" si="68"/>
        <v>26-35</v>
      </c>
      <c r="AH1111" t="str">
        <f t="shared" si="69"/>
        <v>High</v>
      </c>
      <c r="AI1111" s="1">
        <f>VLOOKUP(E1111,Lookup_Tables!$A$3:$B$5,2,)</f>
        <v>6959.17264573991</v>
      </c>
      <c r="AJ1111" t="str">
        <f t="shared" si="70"/>
        <v>Above salary</v>
      </c>
      <c r="AK1111" t="str">
        <f t="shared" si="71"/>
        <v>Medium Risk</v>
      </c>
    </row>
    <row r="1112" spans="1:37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69</v>
      </c>
      <c r="M1112">
        <v>3</v>
      </c>
      <c r="N1112">
        <v>1</v>
      </c>
      <c r="O1112" t="s">
        <v>50</v>
      </c>
      <c r="P1112">
        <v>1</v>
      </c>
      <c r="Q1112" t="s">
        <v>52</v>
      </c>
      <c r="R1112" s="3">
        <v>2074</v>
      </c>
      <c r="S1112">
        <v>26619</v>
      </c>
      <c r="T1112">
        <v>1</v>
      </c>
      <c r="U1112" t="s">
        <v>35</v>
      </c>
      <c r="V1112" s="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tr">
        <f t="shared" si="68"/>
        <v>26-35</v>
      </c>
      <c r="AH1112" t="str">
        <f t="shared" si="69"/>
        <v>Low</v>
      </c>
      <c r="AI1112" s="1">
        <f>VLOOKUP(E1112,Lookup_Tables!$A$3:$B$5,2,)</f>
        <v>6281.2528616024974</v>
      </c>
      <c r="AJ1112" t="str">
        <f t="shared" si="70"/>
        <v>Below salary</v>
      </c>
      <c r="AK1112" t="str">
        <f t="shared" si="71"/>
        <v>High Risk</v>
      </c>
    </row>
    <row r="1113" spans="1:37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1572</v>
      </c>
      <c r="J1113">
        <v>3</v>
      </c>
      <c r="K1113" t="s">
        <v>39</v>
      </c>
      <c r="L1113">
        <v>78</v>
      </c>
      <c r="M1113">
        <v>2</v>
      </c>
      <c r="N1113">
        <v>3</v>
      </c>
      <c r="O1113" t="s">
        <v>53</v>
      </c>
      <c r="P1113">
        <v>4</v>
      </c>
      <c r="Q1113" t="s">
        <v>48</v>
      </c>
      <c r="R1113" s="3">
        <v>10169</v>
      </c>
      <c r="S1113">
        <v>14618</v>
      </c>
      <c r="T1113">
        <v>0</v>
      </c>
      <c r="U1113" t="s">
        <v>43</v>
      </c>
      <c r="V1113" s="2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tr">
        <f t="shared" si="68"/>
        <v>46+</v>
      </c>
      <c r="AH1113" t="str">
        <f t="shared" si="69"/>
        <v>High</v>
      </c>
      <c r="AI1113" s="1">
        <f>VLOOKUP(E1113,Lookup_Tables!$A$3:$B$5,2,)</f>
        <v>6281.2528616024974</v>
      </c>
      <c r="AJ1113" t="str">
        <f t="shared" si="70"/>
        <v>Above salary</v>
      </c>
      <c r="AK1113" t="str">
        <f t="shared" si="71"/>
        <v>Low Risk</v>
      </c>
    </row>
    <row r="1114" spans="1:37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t="s">
        <v>46</v>
      </c>
      <c r="L1114">
        <v>81</v>
      </c>
      <c r="M1114">
        <v>3</v>
      </c>
      <c r="N1114">
        <v>2</v>
      </c>
      <c r="O1114" t="s">
        <v>53</v>
      </c>
      <c r="P1114">
        <v>2</v>
      </c>
      <c r="Q1114" t="s">
        <v>48</v>
      </c>
      <c r="R1114" s="3">
        <v>4855</v>
      </c>
      <c r="S1114">
        <v>7653</v>
      </c>
      <c r="T1114">
        <v>4</v>
      </c>
      <c r="U1114" t="s">
        <v>43</v>
      </c>
      <c r="V1114" s="2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tr">
        <f t="shared" si="68"/>
        <v>36-45</v>
      </c>
      <c r="AH1114" t="str">
        <f t="shared" si="69"/>
        <v>Mid</v>
      </c>
      <c r="AI1114" s="1">
        <f>VLOOKUP(E1114,Lookup_Tables!$A$3:$B$5,2,)</f>
        <v>6281.2528616024974</v>
      </c>
      <c r="AJ1114" t="str">
        <f t="shared" si="70"/>
        <v>Below salary</v>
      </c>
      <c r="AK1114" t="str">
        <f t="shared" si="71"/>
        <v>Medium Risk</v>
      </c>
    </row>
    <row r="1115" spans="1:37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1574</v>
      </c>
      <c r="J1115">
        <v>4</v>
      </c>
      <c r="K1115" t="s">
        <v>46</v>
      </c>
      <c r="L1115">
        <v>62</v>
      </c>
      <c r="M1115">
        <v>3</v>
      </c>
      <c r="N1115">
        <v>2</v>
      </c>
      <c r="O1115" t="s">
        <v>47</v>
      </c>
      <c r="P1115">
        <v>1</v>
      </c>
      <c r="Q1115" t="s">
        <v>48</v>
      </c>
      <c r="R1115" s="3">
        <v>4087</v>
      </c>
      <c r="S1115">
        <v>25174</v>
      </c>
      <c r="T1115">
        <v>4</v>
      </c>
      <c r="U1115" t="s">
        <v>43</v>
      </c>
      <c r="V1115" s="2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tr">
        <f t="shared" si="68"/>
        <v>26-35</v>
      </c>
      <c r="AH1115" t="str">
        <f t="shared" si="69"/>
        <v>Mid</v>
      </c>
      <c r="AI1115" s="1">
        <f>VLOOKUP(E1115,Lookup_Tables!$A$3:$B$5,2,)</f>
        <v>6281.2528616024974</v>
      </c>
      <c r="AJ1115" t="str">
        <f t="shared" si="70"/>
        <v>Below salary</v>
      </c>
      <c r="AK1115" t="str">
        <f t="shared" si="71"/>
        <v>Medium Risk</v>
      </c>
    </row>
    <row r="1116" spans="1:37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t="s">
        <v>39</v>
      </c>
      <c r="L1116">
        <v>65</v>
      </c>
      <c r="M1116">
        <v>3</v>
      </c>
      <c r="N1116">
        <v>1</v>
      </c>
      <c r="O1116" t="s">
        <v>47</v>
      </c>
      <c r="P1116">
        <v>1</v>
      </c>
      <c r="Q1116" t="s">
        <v>48</v>
      </c>
      <c r="R1116" s="3">
        <v>2367</v>
      </c>
      <c r="S1116">
        <v>16530</v>
      </c>
      <c r="T1116">
        <v>8</v>
      </c>
      <c r="U1116" t="s">
        <v>43</v>
      </c>
      <c r="V1116" s="2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tr">
        <f t="shared" si="68"/>
        <v>46+</v>
      </c>
      <c r="AH1116" t="str">
        <f t="shared" si="69"/>
        <v>Low</v>
      </c>
      <c r="AI1116" s="1">
        <f>VLOOKUP(E1116,Lookup_Tables!$A$3:$B$5,2,)</f>
        <v>6281.2528616024974</v>
      </c>
      <c r="AJ1116" t="str">
        <f t="shared" si="70"/>
        <v>Below salary</v>
      </c>
      <c r="AK1116" t="str">
        <f t="shared" si="71"/>
        <v>Medium Risk</v>
      </c>
    </row>
    <row r="1117" spans="1:37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t="s">
        <v>46</v>
      </c>
      <c r="L1117">
        <v>35</v>
      </c>
      <c r="M1117">
        <v>3</v>
      </c>
      <c r="N1117">
        <v>1</v>
      </c>
      <c r="O1117" t="s">
        <v>47</v>
      </c>
      <c r="P1117">
        <v>4</v>
      </c>
      <c r="Q1117" t="s">
        <v>41</v>
      </c>
      <c r="R1117" s="3">
        <v>2972</v>
      </c>
      <c r="S1117">
        <v>22061</v>
      </c>
      <c r="T1117">
        <v>1</v>
      </c>
      <c r="U1117" t="s">
        <v>43</v>
      </c>
      <c r="V1117" s="2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tr">
        <f t="shared" si="68"/>
        <v>26-35</v>
      </c>
      <c r="AH1117" t="str">
        <f t="shared" si="69"/>
        <v>Low</v>
      </c>
      <c r="AI1117" s="1">
        <f>VLOOKUP(E1117,Lookup_Tables!$A$3:$B$5,2,)</f>
        <v>6281.2528616024974</v>
      </c>
      <c r="AJ1117" t="str">
        <f t="shared" si="70"/>
        <v>Below salary</v>
      </c>
      <c r="AK1117" t="str">
        <f t="shared" si="71"/>
        <v>Low Risk</v>
      </c>
    </row>
    <row r="1118" spans="1:37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1578</v>
      </c>
      <c r="J1118">
        <v>3</v>
      </c>
      <c r="K1118" t="s">
        <v>46</v>
      </c>
      <c r="L1118">
        <v>60</v>
      </c>
      <c r="M1118">
        <v>2</v>
      </c>
      <c r="N1118">
        <v>5</v>
      </c>
      <c r="O1118" t="s">
        <v>56</v>
      </c>
      <c r="P1118">
        <v>4</v>
      </c>
      <c r="Q1118" t="s">
        <v>48</v>
      </c>
      <c r="R1118" s="3">
        <v>19586</v>
      </c>
      <c r="S1118">
        <v>23037</v>
      </c>
      <c r="T1118">
        <v>1</v>
      </c>
      <c r="U1118" t="s">
        <v>43</v>
      </c>
      <c r="V1118" s="2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tr">
        <f t="shared" si="68"/>
        <v>46+</v>
      </c>
      <c r="AH1118" t="str">
        <f t="shared" si="69"/>
        <v>Very High</v>
      </c>
      <c r="AI1118" s="1">
        <f>VLOOKUP(E1118,Lookup_Tables!$A$3:$B$5,2,)</f>
        <v>6959.17264573991</v>
      </c>
      <c r="AJ1118" t="str">
        <f t="shared" si="70"/>
        <v>Above salary</v>
      </c>
      <c r="AK1118" t="str">
        <f t="shared" si="71"/>
        <v>Low Risk</v>
      </c>
    </row>
    <row r="1119" spans="1:37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46</v>
      </c>
      <c r="L1119">
        <v>45</v>
      </c>
      <c r="M1119">
        <v>3</v>
      </c>
      <c r="N1119">
        <v>2</v>
      </c>
      <c r="O1119" t="s">
        <v>47</v>
      </c>
      <c r="P1119">
        <v>4</v>
      </c>
      <c r="Q1119" t="s">
        <v>48</v>
      </c>
      <c r="R1119" s="3">
        <v>5484</v>
      </c>
      <c r="S1119">
        <v>13008</v>
      </c>
      <c r="T1119">
        <v>9</v>
      </c>
      <c r="U1119" t="s">
        <v>43</v>
      </c>
      <c r="V1119" s="2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tr">
        <f t="shared" si="68"/>
        <v>26-35</v>
      </c>
      <c r="AH1119" t="str">
        <f t="shared" si="69"/>
        <v>Mid</v>
      </c>
      <c r="AI1119" s="1">
        <f>VLOOKUP(E1119,Lookup_Tables!$A$3:$B$5,2,)</f>
        <v>6281.2528616024974</v>
      </c>
      <c r="AJ1119" t="str">
        <f t="shared" si="70"/>
        <v>Below salary</v>
      </c>
      <c r="AK1119" t="str">
        <f t="shared" si="71"/>
        <v>Low Risk</v>
      </c>
    </row>
    <row r="1120" spans="1:37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89</v>
      </c>
      <c r="M1120">
        <v>3</v>
      </c>
      <c r="N1120">
        <v>1</v>
      </c>
      <c r="O1120" t="s">
        <v>47</v>
      </c>
      <c r="P1120">
        <v>4</v>
      </c>
      <c r="Q1120" t="s">
        <v>48</v>
      </c>
      <c r="R1120" s="3">
        <v>2061</v>
      </c>
      <c r="S1120">
        <v>11133</v>
      </c>
      <c r="T1120">
        <v>1</v>
      </c>
      <c r="U1120" t="s">
        <v>43</v>
      </c>
      <c r="V1120" s="2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tr">
        <f t="shared" si="68"/>
        <v>26-35</v>
      </c>
      <c r="AH1120" t="str">
        <f t="shared" si="69"/>
        <v>Low</v>
      </c>
      <c r="AI1120" s="1">
        <f>VLOOKUP(E1120,Lookup_Tables!$A$3:$B$5,2,)</f>
        <v>6281.2528616024974</v>
      </c>
      <c r="AJ1120" t="str">
        <f t="shared" si="70"/>
        <v>Below salary</v>
      </c>
      <c r="AK1120" t="str">
        <f t="shared" si="71"/>
        <v>Low Risk</v>
      </c>
    </row>
    <row r="1121" spans="1:37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46</v>
      </c>
      <c r="L1121">
        <v>80</v>
      </c>
      <c r="M1121">
        <v>3</v>
      </c>
      <c r="N1121">
        <v>2</v>
      </c>
      <c r="O1121" t="s">
        <v>40</v>
      </c>
      <c r="P1121">
        <v>2</v>
      </c>
      <c r="Q1121" t="s">
        <v>48</v>
      </c>
      <c r="R1121" s="3">
        <v>9924</v>
      </c>
      <c r="S1121">
        <v>12355</v>
      </c>
      <c r="T1121">
        <v>0</v>
      </c>
      <c r="U1121" t="s">
        <v>43</v>
      </c>
      <c r="V1121" s="2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tr">
        <f t="shared" si="68"/>
        <v>36-45</v>
      </c>
      <c r="AH1121" t="str">
        <f t="shared" si="69"/>
        <v>High</v>
      </c>
      <c r="AI1121" s="1">
        <f>VLOOKUP(E1121,Lookup_Tables!$A$3:$B$5,2,)</f>
        <v>6959.17264573991</v>
      </c>
      <c r="AJ1121" t="str">
        <f t="shared" si="70"/>
        <v>Above salary</v>
      </c>
      <c r="AK1121" t="str">
        <f t="shared" si="71"/>
        <v>Medium Risk</v>
      </c>
    </row>
    <row r="1122" spans="1:37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90</v>
      </c>
      <c r="M1122">
        <v>3</v>
      </c>
      <c r="N1122">
        <v>2</v>
      </c>
      <c r="O1122" t="s">
        <v>40</v>
      </c>
      <c r="P1122">
        <v>2</v>
      </c>
      <c r="Q1122" t="s">
        <v>41</v>
      </c>
      <c r="R1122" s="3">
        <v>4198</v>
      </c>
      <c r="S1122">
        <v>16379</v>
      </c>
      <c r="T1122">
        <v>2</v>
      </c>
      <c r="U1122" t="s">
        <v>43</v>
      </c>
      <c r="V1122" s="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tr">
        <f t="shared" si="68"/>
        <v>36-45</v>
      </c>
      <c r="AH1122" t="str">
        <f t="shared" si="69"/>
        <v>Mid</v>
      </c>
      <c r="AI1122" s="1">
        <f>VLOOKUP(E1122,Lookup_Tables!$A$3:$B$5,2,)</f>
        <v>6959.17264573991</v>
      </c>
      <c r="AJ1122" t="str">
        <f t="shared" si="70"/>
        <v>Below salary</v>
      </c>
      <c r="AK1122" t="str">
        <f t="shared" si="71"/>
        <v>Medium Risk</v>
      </c>
    </row>
    <row r="1123" spans="1:37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73</v>
      </c>
      <c r="M1123">
        <v>3</v>
      </c>
      <c r="N1123">
        <v>2</v>
      </c>
      <c r="O1123" t="s">
        <v>40</v>
      </c>
      <c r="P1123">
        <v>3</v>
      </c>
      <c r="Q1123" t="s">
        <v>41</v>
      </c>
      <c r="R1123" s="3">
        <v>6815</v>
      </c>
      <c r="S1123">
        <v>21447</v>
      </c>
      <c r="T1123">
        <v>6</v>
      </c>
      <c r="U1123" t="s">
        <v>43</v>
      </c>
      <c r="V1123" s="2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tr">
        <f t="shared" si="68"/>
        <v>36-45</v>
      </c>
      <c r="AH1123" t="str">
        <f t="shared" si="69"/>
        <v>Mid</v>
      </c>
      <c r="AI1123" s="1">
        <f>VLOOKUP(E1123,Lookup_Tables!$A$3:$B$5,2,)</f>
        <v>6959.17264573991</v>
      </c>
      <c r="AJ1123" t="str">
        <f t="shared" si="70"/>
        <v>Below salary</v>
      </c>
      <c r="AK1123" t="str">
        <f t="shared" si="71"/>
        <v>Low Risk</v>
      </c>
    </row>
    <row r="1124" spans="1:37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t="s">
        <v>46</v>
      </c>
      <c r="L1124">
        <v>87</v>
      </c>
      <c r="M1124">
        <v>3</v>
      </c>
      <c r="N1124">
        <v>1</v>
      </c>
      <c r="O1124" t="s">
        <v>50</v>
      </c>
      <c r="P1124">
        <v>1</v>
      </c>
      <c r="Q1124" t="s">
        <v>41</v>
      </c>
      <c r="R1124" s="3">
        <v>4723</v>
      </c>
      <c r="S1124">
        <v>16213</v>
      </c>
      <c r="T1124">
        <v>1</v>
      </c>
      <c r="U1124" t="s">
        <v>35</v>
      </c>
      <c r="V1124" s="2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tr">
        <f t="shared" si="68"/>
        <v>26-35</v>
      </c>
      <c r="AH1124" t="str">
        <f t="shared" si="69"/>
        <v>Mid</v>
      </c>
      <c r="AI1124" s="1">
        <f>VLOOKUP(E1124,Lookup_Tables!$A$3:$B$5,2,)</f>
        <v>6281.2528616024974</v>
      </c>
      <c r="AJ1124" t="str">
        <f t="shared" si="70"/>
        <v>Below salary</v>
      </c>
      <c r="AK1124" t="str">
        <f t="shared" si="71"/>
        <v>High Risk</v>
      </c>
    </row>
    <row r="1125" spans="1:37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t="s">
        <v>39</v>
      </c>
      <c r="L1125">
        <v>51</v>
      </c>
      <c r="M1125">
        <v>3</v>
      </c>
      <c r="N1125">
        <v>2</v>
      </c>
      <c r="O1125" t="s">
        <v>54</v>
      </c>
      <c r="P1125">
        <v>3</v>
      </c>
      <c r="Q1125" t="s">
        <v>41</v>
      </c>
      <c r="R1125" s="3">
        <v>6142</v>
      </c>
      <c r="S1125">
        <v>4223</v>
      </c>
      <c r="T1125">
        <v>3</v>
      </c>
      <c r="U1125" t="s">
        <v>35</v>
      </c>
      <c r="V1125" s="2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tr">
        <f t="shared" si="68"/>
        <v>26-35</v>
      </c>
      <c r="AH1125" t="str">
        <f t="shared" si="69"/>
        <v>Mid</v>
      </c>
      <c r="AI1125" s="1">
        <f>VLOOKUP(E1125,Lookup_Tables!$A$3:$B$5,2,)</f>
        <v>6281.2528616024974</v>
      </c>
      <c r="AJ1125" t="str">
        <f t="shared" si="70"/>
        <v>Below salary</v>
      </c>
      <c r="AK1125" t="str">
        <f t="shared" si="71"/>
        <v>Medium Risk</v>
      </c>
    </row>
    <row r="1126" spans="1:37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t="s">
        <v>46</v>
      </c>
      <c r="L1126">
        <v>38</v>
      </c>
      <c r="M1126">
        <v>4</v>
      </c>
      <c r="N1126">
        <v>3</v>
      </c>
      <c r="O1126" t="s">
        <v>40</v>
      </c>
      <c r="P1126">
        <v>3</v>
      </c>
      <c r="Q1126" t="s">
        <v>48</v>
      </c>
      <c r="R1126" s="3">
        <v>8237</v>
      </c>
      <c r="S1126">
        <v>4658</v>
      </c>
      <c r="T1126">
        <v>2</v>
      </c>
      <c r="U1126" t="s">
        <v>43</v>
      </c>
      <c r="V1126" s="2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tr">
        <f t="shared" si="68"/>
        <v>36-45</v>
      </c>
      <c r="AH1126" t="str">
        <f t="shared" si="69"/>
        <v>High</v>
      </c>
      <c r="AI1126" s="1">
        <f>VLOOKUP(E1126,Lookup_Tables!$A$3:$B$5,2,)</f>
        <v>6959.17264573991</v>
      </c>
      <c r="AJ1126" t="str">
        <f t="shared" si="70"/>
        <v>Above salary</v>
      </c>
      <c r="AK1126" t="str">
        <f t="shared" si="71"/>
        <v>Low Risk</v>
      </c>
    </row>
    <row r="1127" spans="1:37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46</v>
      </c>
      <c r="L1127">
        <v>87</v>
      </c>
      <c r="M1127">
        <v>3</v>
      </c>
      <c r="N1127">
        <v>2</v>
      </c>
      <c r="O1127" t="s">
        <v>54</v>
      </c>
      <c r="P1127">
        <v>4</v>
      </c>
      <c r="Q1127" t="s">
        <v>52</v>
      </c>
      <c r="R1127" s="3">
        <v>8853</v>
      </c>
      <c r="S1127">
        <v>24483</v>
      </c>
      <c r="T1127">
        <v>1</v>
      </c>
      <c r="U1127" t="s">
        <v>43</v>
      </c>
      <c r="V1127" s="2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tr">
        <f t="shared" si="68"/>
        <v>26-35</v>
      </c>
      <c r="AH1127" t="str">
        <f t="shared" si="69"/>
        <v>High</v>
      </c>
      <c r="AI1127" s="1">
        <f>VLOOKUP(E1127,Lookup_Tables!$A$3:$B$5,2,)</f>
        <v>6281.2528616024974</v>
      </c>
      <c r="AJ1127" t="str">
        <f t="shared" si="70"/>
        <v>Above salary</v>
      </c>
      <c r="AK1127" t="str">
        <f t="shared" si="71"/>
        <v>Low Risk</v>
      </c>
    </row>
    <row r="1128" spans="1:37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1591</v>
      </c>
      <c r="J1128">
        <v>3</v>
      </c>
      <c r="K1128" t="s">
        <v>46</v>
      </c>
      <c r="L1128">
        <v>59</v>
      </c>
      <c r="M1128">
        <v>3</v>
      </c>
      <c r="N1128">
        <v>5</v>
      </c>
      <c r="O1128" t="s">
        <v>56</v>
      </c>
      <c r="P1128">
        <v>3</v>
      </c>
      <c r="Q1128" t="s">
        <v>48</v>
      </c>
      <c r="R1128" s="3">
        <v>19331</v>
      </c>
      <c r="S1128">
        <v>19519</v>
      </c>
      <c r="T1128">
        <v>4</v>
      </c>
      <c r="U1128" t="s">
        <v>35</v>
      </c>
      <c r="V1128" s="2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tr">
        <f t="shared" si="68"/>
        <v>46+</v>
      </c>
      <c r="AH1128" t="str">
        <f t="shared" si="69"/>
        <v>Very High</v>
      </c>
      <c r="AI1128" s="1">
        <f>VLOOKUP(E1128,Lookup_Tables!$A$3:$B$5,2,)</f>
        <v>6959.17264573991</v>
      </c>
      <c r="AJ1128" t="str">
        <f t="shared" si="70"/>
        <v>Above salary</v>
      </c>
      <c r="AK1128" t="str">
        <f t="shared" si="71"/>
        <v>Medium Risk</v>
      </c>
    </row>
    <row r="1129" spans="1:37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1592</v>
      </c>
      <c r="J1129">
        <v>4</v>
      </c>
      <c r="K1129" t="s">
        <v>46</v>
      </c>
      <c r="L1129">
        <v>45</v>
      </c>
      <c r="M1129">
        <v>4</v>
      </c>
      <c r="N1129">
        <v>1</v>
      </c>
      <c r="O1129" t="s">
        <v>47</v>
      </c>
      <c r="P1129">
        <v>3</v>
      </c>
      <c r="Q1129" t="s">
        <v>48</v>
      </c>
      <c r="R1129" s="3">
        <v>2073</v>
      </c>
      <c r="S1129">
        <v>12826</v>
      </c>
      <c r="T1129">
        <v>2</v>
      </c>
      <c r="U1129" t="s">
        <v>43</v>
      </c>
      <c r="V1129" s="2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tr">
        <f t="shared" si="68"/>
        <v>18-25</v>
      </c>
      <c r="AH1129" t="str">
        <f t="shared" si="69"/>
        <v>Low</v>
      </c>
      <c r="AI1129" s="1">
        <f>VLOOKUP(E1129,Lookup_Tables!$A$3:$B$5,2,)</f>
        <v>6281.2528616024974</v>
      </c>
      <c r="AJ1129" t="str">
        <f t="shared" si="70"/>
        <v>Below salary</v>
      </c>
      <c r="AK1129" t="str">
        <f t="shared" si="71"/>
        <v>Low Risk</v>
      </c>
    </row>
    <row r="1130" spans="1:37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46</v>
      </c>
      <c r="L1130">
        <v>80</v>
      </c>
      <c r="M1130">
        <v>4</v>
      </c>
      <c r="N1130">
        <v>2</v>
      </c>
      <c r="O1130" t="s">
        <v>50</v>
      </c>
      <c r="P1130">
        <v>1</v>
      </c>
      <c r="Q1130" t="s">
        <v>48</v>
      </c>
      <c r="R1130" s="3">
        <v>5562</v>
      </c>
      <c r="S1130">
        <v>19711</v>
      </c>
      <c r="T1130">
        <v>3</v>
      </c>
      <c r="U1130" t="s">
        <v>35</v>
      </c>
      <c r="V1130" s="2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tr">
        <f t="shared" si="68"/>
        <v>36-45</v>
      </c>
      <c r="AH1130" t="str">
        <f t="shared" si="69"/>
        <v>Mid</v>
      </c>
      <c r="AI1130" s="1">
        <f>VLOOKUP(E1130,Lookup_Tables!$A$3:$B$5,2,)</f>
        <v>6281.2528616024974</v>
      </c>
      <c r="AJ1130" t="str">
        <f t="shared" si="70"/>
        <v>Below salary</v>
      </c>
      <c r="AK1130" t="str">
        <f t="shared" si="71"/>
        <v>High Risk</v>
      </c>
    </row>
    <row r="1131" spans="1:37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t="s">
        <v>46</v>
      </c>
      <c r="L1131">
        <v>93</v>
      </c>
      <c r="M1131">
        <v>2</v>
      </c>
      <c r="N1131">
        <v>5</v>
      </c>
      <c r="O1131" t="s">
        <v>56</v>
      </c>
      <c r="P1131">
        <v>4</v>
      </c>
      <c r="Q1131" t="s">
        <v>41</v>
      </c>
      <c r="R1131" s="3">
        <v>19613</v>
      </c>
      <c r="S1131">
        <v>26362</v>
      </c>
      <c r="T1131">
        <v>8</v>
      </c>
      <c r="U1131" t="s">
        <v>43</v>
      </c>
      <c r="V1131" s="2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tr">
        <f t="shared" si="68"/>
        <v>36-45</v>
      </c>
      <c r="AH1131" t="str">
        <f t="shared" si="69"/>
        <v>Very High</v>
      </c>
      <c r="AI1131" s="1">
        <f>VLOOKUP(E1131,Lookup_Tables!$A$3:$B$5,2,)</f>
        <v>6281.2528616024974</v>
      </c>
      <c r="AJ1131" t="str">
        <f t="shared" si="70"/>
        <v>Above salary</v>
      </c>
      <c r="AK1131" t="str">
        <f t="shared" si="71"/>
        <v>Low Risk</v>
      </c>
    </row>
    <row r="1132" spans="1:37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46</v>
      </c>
      <c r="L1132">
        <v>46</v>
      </c>
      <c r="M1132">
        <v>4</v>
      </c>
      <c r="N1132">
        <v>2</v>
      </c>
      <c r="O1132" t="s">
        <v>50</v>
      </c>
      <c r="P1132">
        <v>3</v>
      </c>
      <c r="Q1132" t="s">
        <v>48</v>
      </c>
      <c r="R1132" s="3">
        <v>3407</v>
      </c>
      <c r="S1132">
        <v>25348</v>
      </c>
      <c r="T1132">
        <v>1</v>
      </c>
      <c r="U1132" t="s">
        <v>43</v>
      </c>
      <c r="V1132" s="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tr">
        <f t="shared" si="68"/>
        <v>26-35</v>
      </c>
      <c r="AH1132" t="str">
        <f t="shared" si="69"/>
        <v>Mid</v>
      </c>
      <c r="AI1132" s="1">
        <f>VLOOKUP(E1132,Lookup_Tables!$A$3:$B$5,2,)</f>
        <v>6281.2528616024974</v>
      </c>
      <c r="AJ1132" t="str">
        <f t="shared" si="70"/>
        <v>Below salary</v>
      </c>
      <c r="AK1132" t="str">
        <f t="shared" si="71"/>
        <v>Low Risk</v>
      </c>
    </row>
    <row r="1133" spans="1:37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1597</v>
      </c>
      <c r="J1133">
        <v>4</v>
      </c>
      <c r="K1133" t="s">
        <v>46</v>
      </c>
      <c r="L1133">
        <v>92</v>
      </c>
      <c r="M1133">
        <v>2</v>
      </c>
      <c r="N1133">
        <v>2</v>
      </c>
      <c r="O1133" t="s">
        <v>54</v>
      </c>
      <c r="P1133">
        <v>3</v>
      </c>
      <c r="Q1133" t="s">
        <v>48</v>
      </c>
      <c r="R1133" s="3">
        <v>5063</v>
      </c>
      <c r="S1133">
        <v>15332</v>
      </c>
      <c r="T1133">
        <v>1</v>
      </c>
      <c r="U1133" t="s">
        <v>43</v>
      </c>
      <c r="V1133" s="2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tr">
        <f t="shared" si="68"/>
        <v>26-35</v>
      </c>
      <c r="AH1133" t="str">
        <f t="shared" si="69"/>
        <v>Mid</v>
      </c>
      <c r="AI1133" s="1">
        <f>VLOOKUP(E1133,Lookup_Tables!$A$3:$B$5,2,)</f>
        <v>6281.2528616024974</v>
      </c>
      <c r="AJ1133" t="str">
        <f t="shared" si="70"/>
        <v>Below salary</v>
      </c>
      <c r="AK1133" t="str">
        <f t="shared" si="71"/>
        <v>Low Risk</v>
      </c>
    </row>
    <row r="1134" spans="1:37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84</v>
      </c>
      <c r="M1134">
        <v>3</v>
      </c>
      <c r="N1134">
        <v>2</v>
      </c>
      <c r="O1134" t="s">
        <v>40</v>
      </c>
      <c r="P1134">
        <v>1</v>
      </c>
      <c r="Q1134" t="s">
        <v>48</v>
      </c>
      <c r="R1134" s="3">
        <v>4639</v>
      </c>
      <c r="S1134">
        <v>11262</v>
      </c>
      <c r="T1134">
        <v>1</v>
      </c>
      <c r="U1134" t="s">
        <v>43</v>
      </c>
      <c r="V1134" s="2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tr">
        <f t="shared" si="68"/>
        <v>36-45</v>
      </c>
      <c r="AH1134" t="str">
        <f t="shared" si="69"/>
        <v>Mid</v>
      </c>
      <c r="AI1134" s="1">
        <f>VLOOKUP(E1134,Lookup_Tables!$A$3:$B$5,2,)</f>
        <v>6959.17264573991</v>
      </c>
      <c r="AJ1134" t="str">
        <f t="shared" si="70"/>
        <v>Below salary</v>
      </c>
      <c r="AK1134" t="str">
        <f t="shared" si="71"/>
        <v>Medium Risk</v>
      </c>
    </row>
    <row r="1135" spans="1:37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1599</v>
      </c>
      <c r="J1135">
        <v>4</v>
      </c>
      <c r="K1135" t="s">
        <v>46</v>
      </c>
      <c r="L1135">
        <v>87</v>
      </c>
      <c r="M1135">
        <v>4</v>
      </c>
      <c r="N1135">
        <v>1</v>
      </c>
      <c r="O1135" t="s">
        <v>50</v>
      </c>
      <c r="P1135">
        <v>2</v>
      </c>
      <c r="Q1135" t="s">
        <v>52</v>
      </c>
      <c r="R1135" s="3">
        <v>4876</v>
      </c>
      <c r="S1135">
        <v>5855</v>
      </c>
      <c r="T1135">
        <v>5</v>
      </c>
      <c r="U1135" t="s">
        <v>43</v>
      </c>
      <c r="V1135" s="2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tr">
        <f t="shared" si="68"/>
        <v>36-45</v>
      </c>
      <c r="AH1135" t="str">
        <f t="shared" si="69"/>
        <v>Mid</v>
      </c>
      <c r="AI1135" s="1">
        <f>VLOOKUP(E1135,Lookup_Tables!$A$3:$B$5,2,)</f>
        <v>6281.2528616024974</v>
      </c>
      <c r="AJ1135" t="str">
        <f t="shared" si="70"/>
        <v>Below salary</v>
      </c>
      <c r="AK1135" t="str">
        <f t="shared" si="71"/>
        <v>Medium Risk</v>
      </c>
    </row>
    <row r="1136" spans="1:37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46</v>
      </c>
      <c r="L1136">
        <v>63</v>
      </c>
      <c r="M1136">
        <v>2</v>
      </c>
      <c r="N1136">
        <v>1</v>
      </c>
      <c r="O1136" t="s">
        <v>50</v>
      </c>
      <c r="P1136">
        <v>4</v>
      </c>
      <c r="Q1136" t="s">
        <v>48</v>
      </c>
      <c r="R1136" s="3">
        <v>2690</v>
      </c>
      <c r="S1136">
        <v>7713</v>
      </c>
      <c r="T1136">
        <v>1</v>
      </c>
      <c r="U1136" t="s">
        <v>43</v>
      </c>
      <c r="V1136" s="2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tr">
        <f t="shared" si="68"/>
        <v>26-35</v>
      </c>
      <c r="AH1136" t="str">
        <f t="shared" si="69"/>
        <v>Low</v>
      </c>
      <c r="AI1136" s="1">
        <f>VLOOKUP(E1136,Lookup_Tables!$A$3:$B$5,2,)</f>
        <v>6281.2528616024974</v>
      </c>
      <c r="AJ1136" t="str">
        <f t="shared" si="70"/>
        <v>Below salary</v>
      </c>
      <c r="AK1136" t="str">
        <f t="shared" si="71"/>
        <v>Low Risk</v>
      </c>
    </row>
    <row r="1137" spans="1:37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46</v>
      </c>
      <c r="L1137">
        <v>56</v>
      </c>
      <c r="M1137">
        <v>4</v>
      </c>
      <c r="N1137">
        <v>4</v>
      </c>
      <c r="O1137" t="s">
        <v>56</v>
      </c>
      <c r="P1137">
        <v>1</v>
      </c>
      <c r="Q1137" t="s">
        <v>41</v>
      </c>
      <c r="R1137" s="3">
        <v>17567</v>
      </c>
      <c r="S1137">
        <v>3156</v>
      </c>
      <c r="T1137">
        <v>1</v>
      </c>
      <c r="U1137" t="s">
        <v>43</v>
      </c>
      <c r="V1137" s="2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tr">
        <f t="shared" si="68"/>
        <v>46+</v>
      </c>
      <c r="AH1137" t="str">
        <f t="shared" si="69"/>
        <v>Very High</v>
      </c>
      <c r="AI1137" s="1">
        <f>VLOOKUP(E1137,Lookup_Tables!$A$3:$B$5,2,)</f>
        <v>6959.17264573991</v>
      </c>
      <c r="AJ1137" t="str">
        <f t="shared" si="70"/>
        <v>Above salary</v>
      </c>
      <c r="AK1137" t="str">
        <f t="shared" si="71"/>
        <v>Medium Risk</v>
      </c>
    </row>
    <row r="1138" spans="1:37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t="s">
        <v>46</v>
      </c>
      <c r="L1138">
        <v>51</v>
      </c>
      <c r="M1138">
        <v>3</v>
      </c>
      <c r="N1138">
        <v>1</v>
      </c>
      <c r="O1138" t="s">
        <v>50</v>
      </c>
      <c r="P1138">
        <v>2</v>
      </c>
      <c r="Q1138" t="s">
        <v>48</v>
      </c>
      <c r="R1138" s="3">
        <v>2408</v>
      </c>
      <c r="S1138">
        <v>7324</v>
      </c>
      <c r="T1138">
        <v>1</v>
      </c>
      <c r="U1138" t="s">
        <v>35</v>
      </c>
      <c r="V1138" s="2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tr">
        <f t="shared" si="68"/>
        <v>26-35</v>
      </c>
      <c r="AH1138" t="str">
        <f t="shared" si="69"/>
        <v>Low</v>
      </c>
      <c r="AI1138" s="1">
        <f>VLOOKUP(E1138,Lookup_Tables!$A$3:$B$5,2,)</f>
        <v>6281.2528616024974</v>
      </c>
      <c r="AJ1138" t="str">
        <f t="shared" si="70"/>
        <v>Below salary</v>
      </c>
      <c r="AK1138" t="str">
        <f t="shared" si="71"/>
        <v>High Risk</v>
      </c>
    </row>
    <row r="1139" spans="1:37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t="s">
        <v>39</v>
      </c>
      <c r="L1139">
        <v>85</v>
      </c>
      <c r="M1139">
        <v>2</v>
      </c>
      <c r="N1139">
        <v>1</v>
      </c>
      <c r="O1139" t="s">
        <v>47</v>
      </c>
      <c r="P1139">
        <v>3</v>
      </c>
      <c r="Q1139" t="s">
        <v>48</v>
      </c>
      <c r="R1139" s="3">
        <v>2814</v>
      </c>
      <c r="S1139">
        <v>10293</v>
      </c>
      <c r="T1139">
        <v>1</v>
      </c>
      <c r="U1139" t="s">
        <v>35</v>
      </c>
      <c r="V1139" s="2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tr">
        <f t="shared" si="68"/>
        <v>18-25</v>
      </c>
      <c r="AH1139" t="str">
        <f t="shared" si="69"/>
        <v>Low</v>
      </c>
      <c r="AI1139" s="1">
        <f>VLOOKUP(E1139,Lookup_Tables!$A$3:$B$5,2,)</f>
        <v>6281.2528616024974</v>
      </c>
      <c r="AJ1139" t="str">
        <f t="shared" si="70"/>
        <v>Below salary</v>
      </c>
      <c r="AK1139" t="str">
        <f t="shared" si="71"/>
        <v>Medium Risk</v>
      </c>
    </row>
    <row r="1140" spans="1:37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t="s">
        <v>46</v>
      </c>
      <c r="L1140">
        <v>41</v>
      </c>
      <c r="M1140">
        <v>3</v>
      </c>
      <c r="N1140">
        <v>4</v>
      </c>
      <c r="O1140" t="s">
        <v>54</v>
      </c>
      <c r="P1140">
        <v>3</v>
      </c>
      <c r="Q1140" t="s">
        <v>48</v>
      </c>
      <c r="R1140" s="3">
        <v>11245</v>
      </c>
      <c r="S1140">
        <v>20689</v>
      </c>
      <c r="T1140">
        <v>2</v>
      </c>
      <c r="U1140" t="s">
        <v>35</v>
      </c>
      <c r="V1140" s="2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tr">
        <f t="shared" si="68"/>
        <v>46+</v>
      </c>
      <c r="AH1140" t="str">
        <f t="shared" si="69"/>
        <v>High</v>
      </c>
      <c r="AI1140" s="1">
        <f>VLOOKUP(E1140,Lookup_Tables!$A$3:$B$5,2,)</f>
        <v>6281.2528616024974</v>
      </c>
      <c r="AJ1140" t="str">
        <f t="shared" si="70"/>
        <v>Above salary</v>
      </c>
      <c r="AK1140" t="str">
        <f t="shared" si="71"/>
        <v>Medium Risk</v>
      </c>
    </row>
    <row r="1141" spans="1:37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t="s">
        <v>39</v>
      </c>
      <c r="L1141">
        <v>35</v>
      </c>
      <c r="M1141">
        <v>4</v>
      </c>
      <c r="N1141">
        <v>1</v>
      </c>
      <c r="O1141" t="s">
        <v>47</v>
      </c>
      <c r="P1141">
        <v>4</v>
      </c>
      <c r="Q1141" t="s">
        <v>48</v>
      </c>
      <c r="R1141" s="3">
        <v>3312</v>
      </c>
      <c r="S1141">
        <v>18783</v>
      </c>
      <c r="T1141">
        <v>3</v>
      </c>
      <c r="U1141" t="s">
        <v>43</v>
      </c>
      <c r="V1141" s="2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tr">
        <f t="shared" si="68"/>
        <v>26-35</v>
      </c>
      <c r="AH1141" t="str">
        <f t="shared" si="69"/>
        <v>Mid</v>
      </c>
      <c r="AI1141" s="1">
        <f>VLOOKUP(E1141,Lookup_Tables!$A$3:$B$5,2,)</f>
        <v>6281.2528616024974</v>
      </c>
      <c r="AJ1141" t="str">
        <f t="shared" si="70"/>
        <v>Below salary</v>
      </c>
      <c r="AK1141" t="str">
        <f t="shared" si="71"/>
        <v>Low Risk</v>
      </c>
    </row>
    <row r="1142" spans="1:37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t="s">
        <v>39</v>
      </c>
      <c r="L1142">
        <v>31</v>
      </c>
      <c r="M1142">
        <v>3</v>
      </c>
      <c r="N1142">
        <v>5</v>
      </c>
      <c r="O1142" t="s">
        <v>58</v>
      </c>
      <c r="P1142">
        <v>4</v>
      </c>
      <c r="Q1142" t="s">
        <v>52</v>
      </c>
      <c r="R1142" s="3">
        <v>19049</v>
      </c>
      <c r="S1142">
        <v>3549</v>
      </c>
      <c r="T1142">
        <v>0</v>
      </c>
      <c r="U1142" t="s">
        <v>35</v>
      </c>
      <c r="V1142" s="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tr">
        <f t="shared" si="68"/>
        <v>36-45</v>
      </c>
      <c r="AH1142" t="str">
        <f t="shared" si="69"/>
        <v>Very High</v>
      </c>
      <c r="AI1142" s="1">
        <f>VLOOKUP(E1142,Lookup_Tables!$A$3:$B$5,2,)</f>
        <v>6281.2528616024974</v>
      </c>
      <c r="AJ1142" t="str">
        <f t="shared" si="70"/>
        <v>Above salary</v>
      </c>
      <c r="AK1142" t="str">
        <f t="shared" si="71"/>
        <v>Medium Risk</v>
      </c>
    </row>
    <row r="1143" spans="1:37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t="s">
        <v>46</v>
      </c>
      <c r="L1143">
        <v>48</v>
      </c>
      <c r="M1143">
        <v>2</v>
      </c>
      <c r="N1143">
        <v>1</v>
      </c>
      <c r="O1143" t="s">
        <v>47</v>
      </c>
      <c r="P1143">
        <v>2</v>
      </c>
      <c r="Q1143" t="s">
        <v>48</v>
      </c>
      <c r="R1143" s="3">
        <v>2141</v>
      </c>
      <c r="S1143">
        <v>5348</v>
      </c>
      <c r="T1143">
        <v>1</v>
      </c>
      <c r="U1143" t="s">
        <v>43</v>
      </c>
      <c r="V1143" s="2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tr">
        <f t="shared" si="68"/>
        <v>26-35</v>
      </c>
      <c r="AH1143" t="str">
        <f t="shared" si="69"/>
        <v>Low</v>
      </c>
      <c r="AI1143" s="1">
        <f>VLOOKUP(E1143,Lookup_Tables!$A$3:$B$5,2,)</f>
        <v>6281.2528616024974</v>
      </c>
      <c r="AJ1143" t="str">
        <f t="shared" si="70"/>
        <v>Below salary</v>
      </c>
      <c r="AK1143" t="str">
        <f t="shared" si="71"/>
        <v>Medium Risk</v>
      </c>
    </row>
    <row r="1144" spans="1:37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t="s">
        <v>39</v>
      </c>
      <c r="L1144">
        <v>50</v>
      </c>
      <c r="M1144">
        <v>1</v>
      </c>
      <c r="N1144">
        <v>2</v>
      </c>
      <c r="O1144" t="s">
        <v>50</v>
      </c>
      <c r="P1144">
        <v>1</v>
      </c>
      <c r="Q1144" t="s">
        <v>41</v>
      </c>
      <c r="R1144" s="3">
        <v>5769</v>
      </c>
      <c r="S1144">
        <v>23447</v>
      </c>
      <c r="T1144">
        <v>1</v>
      </c>
      <c r="U1144" t="s">
        <v>35</v>
      </c>
      <c r="V1144" s="2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tr">
        <f t="shared" si="68"/>
        <v>36-45</v>
      </c>
      <c r="AH1144" t="str">
        <f t="shared" si="69"/>
        <v>Mid</v>
      </c>
      <c r="AI1144" s="1">
        <f>VLOOKUP(E1144,Lookup_Tables!$A$3:$B$5,2,)</f>
        <v>6281.2528616024974</v>
      </c>
      <c r="AJ1144" t="str">
        <f t="shared" si="70"/>
        <v>Below salary</v>
      </c>
      <c r="AK1144" t="str">
        <f t="shared" si="71"/>
        <v>High Risk</v>
      </c>
    </row>
    <row r="1145" spans="1:37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1612</v>
      </c>
      <c r="J1145">
        <v>1</v>
      </c>
      <c r="K1145" t="s">
        <v>46</v>
      </c>
      <c r="L1145">
        <v>52</v>
      </c>
      <c r="M1145">
        <v>2</v>
      </c>
      <c r="N1145">
        <v>2</v>
      </c>
      <c r="O1145" t="s">
        <v>40</v>
      </c>
      <c r="P1145">
        <v>1</v>
      </c>
      <c r="Q1145" t="s">
        <v>48</v>
      </c>
      <c r="R1145" s="3">
        <v>4385</v>
      </c>
      <c r="S1145">
        <v>24162</v>
      </c>
      <c r="T1145">
        <v>1</v>
      </c>
      <c r="U1145" t="s">
        <v>43</v>
      </c>
      <c r="V1145" s="2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tr">
        <f t="shared" si="68"/>
        <v>36-45</v>
      </c>
      <c r="AH1145" t="str">
        <f t="shared" si="69"/>
        <v>Mid</v>
      </c>
      <c r="AI1145" s="1">
        <f>VLOOKUP(E1145,Lookup_Tables!$A$3:$B$5,2,)</f>
        <v>6959.17264573991</v>
      </c>
      <c r="AJ1145" t="str">
        <f t="shared" si="70"/>
        <v>Below salary</v>
      </c>
      <c r="AK1145" t="str">
        <f t="shared" si="71"/>
        <v>Medium Risk</v>
      </c>
    </row>
    <row r="1146" spans="1:37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t="s">
        <v>46</v>
      </c>
      <c r="L1146">
        <v>54</v>
      </c>
      <c r="M1146">
        <v>3</v>
      </c>
      <c r="N1146">
        <v>2</v>
      </c>
      <c r="O1146" t="s">
        <v>40</v>
      </c>
      <c r="P1146">
        <v>1</v>
      </c>
      <c r="Q1146" t="s">
        <v>41</v>
      </c>
      <c r="R1146" s="3">
        <v>5332</v>
      </c>
      <c r="S1146">
        <v>21602</v>
      </c>
      <c r="T1146">
        <v>7</v>
      </c>
      <c r="U1146" t="s">
        <v>43</v>
      </c>
      <c r="V1146" s="2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tr">
        <f t="shared" si="68"/>
        <v>26-35</v>
      </c>
      <c r="AH1146" t="str">
        <f t="shared" si="69"/>
        <v>Mid</v>
      </c>
      <c r="AI1146" s="1">
        <f>VLOOKUP(E1146,Lookup_Tables!$A$3:$B$5,2,)</f>
        <v>6959.17264573991</v>
      </c>
      <c r="AJ1146" t="str">
        <f t="shared" si="70"/>
        <v>Below salary</v>
      </c>
      <c r="AK1146" t="str">
        <f t="shared" si="71"/>
        <v>Medium Risk</v>
      </c>
    </row>
    <row r="1147" spans="1:37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76</v>
      </c>
      <c r="M1147">
        <v>3</v>
      </c>
      <c r="N1147">
        <v>2</v>
      </c>
      <c r="O1147" t="s">
        <v>53</v>
      </c>
      <c r="P1147">
        <v>3</v>
      </c>
      <c r="Q1147" t="s">
        <v>48</v>
      </c>
      <c r="R1147" s="3">
        <v>4663</v>
      </c>
      <c r="S1147">
        <v>12421</v>
      </c>
      <c r="T1147">
        <v>9</v>
      </c>
      <c r="U1147" t="s">
        <v>35</v>
      </c>
      <c r="V1147" s="2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tr">
        <f t="shared" si="68"/>
        <v>36-45</v>
      </c>
      <c r="AH1147" t="str">
        <f t="shared" si="69"/>
        <v>Mid</v>
      </c>
      <c r="AI1147" s="1">
        <f>VLOOKUP(E1147,Lookup_Tables!$A$3:$B$5,2,)</f>
        <v>6281.2528616024974</v>
      </c>
      <c r="AJ1147" t="str">
        <f t="shared" si="70"/>
        <v>Below salary</v>
      </c>
      <c r="AK1147" t="str">
        <f t="shared" si="71"/>
        <v>Medium Risk</v>
      </c>
    </row>
    <row r="1148" spans="1:37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46</v>
      </c>
      <c r="L1148">
        <v>42</v>
      </c>
      <c r="M1148">
        <v>4</v>
      </c>
      <c r="N1148">
        <v>2</v>
      </c>
      <c r="O1148" t="s">
        <v>53</v>
      </c>
      <c r="P1148">
        <v>4</v>
      </c>
      <c r="Q1148" t="s">
        <v>52</v>
      </c>
      <c r="R1148" s="3">
        <v>4724</v>
      </c>
      <c r="S1148">
        <v>17000</v>
      </c>
      <c r="T1148">
        <v>1</v>
      </c>
      <c r="U1148" t="s">
        <v>43</v>
      </c>
      <c r="V1148" s="2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tr">
        <f t="shared" si="68"/>
        <v>26-35</v>
      </c>
      <c r="AH1148" t="str">
        <f t="shared" si="69"/>
        <v>Mid</v>
      </c>
      <c r="AI1148" s="1">
        <f>VLOOKUP(E1148,Lookup_Tables!$A$3:$B$5,2,)</f>
        <v>6281.2528616024974</v>
      </c>
      <c r="AJ1148" t="str">
        <f t="shared" si="70"/>
        <v>Below salary</v>
      </c>
      <c r="AK1148" t="str">
        <f t="shared" si="71"/>
        <v>Low Risk</v>
      </c>
    </row>
    <row r="1149" spans="1:37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84</v>
      </c>
      <c r="M1149">
        <v>3</v>
      </c>
      <c r="N1149">
        <v>1</v>
      </c>
      <c r="O1149" t="s">
        <v>50</v>
      </c>
      <c r="P1149">
        <v>1</v>
      </c>
      <c r="Q1149" t="s">
        <v>48</v>
      </c>
      <c r="R1149" s="3">
        <v>3211</v>
      </c>
      <c r="S1149">
        <v>22102</v>
      </c>
      <c r="T1149">
        <v>1</v>
      </c>
      <c r="U1149" t="s">
        <v>43</v>
      </c>
      <c r="V1149" s="2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tr">
        <f t="shared" si="68"/>
        <v>46+</v>
      </c>
      <c r="AH1149" t="str">
        <f t="shared" si="69"/>
        <v>Mid</v>
      </c>
      <c r="AI1149" s="1">
        <f>VLOOKUP(E1149,Lookup_Tables!$A$3:$B$5,2,)</f>
        <v>6281.2528616024974</v>
      </c>
      <c r="AJ1149" t="str">
        <f t="shared" si="70"/>
        <v>Below salary</v>
      </c>
      <c r="AK1149" t="str">
        <f t="shared" si="71"/>
        <v>Medium Risk</v>
      </c>
    </row>
    <row r="1150" spans="1:37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t="s">
        <v>46</v>
      </c>
      <c r="L1150">
        <v>76</v>
      </c>
      <c r="M1150">
        <v>3</v>
      </c>
      <c r="N1150">
        <v>2</v>
      </c>
      <c r="O1150" t="s">
        <v>53</v>
      </c>
      <c r="P1150">
        <v>1</v>
      </c>
      <c r="Q1150" t="s">
        <v>48</v>
      </c>
      <c r="R1150" s="3">
        <v>5377</v>
      </c>
      <c r="S1150">
        <v>3835</v>
      </c>
      <c r="T1150">
        <v>2</v>
      </c>
      <c r="U1150" t="s">
        <v>43</v>
      </c>
      <c r="V1150" s="2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tr">
        <f t="shared" si="68"/>
        <v>36-45</v>
      </c>
      <c r="AH1150" t="str">
        <f t="shared" si="69"/>
        <v>Mid</v>
      </c>
      <c r="AI1150" s="1">
        <f>VLOOKUP(E1150,Lookup_Tables!$A$3:$B$5,2,)</f>
        <v>6281.2528616024974</v>
      </c>
      <c r="AJ1150" t="str">
        <f t="shared" si="70"/>
        <v>Below salary</v>
      </c>
      <c r="AK1150" t="str">
        <f t="shared" si="71"/>
        <v>Medium Risk</v>
      </c>
    </row>
    <row r="1151" spans="1:37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t="s">
        <v>46</v>
      </c>
      <c r="L1151">
        <v>67</v>
      </c>
      <c r="M1151">
        <v>2</v>
      </c>
      <c r="N1151">
        <v>1</v>
      </c>
      <c r="O1151" t="s">
        <v>50</v>
      </c>
      <c r="P1151">
        <v>1</v>
      </c>
      <c r="Q1151" t="s">
        <v>52</v>
      </c>
      <c r="R1151" s="3">
        <v>4066</v>
      </c>
      <c r="S1151">
        <v>16290</v>
      </c>
      <c r="T1151">
        <v>1</v>
      </c>
      <c r="U1151" t="s">
        <v>43</v>
      </c>
      <c r="V1151" s="2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tr">
        <f t="shared" si="68"/>
        <v>26-35</v>
      </c>
      <c r="AH1151" t="str">
        <f t="shared" si="69"/>
        <v>Mid</v>
      </c>
      <c r="AI1151" s="1">
        <f>VLOOKUP(E1151,Lookup_Tables!$A$3:$B$5,2,)</f>
        <v>6281.2528616024974</v>
      </c>
      <c r="AJ1151" t="str">
        <f t="shared" si="70"/>
        <v>Below salary</v>
      </c>
      <c r="AK1151" t="str">
        <f t="shared" si="71"/>
        <v>Medium Risk</v>
      </c>
    </row>
    <row r="1152" spans="1:37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46</v>
      </c>
      <c r="L1152">
        <v>48</v>
      </c>
      <c r="M1152">
        <v>4</v>
      </c>
      <c r="N1152">
        <v>2</v>
      </c>
      <c r="O1152" t="s">
        <v>47</v>
      </c>
      <c r="P1152">
        <v>1</v>
      </c>
      <c r="Q1152" t="s">
        <v>48</v>
      </c>
      <c r="R1152" s="3">
        <v>5208</v>
      </c>
      <c r="S1152">
        <v>26312</v>
      </c>
      <c r="T1152">
        <v>1</v>
      </c>
      <c r="U1152" t="s">
        <v>43</v>
      </c>
      <c r="V1152" s="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tr">
        <f t="shared" si="68"/>
        <v>26-35</v>
      </c>
      <c r="AH1152" t="str">
        <f t="shared" si="69"/>
        <v>Mid</v>
      </c>
      <c r="AI1152" s="1">
        <f>VLOOKUP(E1152,Lookup_Tables!$A$3:$B$5,2,)</f>
        <v>6281.2528616024974</v>
      </c>
      <c r="AJ1152" t="str">
        <f t="shared" si="70"/>
        <v>Below salary</v>
      </c>
      <c r="AK1152" t="str">
        <f t="shared" si="71"/>
        <v>Medium Risk</v>
      </c>
    </row>
    <row r="1153" spans="1:37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t="s">
        <v>39</v>
      </c>
      <c r="L1153">
        <v>39</v>
      </c>
      <c r="M1153">
        <v>1</v>
      </c>
      <c r="N1153">
        <v>2</v>
      </c>
      <c r="O1153" t="s">
        <v>53</v>
      </c>
      <c r="P1153">
        <v>1</v>
      </c>
      <c r="Q1153" t="s">
        <v>52</v>
      </c>
      <c r="R1153" s="3">
        <v>4877</v>
      </c>
      <c r="S1153">
        <v>20460</v>
      </c>
      <c r="T1153">
        <v>0</v>
      </c>
      <c r="U1153" t="s">
        <v>43</v>
      </c>
      <c r="V1153" s="2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tr">
        <f t="shared" si="68"/>
        <v>26-35</v>
      </c>
      <c r="AH1153" t="str">
        <f t="shared" si="69"/>
        <v>Mid</v>
      </c>
      <c r="AI1153" s="1">
        <f>VLOOKUP(E1153,Lookup_Tables!$A$3:$B$5,2,)</f>
        <v>6281.2528616024974</v>
      </c>
      <c r="AJ1153" t="str">
        <f t="shared" si="70"/>
        <v>Below salary</v>
      </c>
      <c r="AK1153" t="str">
        <f t="shared" si="71"/>
        <v>Medium Risk</v>
      </c>
    </row>
    <row r="1154" spans="1:37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t="s">
        <v>46</v>
      </c>
      <c r="L1154">
        <v>97</v>
      </c>
      <c r="M1154">
        <v>3</v>
      </c>
      <c r="N1154">
        <v>1</v>
      </c>
      <c r="O1154" t="s">
        <v>47</v>
      </c>
      <c r="P1154">
        <v>4</v>
      </c>
      <c r="Q1154" t="s">
        <v>41</v>
      </c>
      <c r="R1154" s="3">
        <v>3117</v>
      </c>
      <c r="S1154">
        <v>26009</v>
      </c>
      <c r="T1154">
        <v>1</v>
      </c>
      <c r="U1154" t="s">
        <v>43</v>
      </c>
      <c r="V1154" s="2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tr">
        <f t="shared" ref="AG1154:AG1217" si="72">IF(A1154&lt;=25,"18-25",IF(A1154&lt;= 35, "26-35",IF(A1154&lt;=45, "36-45","46+")))</f>
        <v>18-25</v>
      </c>
      <c r="AH1154" t="str">
        <f t="shared" ref="AH1154:AH1217" si="73">IF(R1154&lt;3000,"Low",IF(R1154&lt;7000,"Mid", IF(R1154&lt;12000, "High", "Very High")))</f>
        <v>Mid</v>
      </c>
      <c r="AI1154" s="1">
        <f>VLOOKUP(E1154,Lookup_Tables!$A$3:$B$5,2,)</f>
        <v>6281.2528616024974</v>
      </c>
      <c r="AJ1154" t="str">
        <f t="shared" ref="AJ1154:AJ1217" si="74">IF(R1154&gt;AI1154, "Above salary","Below salary")</f>
        <v>Below salary</v>
      </c>
      <c r="AK1154" t="str">
        <f t="shared" si="71"/>
        <v>Low Risk</v>
      </c>
    </row>
    <row r="1155" spans="1:37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t="s">
        <v>39</v>
      </c>
      <c r="L1155">
        <v>70</v>
      </c>
      <c r="M1155">
        <v>3</v>
      </c>
      <c r="N1155">
        <v>1</v>
      </c>
      <c r="O1155" t="s">
        <v>57</v>
      </c>
      <c r="P1155">
        <v>4</v>
      </c>
      <c r="Q1155" t="s">
        <v>41</v>
      </c>
      <c r="R1155" s="3">
        <v>1569</v>
      </c>
      <c r="S1155">
        <v>18420</v>
      </c>
      <c r="T1155">
        <v>1</v>
      </c>
      <c r="U1155" t="s">
        <v>35</v>
      </c>
      <c r="V1155" s="2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tr">
        <f t="shared" si="72"/>
        <v>18-25</v>
      </c>
      <c r="AH1155" t="str">
        <f t="shared" si="73"/>
        <v>Low</v>
      </c>
      <c r="AI1155" s="1">
        <f>VLOOKUP(E1155,Lookup_Tables!$A$3:$B$5,2,)</f>
        <v>6959.17264573991</v>
      </c>
      <c r="AJ1155" t="str">
        <f t="shared" si="74"/>
        <v>Below salary</v>
      </c>
      <c r="AK1155" t="str">
        <f t="shared" ref="AK1155:AK1218" si="75">IF(AND(P1155&lt;=2,U1155="Yes"),"High Risk",IF(OR(P1155&lt;=2,U1155="Yes"),"Medium Risk","Low Risk"))</f>
        <v>Medium Risk</v>
      </c>
    </row>
    <row r="1156" spans="1:37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98</v>
      </c>
      <c r="M1156">
        <v>3</v>
      </c>
      <c r="N1156">
        <v>5</v>
      </c>
      <c r="O1156" t="s">
        <v>56</v>
      </c>
      <c r="P1156">
        <v>3</v>
      </c>
      <c r="Q1156" t="s">
        <v>48</v>
      </c>
      <c r="R1156" s="3">
        <v>19658</v>
      </c>
      <c r="S1156">
        <v>5220</v>
      </c>
      <c r="T1156">
        <v>3</v>
      </c>
      <c r="U1156" t="s">
        <v>43</v>
      </c>
      <c r="V1156" s="2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tr">
        <f t="shared" si="72"/>
        <v>46+</v>
      </c>
      <c r="AH1156" t="str">
        <f t="shared" si="73"/>
        <v>Very High</v>
      </c>
      <c r="AI1156" s="1">
        <f>VLOOKUP(E1156,Lookup_Tables!$A$3:$B$5,2,)</f>
        <v>6654.5079365079364</v>
      </c>
      <c r="AJ1156" t="str">
        <f t="shared" si="74"/>
        <v>Above salary</v>
      </c>
      <c r="AK1156" t="str">
        <f t="shared" si="75"/>
        <v>Low Risk</v>
      </c>
    </row>
    <row r="1157" spans="1:37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t="s">
        <v>46</v>
      </c>
      <c r="L1157">
        <v>76</v>
      </c>
      <c r="M1157">
        <v>2</v>
      </c>
      <c r="N1157">
        <v>2</v>
      </c>
      <c r="O1157" t="s">
        <v>50</v>
      </c>
      <c r="P1157">
        <v>3</v>
      </c>
      <c r="Q1157" t="s">
        <v>52</v>
      </c>
      <c r="R1157" s="3">
        <v>3069</v>
      </c>
      <c r="S1157">
        <v>10302</v>
      </c>
      <c r="T1157">
        <v>0</v>
      </c>
      <c r="U1157" t="s">
        <v>43</v>
      </c>
      <c r="V1157" s="2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tr">
        <f t="shared" si="72"/>
        <v>36-45</v>
      </c>
      <c r="AH1157" t="str">
        <f t="shared" si="73"/>
        <v>Mid</v>
      </c>
      <c r="AI1157" s="1">
        <f>VLOOKUP(E1157,Lookup_Tables!$A$3:$B$5,2,)</f>
        <v>6281.2528616024974</v>
      </c>
      <c r="AJ1157" t="str">
        <f t="shared" si="74"/>
        <v>Below salary</v>
      </c>
      <c r="AK1157" t="str">
        <f t="shared" si="75"/>
        <v>Low Risk</v>
      </c>
    </row>
    <row r="1158" spans="1:37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80</v>
      </c>
      <c r="M1158">
        <v>2</v>
      </c>
      <c r="N1158">
        <v>3</v>
      </c>
      <c r="O1158" t="s">
        <v>53</v>
      </c>
      <c r="P1158">
        <v>3</v>
      </c>
      <c r="Q1158" t="s">
        <v>48</v>
      </c>
      <c r="R1158" s="3">
        <v>10435</v>
      </c>
      <c r="S1158">
        <v>25800</v>
      </c>
      <c r="T1158">
        <v>1</v>
      </c>
      <c r="U1158" t="s">
        <v>43</v>
      </c>
      <c r="V1158" s="2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tr">
        <f t="shared" si="72"/>
        <v>36-45</v>
      </c>
      <c r="AH1158" t="str">
        <f t="shared" si="73"/>
        <v>High</v>
      </c>
      <c r="AI1158" s="1">
        <f>VLOOKUP(E1158,Lookup_Tables!$A$3:$B$5,2,)</f>
        <v>6281.2528616024974</v>
      </c>
      <c r="AJ1158" t="str">
        <f t="shared" si="74"/>
        <v>Above salary</v>
      </c>
      <c r="AK1158" t="str">
        <f t="shared" si="75"/>
        <v>Low Risk</v>
      </c>
    </row>
    <row r="1159" spans="1:37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52</v>
      </c>
      <c r="M1159">
        <v>3</v>
      </c>
      <c r="N1159">
        <v>2</v>
      </c>
      <c r="O1159" t="s">
        <v>54</v>
      </c>
      <c r="P1159">
        <v>3</v>
      </c>
      <c r="Q1159" t="s">
        <v>48</v>
      </c>
      <c r="R1159" s="3">
        <v>4148</v>
      </c>
      <c r="S1159">
        <v>12250</v>
      </c>
      <c r="T1159">
        <v>1</v>
      </c>
      <c r="U1159" t="s">
        <v>43</v>
      </c>
      <c r="V1159" s="2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tr">
        <f t="shared" si="72"/>
        <v>26-35</v>
      </c>
      <c r="AH1159" t="str">
        <f t="shared" si="73"/>
        <v>Mid</v>
      </c>
      <c r="AI1159" s="1">
        <f>VLOOKUP(E1159,Lookup_Tables!$A$3:$B$5,2,)</f>
        <v>6281.2528616024974</v>
      </c>
      <c r="AJ1159" t="str">
        <f t="shared" si="74"/>
        <v>Below salary</v>
      </c>
      <c r="AK1159" t="str">
        <f t="shared" si="75"/>
        <v>Low Risk</v>
      </c>
    </row>
    <row r="1160" spans="1:37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46</v>
      </c>
      <c r="L1160">
        <v>85</v>
      </c>
      <c r="M1160">
        <v>3</v>
      </c>
      <c r="N1160">
        <v>2</v>
      </c>
      <c r="O1160" t="s">
        <v>53</v>
      </c>
      <c r="P1160">
        <v>3</v>
      </c>
      <c r="Q1160" t="s">
        <v>48</v>
      </c>
      <c r="R1160" s="3">
        <v>5768</v>
      </c>
      <c r="S1160">
        <v>26493</v>
      </c>
      <c r="T1160">
        <v>3</v>
      </c>
      <c r="U1160" t="s">
        <v>43</v>
      </c>
      <c r="V1160" s="2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tr">
        <f t="shared" si="72"/>
        <v>36-45</v>
      </c>
      <c r="AH1160" t="str">
        <f t="shared" si="73"/>
        <v>Mid</v>
      </c>
      <c r="AI1160" s="1">
        <f>VLOOKUP(E1160,Lookup_Tables!$A$3:$B$5,2,)</f>
        <v>6281.2528616024974</v>
      </c>
      <c r="AJ1160" t="str">
        <f t="shared" si="74"/>
        <v>Below salary</v>
      </c>
      <c r="AK1160" t="str">
        <f t="shared" si="75"/>
        <v>Low Risk</v>
      </c>
    </row>
    <row r="1161" spans="1:37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t="s">
        <v>39</v>
      </c>
      <c r="L1161">
        <v>81</v>
      </c>
      <c r="M1161">
        <v>3</v>
      </c>
      <c r="N1161">
        <v>2</v>
      </c>
      <c r="O1161" t="s">
        <v>53</v>
      </c>
      <c r="P1161">
        <v>3</v>
      </c>
      <c r="Q1161" t="s">
        <v>41</v>
      </c>
      <c r="R1161" s="3">
        <v>5042</v>
      </c>
      <c r="S1161">
        <v>3140</v>
      </c>
      <c r="T1161">
        <v>0</v>
      </c>
      <c r="U1161" t="s">
        <v>43</v>
      </c>
      <c r="V1161" s="2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tr">
        <f t="shared" si="72"/>
        <v>36-45</v>
      </c>
      <c r="AH1161" t="str">
        <f t="shared" si="73"/>
        <v>Mid</v>
      </c>
      <c r="AI1161" s="1">
        <f>VLOOKUP(E1161,Lookup_Tables!$A$3:$B$5,2,)</f>
        <v>6281.2528616024974</v>
      </c>
      <c r="AJ1161" t="str">
        <f t="shared" si="74"/>
        <v>Below salary</v>
      </c>
      <c r="AK1161" t="str">
        <f t="shared" si="75"/>
        <v>Low Risk</v>
      </c>
    </row>
    <row r="1162" spans="1:37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t="s">
        <v>39</v>
      </c>
      <c r="L1162">
        <v>59</v>
      </c>
      <c r="M1162">
        <v>2</v>
      </c>
      <c r="N1162">
        <v>2</v>
      </c>
      <c r="O1162" t="s">
        <v>53</v>
      </c>
      <c r="P1162">
        <v>4</v>
      </c>
      <c r="Q1162" t="s">
        <v>52</v>
      </c>
      <c r="R1162" s="3">
        <v>5770</v>
      </c>
      <c r="S1162">
        <v>5388</v>
      </c>
      <c r="T1162">
        <v>1</v>
      </c>
      <c r="U1162" t="s">
        <v>43</v>
      </c>
      <c r="V1162" s="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tr">
        <f t="shared" si="72"/>
        <v>36-45</v>
      </c>
      <c r="AH1162" t="str">
        <f t="shared" si="73"/>
        <v>Mid</v>
      </c>
      <c r="AI1162" s="1">
        <f>VLOOKUP(E1162,Lookup_Tables!$A$3:$B$5,2,)</f>
        <v>6281.2528616024974</v>
      </c>
      <c r="AJ1162" t="str">
        <f t="shared" si="74"/>
        <v>Below salary</v>
      </c>
      <c r="AK1162" t="str">
        <f t="shared" si="75"/>
        <v>Low Risk</v>
      </c>
    </row>
    <row r="1163" spans="1:37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t="s">
        <v>39</v>
      </c>
      <c r="L1163">
        <v>54</v>
      </c>
      <c r="M1163">
        <v>2</v>
      </c>
      <c r="N1163">
        <v>3</v>
      </c>
      <c r="O1163" t="s">
        <v>53</v>
      </c>
      <c r="P1163">
        <v>3</v>
      </c>
      <c r="Q1163" t="s">
        <v>48</v>
      </c>
      <c r="R1163" s="3">
        <v>7756</v>
      </c>
      <c r="S1163">
        <v>14199</v>
      </c>
      <c r="T1163">
        <v>3</v>
      </c>
      <c r="U1163" t="s">
        <v>35</v>
      </c>
      <c r="V1163" s="2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tr">
        <f t="shared" si="72"/>
        <v>36-45</v>
      </c>
      <c r="AH1163" t="str">
        <f t="shared" si="73"/>
        <v>High</v>
      </c>
      <c r="AI1163" s="1">
        <f>VLOOKUP(E1163,Lookup_Tables!$A$3:$B$5,2,)</f>
        <v>6281.2528616024974</v>
      </c>
      <c r="AJ1163" t="str">
        <f t="shared" si="74"/>
        <v>Above salary</v>
      </c>
      <c r="AK1163" t="str">
        <f t="shared" si="75"/>
        <v>Medium Risk</v>
      </c>
    </row>
    <row r="1164" spans="1:37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t="s">
        <v>46</v>
      </c>
      <c r="L1164">
        <v>55</v>
      </c>
      <c r="M1164">
        <v>2</v>
      </c>
      <c r="N1164">
        <v>3</v>
      </c>
      <c r="O1164" t="s">
        <v>40</v>
      </c>
      <c r="P1164">
        <v>1</v>
      </c>
      <c r="Q1164" t="s">
        <v>48</v>
      </c>
      <c r="R1164" s="3">
        <v>10306</v>
      </c>
      <c r="S1164">
        <v>21530</v>
      </c>
      <c r="T1164">
        <v>9</v>
      </c>
      <c r="U1164" t="s">
        <v>43</v>
      </c>
      <c r="V1164" s="2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tr">
        <f t="shared" si="72"/>
        <v>26-35</v>
      </c>
      <c r="AH1164" t="str">
        <f t="shared" si="73"/>
        <v>High</v>
      </c>
      <c r="AI1164" s="1">
        <f>VLOOKUP(E1164,Lookup_Tables!$A$3:$B$5,2,)</f>
        <v>6959.17264573991</v>
      </c>
      <c r="AJ1164" t="str">
        <f t="shared" si="74"/>
        <v>Above salary</v>
      </c>
      <c r="AK1164" t="str">
        <f t="shared" si="75"/>
        <v>Medium Risk</v>
      </c>
    </row>
    <row r="1165" spans="1:37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t="s">
        <v>39</v>
      </c>
      <c r="L1165">
        <v>71</v>
      </c>
      <c r="M1165">
        <v>3</v>
      </c>
      <c r="N1165">
        <v>1</v>
      </c>
      <c r="O1165" t="s">
        <v>47</v>
      </c>
      <c r="P1165">
        <v>2</v>
      </c>
      <c r="Q1165" t="s">
        <v>48</v>
      </c>
      <c r="R1165" s="3">
        <v>3936</v>
      </c>
      <c r="S1165">
        <v>9953</v>
      </c>
      <c r="T1165">
        <v>1</v>
      </c>
      <c r="U1165" t="s">
        <v>43</v>
      </c>
      <c r="V1165" s="2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tr">
        <f t="shared" si="72"/>
        <v>36-45</v>
      </c>
      <c r="AH1165" t="str">
        <f t="shared" si="73"/>
        <v>Mid</v>
      </c>
      <c r="AI1165" s="1">
        <f>VLOOKUP(E1165,Lookup_Tables!$A$3:$B$5,2,)</f>
        <v>6281.2528616024974</v>
      </c>
      <c r="AJ1165" t="str">
        <f t="shared" si="74"/>
        <v>Below salary</v>
      </c>
      <c r="AK1165" t="str">
        <f t="shared" si="75"/>
        <v>Medium Risk</v>
      </c>
    </row>
    <row r="1166" spans="1:37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84</v>
      </c>
      <c r="M1166">
        <v>3</v>
      </c>
      <c r="N1166">
        <v>3</v>
      </c>
      <c r="O1166" t="s">
        <v>53</v>
      </c>
      <c r="P1166">
        <v>4</v>
      </c>
      <c r="Q1166" t="s">
        <v>41</v>
      </c>
      <c r="R1166" s="3">
        <v>7945</v>
      </c>
      <c r="S1166">
        <v>19948</v>
      </c>
      <c r="T1166">
        <v>6</v>
      </c>
      <c r="U1166" t="s">
        <v>35</v>
      </c>
      <c r="V1166" s="2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tr">
        <f t="shared" si="72"/>
        <v>36-45</v>
      </c>
      <c r="AH1166" t="str">
        <f t="shared" si="73"/>
        <v>High</v>
      </c>
      <c r="AI1166" s="1">
        <f>VLOOKUP(E1166,Lookup_Tables!$A$3:$B$5,2,)</f>
        <v>6281.2528616024974</v>
      </c>
      <c r="AJ1166" t="str">
        <f t="shared" si="74"/>
        <v>Above salary</v>
      </c>
      <c r="AK1166" t="str">
        <f t="shared" si="75"/>
        <v>Medium Risk</v>
      </c>
    </row>
    <row r="1167" spans="1:37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1642</v>
      </c>
      <c r="J1167">
        <v>1</v>
      </c>
      <c r="K1167" t="s">
        <v>46</v>
      </c>
      <c r="L1167">
        <v>37</v>
      </c>
      <c r="M1167">
        <v>3</v>
      </c>
      <c r="N1167">
        <v>2</v>
      </c>
      <c r="O1167" t="s">
        <v>61</v>
      </c>
      <c r="P1167">
        <v>4</v>
      </c>
      <c r="Q1167" t="s">
        <v>48</v>
      </c>
      <c r="R1167" s="3">
        <v>5743</v>
      </c>
      <c r="S1167">
        <v>10503</v>
      </c>
      <c r="T1167">
        <v>4</v>
      </c>
      <c r="U1167" t="s">
        <v>35</v>
      </c>
      <c r="V1167" s="2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tr">
        <f t="shared" si="72"/>
        <v>36-45</v>
      </c>
      <c r="AH1167" t="str">
        <f t="shared" si="73"/>
        <v>Mid</v>
      </c>
      <c r="AI1167" s="1">
        <f>VLOOKUP(E1167,Lookup_Tables!$A$3:$B$5,2,)</f>
        <v>6654.5079365079364</v>
      </c>
      <c r="AJ1167" t="str">
        <f t="shared" si="74"/>
        <v>Below salary</v>
      </c>
      <c r="AK1167" t="str">
        <f t="shared" si="75"/>
        <v>Medium Risk</v>
      </c>
    </row>
    <row r="1168" spans="1:37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t="s">
        <v>46</v>
      </c>
      <c r="L1168">
        <v>89</v>
      </c>
      <c r="M1168">
        <v>2</v>
      </c>
      <c r="N1168">
        <v>4</v>
      </c>
      <c r="O1168" t="s">
        <v>56</v>
      </c>
      <c r="P1168">
        <v>4</v>
      </c>
      <c r="Q1168" t="s">
        <v>48</v>
      </c>
      <c r="R1168" s="3">
        <v>15202</v>
      </c>
      <c r="S1168">
        <v>5602</v>
      </c>
      <c r="T1168">
        <v>2</v>
      </c>
      <c r="U1168" t="s">
        <v>43</v>
      </c>
      <c r="V1168" s="2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tr">
        <f t="shared" si="72"/>
        <v>46+</v>
      </c>
      <c r="AH1168" t="str">
        <f t="shared" si="73"/>
        <v>Very High</v>
      </c>
      <c r="AI1168" s="1">
        <f>VLOOKUP(E1168,Lookup_Tables!$A$3:$B$5,2,)</f>
        <v>6281.2528616024974</v>
      </c>
      <c r="AJ1168" t="str">
        <f t="shared" si="74"/>
        <v>Above salary</v>
      </c>
      <c r="AK1168" t="str">
        <f t="shared" si="75"/>
        <v>Low Risk</v>
      </c>
    </row>
    <row r="1169" spans="1:37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t="s">
        <v>46</v>
      </c>
      <c r="L1169">
        <v>59</v>
      </c>
      <c r="M1169">
        <v>1</v>
      </c>
      <c r="N1169">
        <v>2</v>
      </c>
      <c r="O1169" t="s">
        <v>40</v>
      </c>
      <c r="P1169">
        <v>4</v>
      </c>
      <c r="Q1169" t="s">
        <v>52</v>
      </c>
      <c r="R1169" s="3">
        <v>5440</v>
      </c>
      <c r="S1169">
        <v>22098</v>
      </c>
      <c r="T1169">
        <v>6</v>
      </c>
      <c r="U1169" t="s">
        <v>35</v>
      </c>
      <c r="V1169" s="2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tr">
        <f t="shared" si="72"/>
        <v>26-35</v>
      </c>
      <c r="AH1169" t="str">
        <f t="shared" si="73"/>
        <v>Mid</v>
      </c>
      <c r="AI1169" s="1">
        <f>VLOOKUP(E1169,Lookup_Tables!$A$3:$B$5,2,)</f>
        <v>6959.17264573991</v>
      </c>
      <c r="AJ1169" t="str">
        <f t="shared" si="74"/>
        <v>Below salary</v>
      </c>
      <c r="AK1169" t="str">
        <f t="shared" si="75"/>
        <v>Medium Risk</v>
      </c>
    </row>
    <row r="1170" spans="1:37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1646</v>
      </c>
      <c r="J1170">
        <v>1</v>
      </c>
      <c r="K1170" t="s">
        <v>39</v>
      </c>
      <c r="L1170">
        <v>32</v>
      </c>
      <c r="M1170">
        <v>3</v>
      </c>
      <c r="N1170">
        <v>1</v>
      </c>
      <c r="O1170" t="s">
        <v>47</v>
      </c>
      <c r="P1170">
        <v>4</v>
      </c>
      <c r="Q1170" t="s">
        <v>41</v>
      </c>
      <c r="R1170" s="3">
        <v>3760</v>
      </c>
      <c r="S1170">
        <v>17218</v>
      </c>
      <c r="T1170">
        <v>1</v>
      </c>
      <c r="U1170" t="s">
        <v>35</v>
      </c>
      <c r="V1170" s="2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tr">
        <f t="shared" si="72"/>
        <v>18-25</v>
      </c>
      <c r="AH1170" t="str">
        <f t="shared" si="73"/>
        <v>Mid</v>
      </c>
      <c r="AI1170" s="1">
        <f>VLOOKUP(E1170,Lookup_Tables!$A$3:$B$5,2,)</f>
        <v>6281.2528616024974</v>
      </c>
      <c r="AJ1170" t="str">
        <f t="shared" si="74"/>
        <v>Below salary</v>
      </c>
      <c r="AK1170" t="str">
        <f t="shared" si="75"/>
        <v>Medium Risk</v>
      </c>
    </row>
    <row r="1171" spans="1:37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t="s">
        <v>39</v>
      </c>
      <c r="L1171">
        <v>86</v>
      </c>
      <c r="M1171">
        <v>4</v>
      </c>
      <c r="N1171">
        <v>1</v>
      </c>
      <c r="O1171" t="s">
        <v>47</v>
      </c>
      <c r="P1171">
        <v>3</v>
      </c>
      <c r="Q1171" t="s">
        <v>48</v>
      </c>
      <c r="R1171" s="3">
        <v>3517</v>
      </c>
      <c r="S1171">
        <v>22490</v>
      </c>
      <c r="T1171">
        <v>7</v>
      </c>
      <c r="U1171" t="s">
        <v>43</v>
      </c>
      <c r="V1171" s="2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tr">
        <f t="shared" si="72"/>
        <v>26-35</v>
      </c>
      <c r="AH1171" t="str">
        <f t="shared" si="73"/>
        <v>Mid</v>
      </c>
      <c r="AI1171" s="1">
        <f>VLOOKUP(E1171,Lookup_Tables!$A$3:$B$5,2,)</f>
        <v>6281.2528616024974</v>
      </c>
      <c r="AJ1171" t="str">
        <f t="shared" si="74"/>
        <v>Below salary</v>
      </c>
      <c r="AK1171" t="str">
        <f t="shared" si="75"/>
        <v>Low Risk</v>
      </c>
    </row>
    <row r="1172" spans="1:37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t="s">
        <v>46</v>
      </c>
      <c r="L1172">
        <v>87</v>
      </c>
      <c r="M1172">
        <v>3</v>
      </c>
      <c r="N1172">
        <v>1</v>
      </c>
      <c r="O1172" t="s">
        <v>47</v>
      </c>
      <c r="P1172">
        <v>4</v>
      </c>
      <c r="Q1172" t="s">
        <v>41</v>
      </c>
      <c r="R1172" s="3">
        <v>2580</v>
      </c>
      <c r="S1172">
        <v>6297</v>
      </c>
      <c r="T1172">
        <v>2</v>
      </c>
      <c r="U1172" t="s">
        <v>43</v>
      </c>
      <c r="V1172" s="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tr">
        <f t="shared" si="72"/>
        <v>26-35</v>
      </c>
      <c r="AH1172" t="str">
        <f t="shared" si="73"/>
        <v>Low</v>
      </c>
      <c r="AI1172" s="1">
        <f>VLOOKUP(E1172,Lookup_Tables!$A$3:$B$5,2,)</f>
        <v>6281.2528616024974</v>
      </c>
      <c r="AJ1172" t="str">
        <f t="shared" si="74"/>
        <v>Below salary</v>
      </c>
      <c r="AK1172" t="str">
        <f t="shared" si="75"/>
        <v>Low Risk</v>
      </c>
    </row>
    <row r="1173" spans="1:37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46</v>
      </c>
      <c r="L1173">
        <v>73</v>
      </c>
      <c r="M1173">
        <v>3</v>
      </c>
      <c r="N1173">
        <v>1</v>
      </c>
      <c r="O1173" t="s">
        <v>50</v>
      </c>
      <c r="P1173">
        <v>1</v>
      </c>
      <c r="Q1173" t="s">
        <v>41</v>
      </c>
      <c r="R1173" s="3">
        <v>2166</v>
      </c>
      <c r="S1173">
        <v>3339</v>
      </c>
      <c r="T1173">
        <v>3</v>
      </c>
      <c r="U1173" t="s">
        <v>35</v>
      </c>
      <c r="V1173" s="2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tr">
        <f t="shared" si="72"/>
        <v>36-45</v>
      </c>
      <c r="AH1173" t="str">
        <f t="shared" si="73"/>
        <v>Low</v>
      </c>
      <c r="AI1173" s="1">
        <f>VLOOKUP(E1173,Lookup_Tables!$A$3:$B$5,2,)</f>
        <v>6281.2528616024974</v>
      </c>
      <c r="AJ1173" t="str">
        <f t="shared" si="74"/>
        <v>Below salary</v>
      </c>
      <c r="AK1173" t="str">
        <f t="shared" si="75"/>
        <v>High Risk</v>
      </c>
    </row>
    <row r="1174" spans="1:37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t="s">
        <v>46</v>
      </c>
      <c r="L1174">
        <v>42</v>
      </c>
      <c r="M1174">
        <v>2</v>
      </c>
      <c r="N1174">
        <v>2</v>
      </c>
      <c r="O1174" t="s">
        <v>40</v>
      </c>
      <c r="P1174">
        <v>3</v>
      </c>
      <c r="Q1174" t="s">
        <v>41</v>
      </c>
      <c r="R1174" s="3">
        <v>5869</v>
      </c>
      <c r="S1174">
        <v>23413</v>
      </c>
      <c r="T1174">
        <v>9</v>
      </c>
      <c r="U1174" t="s">
        <v>43</v>
      </c>
      <c r="V1174" s="2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tr">
        <f t="shared" si="72"/>
        <v>26-35</v>
      </c>
      <c r="AH1174" t="str">
        <f t="shared" si="73"/>
        <v>Mid</v>
      </c>
      <c r="AI1174" s="1">
        <f>VLOOKUP(E1174,Lookup_Tables!$A$3:$B$5,2,)</f>
        <v>6959.17264573991</v>
      </c>
      <c r="AJ1174" t="str">
        <f t="shared" si="74"/>
        <v>Below salary</v>
      </c>
      <c r="AK1174" t="str">
        <f t="shared" si="75"/>
        <v>Low Risk</v>
      </c>
    </row>
    <row r="1175" spans="1:37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42</v>
      </c>
      <c r="M1175">
        <v>3</v>
      </c>
      <c r="N1175">
        <v>3</v>
      </c>
      <c r="O1175" t="s">
        <v>54</v>
      </c>
      <c r="P1175">
        <v>1</v>
      </c>
      <c r="Q1175" t="s">
        <v>48</v>
      </c>
      <c r="R1175" s="3">
        <v>8008</v>
      </c>
      <c r="S1175">
        <v>22792</v>
      </c>
      <c r="T1175">
        <v>4</v>
      </c>
      <c r="U1175" t="s">
        <v>43</v>
      </c>
      <c r="V1175" s="2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tr">
        <f t="shared" si="72"/>
        <v>36-45</v>
      </c>
      <c r="AH1175" t="str">
        <f t="shared" si="73"/>
        <v>High</v>
      </c>
      <c r="AI1175" s="1">
        <f>VLOOKUP(E1175,Lookup_Tables!$A$3:$B$5,2,)</f>
        <v>6281.2528616024974</v>
      </c>
      <c r="AJ1175" t="str">
        <f t="shared" si="74"/>
        <v>Above salary</v>
      </c>
      <c r="AK1175" t="str">
        <f t="shared" si="75"/>
        <v>Medium Risk</v>
      </c>
    </row>
    <row r="1176" spans="1:37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46</v>
      </c>
      <c r="L1176">
        <v>77</v>
      </c>
      <c r="M1176">
        <v>4</v>
      </c>
      <c r="N1176">
        <v>2</v>
      </c>
      <c r="O1176" t="s">
        <v>53</v>
      </c>
      <c r="P1176">
        <v>3</v>
      </c>
      <c r="Q1176" t="s">
        <v>52</v>
      </c>
      <c r="R1176" s="3">
        <v>5206</v>
      </c>
      <c r="S1176">
        <v>4973</v>
      </c>
      <c r="T1176">
        <v>1</v>
      </c>
      <c r="U1176" t="s">
        <v>43</v>
      </c>
      <c r="V1176" s="2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tr">
        <f t="shared" si="72"/>
        <v>18-25</v>
      </c>
      <c r="AH1176" t="str">
        <f t="shared" si="73"/>
        <v>Mid</v>
      </c>
      <c r="AI1176" s="1">
        <f>VLOOKUP(E1176,Lookup_Tables!$A$3:$B$5,2,)</f>
        <v>6281.2528616024974</v>
      </c>
      <c r="AJ1176" t="str">
        <f t="shared" si="74"/>
        <v>Below salary</v>
      </c>
      <c r="AK1176" t="str">
        <f t="shared" si="75"/>
        <v>Low Risk</v>
      </c>
    </row>
    <row r="1177" spans="1:37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t="s">
        <v>46</v>
      </c>
      <c r="L1177">
        <v>66</v>
      </c>
      <c r="M1177">
        <v>3</v>
      </c>
      <c r="N1177">
        <v>2</v>
      </c>
      <c r="O1177" t="s">
        <v>53</v>
      </c>
      <c r="P1177">
        <v>2</v>
      </c>
      <c r="Q1177" t="s">
        <v>48</v>
      </c>
      <c r="R1177" s="3">
        <v>5295</v>
      </c>
      <c r="S1177">
        <v>7693</v>
      </c>
      <c r="T1177">
        <v>4</v>
      </c>
      <c r="U1177" t="s">
        <v>43</v>
      </c>
      <c r="V1177" s="2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tr">
        <f t="shared" si="72"/>
        <v>36-45</v>
      </c>
      <c r="AH1177" t="str">
        <f t="shared" si="73"/>
        <v>Mid</v>
      </c>
      <c r="AI1177" s="1">
        <f>VLOOKUP(E1177,Lookup_Tables!$A$3:$B$5,2,)</f>
        <v>6281.2528616024974</v>
      </c>
      <c r="AJ1177" t="str">
        <f t="shared" si="74"/>
        <v>Below salary</v>
      </c>
      <c r="AK1177" t="str">
        <f t="shared" si="75"/>
        <v>Medium Risk</v>
      </c>
    </row>
    <row r="1178" spans="1:37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t="s">
        <v>39</v>
      </c>
      <c r="L1178">
        <v>72</v>
      </c>
      <c r="M1178">
        <v>3</v>
      </c>
      <c r="N1178">
        <v>4</v>
      </c>
      <c r="O1178" t="s">
        <v>58</v>
      </c>
      <c r="P1178">
        <v>2</v>
      </c>
      <c r="Q1178" t="s">
        <v>48</v>
      </c>
      <c r="R1178" s="3">
        <v>16413</v>
      </c>
      <c r="S1178">
        <v>3498</v>
      </c>
      <c r="T1178">
        <v>3</v>
      </c>
      <c r="U1178" t="s">
        <v>43</v>
      </c>
      <c r="V1178" s="2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tr">
        <f t="shared" si="72"/>
        <v>46+</v>
      </c>
      <c r="AH1178" t="str">
        <f t="shared" si="73"/>
        <v>Very High</v>
      </c>
      <c r="AI1178" s="1">
        <f>VLOOKUP(E1178,Lookup_Tables!$A$3:$B$5,2,)</f>
        <v>6281.2528616024974</v>
      </c>
      <c r="AJ1178" t="str">
        <f t="shared" si="74"/>
        <v>Above salary</v>
      </c>
      <c r="AK1178" t="str">
        <f t="shared" si="75"/>
        <v>Medium Risk</v>
      </c>
    </row>
    <row r="1179" spans="1:37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50</v>
      </c>
      <c r="M1179">
        <v>2</v>
      </c>
      <c r="N1179">
        <v>3</v>
      </c>
      <c r="O1179" t="s">
        <v>58</v>
      </c>
      <c r="P1179">
        <v>1</v>
      </c>
      <c r="Q1179" t="s">
        <v>52</v>
      </c>
      <c r="R1179" s="3">
        <v>13269</v>
      </c>
      <c r="S1179">
        <v>21981</v>
      </c>
      <c r="T1179">
        <v>5</v>
      </c>
      <c r="U1179" t="s">
        <v>43</v>
      </c>
      <c r="V1179" s="2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tr">
        <f t="shared" si="72"/>
        <v>46+</v>
      </c>
      <c r="AH1179" t="str">
        <f t="shared" si="73"/>
        <v>Very High</v>
      </c>
      <c r="AI1179" s="1">
        <f>VLOOKUP(E1179,Lookup_Tables!$A$3:$B$5,2,)</f>
        <v>6281.2528616024974</v>
      </c>
      <c r="AJ1179" t="str">
        <f t="shared" si="74"/>
        <v>Above salary</v>
      </c>
      <c r="AK1179" t="str">
        <f t="shared" si="75"/>
        <v>Medium Risk</v>
      </c>
    </row>
    <row r="1180" spans="1:37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t="s">
        <v>39</v>
      </c>
      <c r="L1180">
        <v>31</v>
      </c>
      <c r="M1180">
        <v>3</v>
      </c>
      <c r="N1180">
        <v>1</v>
      </c>
      <c r="O1180" t="s">
        <v>57</v>
      </c>
      <c r="P1180">
        <v>3</v>
      </c>
      <c r="Q1180" t="s">
        <v>41</v>
      </c>
      <c r="R1180" s="3">
        <v>2783</v>
      </c>
      <c r="S1180">
        <v>13251</v>
      </c>
      <c r="T1180">
        <v>1</v>
      </c>
      <c r="U1180" t="s">
        <v>43</v>
      </c>
      <c r="V1180" s="2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tr">
        <f t="shared" si="72"/>
        <v>18-25</v>
      </c>
      <c r="AH1180" t="str">
        <f t="shared" si="73"/>
        <v>Low</v>
      </c>
      <c r="AI1180" s="1">
        <f>VLOOKUP(E1180,Lookup_Tables!$A$3:$B$5,2,)</f>
        <v>6959.17264573991</v>
      </c>
      <c r="AJ1180" t="str">
        <f t="shared" si="74"/>
        <v>Below salary</v>
      </c>
      <c r="AK1180" t="str">
        <f t="shared" si="75"/>
        <v>Low Risk</v>
      </c>
    </row>
    <row r="1181" spans="1:37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66</v>
      </c>
      <c r="M1181">
        <v>3</v>
      </c>
      <c r="N1181">
        <v>2</v>
      </c>
      <c r="O1181" t="s">
        <v>47</v>
      </c>
      <c r="P1181">
        <v>2</v>
      </c>
      <c r="Q1181" t="s">
        <v>52</v>
      </c>
      <c r="R1181" s="3">
        <v>5433</v>
      </c>
      <c r="S1181">
        <v>19332</v>
      </c>
      <c r="T1181">
        <v>1</v>
      </c>
      <c r="U1181" t="s">
        <v>43</v>
      </c>
      <c r="V1181" s="2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tr">
        <f t="shared" si="72"/>
        <v>26-35</v>
      </c>
      <c r="AH1181" t="str">
        <f t="shared" si="73"/>
        <v>Mid</v>
      </c>
      <c r="AI1181" s="1">
        <f>VLOOKUP(E1181,Lookup_Tables!$A$3:$B$5,2,)</f>
        <v>6281.2528616024974</v>
      </c>
      <c r="AJ1181" t="str">
        <f t="shared" si="74"/>
        <v>Below salary</v>
      </c>
      <c r="AK1181" t="str">
        <f t="shared" si="75"/>
        <v>Medium Risk</v>
      </c>
    </row>
    <row r="1182" spans="1:37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46</v>
      </c>
      <c r="L1182">
        <v>77</v>
      </c>
      <c r="M1182">
        <v>3</v>
      </c>
      <c r="N1182">
        <v>1</v>
      </c>
      <c r="O1182" t="s">
        <v>50</v>
      </c>
      <c r="P1182">
        <v>2</v>
      </c>
      <c r="Q1182" t="s">
        <v>41</v>
      </c>
      <c r="R1182" s="3">
        <v>2013</v>
      </c>
      <c r="S1182">
        <v>10950</v>
      </c>
      <c r="T1182">
        <v>2</v>
      </c>
      <c r="U1182" t="s">
        <v>43</v>
      </c>
      <c r="V1182" s="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tr">
        <f t="shared" si="72"/>
        <v>36-45</v>
      </c>
      <c r="AH1182" t="str">
        <f t="shared" si="73"/>
        <v>Low</v>
      </c>
      <c r="AI1182" s="1">
        <f>VLOOKUP(E1182,Lookup_Tables!$A$3:$B$5,2,)</f>
        <v>6281.2528616024974</v>
      </c>
      <c r="AJ1182" t="str">
        <f t="shared" si="74"/>
        <v>Below salary</v>
      </c>
      <c r="AK1182" t="str">
        <f t="shared" si="75"/>
        <v>Medium Risk</v>
      </c>
    </row>
    <row r="1183" spans="1:37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41</v>
      </c>
      <c r="M1183">
        <v>2</v>
      </c>
      <c r="N1183">
        <v>4</v>
      </c>
      <c r="O1183" t="s">
        <v>54</v>
      </c>
      <c r="P1183">
        <v>3</v>
      </c>
      <c r="Q1183" t="s">
        <v>48</v>
      </c>
      <c r="R1183" s="3">
        <v>13966</v>
      </c>
      <c r="S1183">
        <v>11652</v>
      </c>
      <c r="T1183">
        <v>2</v>
      </c>
      <c r="U1183" t="s">
        <v>35</v>
      </c>
      <c r="V1183" s="2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tr">
        <f t="shared" si="72"/>
        <v>46+</v>
      </c>
      <c r="AH1183" t="str">
        <f t="shared" si="73"/>
        <v>Very High</v>
      </c>
      <c r="AI1183" s="1">
        <f>VLOOKUP(E1183,Lookup_Tables!$A$3:$B$5,2,)</f>
        <v>6281.2528616024974</v>
      </c>
      <c r="AJ1183" t="str">
        <f t="shared" si="74"/>
        <v>Above salary</v>
      </c>
      <c r="AK1183" t="str">
        <f t="shared" si="75"/>
        <v>Medium Risk</v>
      </c>
    </row>
    <row r="1184" spans="1:37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t="s">
        <v>39</v>
      </c>
      <c r="L1184">
        <v>33</v>
      </c>
      <c r="M1184">
        <v>2</v>
      </c>
      <c r="N1184">
        <v>2</v>
      </c>
      <c r="O1184" t="s">
        <v>53</v>
      </c>
      <c r="P1184">
        <v>3</v>
      </c>
      <c r="Q1184" t="s">
        <v>48</v>
      </c>
      <c r="R1184" s="3">
        <v>4374</v>
      </c>
      <c r="S1184">
        <v>15411</v>
      </c>
      <c r="T1184">
        <v>0</v>
      </c>
      <c r="U1184" t="s">
        <v>43</v>
      </c>
      <c r="V1184" s="2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tr">
        <f t="shared" si="72"/>
        <v>36-45</v>
      </c>
      <c r="AH1184" t="str">
        <f t="shared" si="73"/>
        <v>Mid</v>
      </c>
      <c r="AI1184" s="1">
        <f>VLOOKUP(E1184,Lookup_Tables!$A$3:$B$5,2,)</f>
        <v>6281.2528616024974</v>
      </c>
      <c r="AJ1184" t="str">
        <f t="shared" si="74"/>
        <v>Below salary</v>
      </c>
      <c r="AK1184" t="str">
        <f t="shared" si="75"/>
        <v>Low Risk</v>
      </c>
    </row>
    <row r="1185" spans="1:37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46</v>
      </c>
      <c r="L1185">
        <v>79</v>
      </c>
      <c r="M1185">
        <v>4</v>
      </c>
      <c r="N1185">
        <v>2</v>
      </c>
      <c r="O1185" t="s">
        <v>54</v>
      </c>
      <c r="P1185">
        <v>1</v>
      </c>
      <c r="Q1185" t="s">
        <v>52</v>
      </c>
      <c r="R1185" s="3">
        <v>6842</v>
      </c>
      <c r="S1185">
        <v>26308</v>
      </c>
      <c r="T1185">
        <v>6</v>
      </c>
      <c r="U1185" t="s">
        <v>43</v>
      </c>
      <c r="V1185" s="2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tr">
        <f t="shared" si="72"/>
        <v>36-45</v>
      </c>
      <c r="AH1185" t="str">
        <f t="shared" si="73"/>
        <v>Mid</v>
      </c>
      <c r="AI1185" s="1">
        <f>VLOOKUP(E1185,Lookup_Tables!$A$3:$B$5,2,)</f>
        <v>6281.2528616024974</v>
      </c>
      <c r="AJ1185" t="str">
        <f t="shared" si="74"/>
        <v>Above salary</v>
      </c>
      <c r="AK1185" t="str">
        <f t="shared" si="75"/>
        <v>Medium Risk</v>
      </c>
    </row>
    <row r="1186" spans="1:37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t="s">
        <v>39</v>
      </c>
      <c r="L1186">
        <v>91</v>
      </c>
      <c r="M1186">
        <v>3</v>
      </c>
      <c r="N1186">
        <v>4</v>
      </c>
      <c r="O1186" t="s">
        <v>56</v>
      </c>
      <c r="P1186">
        <v>3</v>
      </c>
      <c r="Q1186" t="s">
        <v>48</v>
      </c>
      <c r="R1186" s="3">
        <v>17426</v>
      </c>
      <c r="S1186">
        <v>18685</v>
      </c>
      <c r="T1186">
        <v>3</v>
      </c>
      <c r="U1186" t="s">
        <v>43</v>
      </c>
      <c r="V1186" s="2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tr">
        <f t="shared" si="72"/>
        <v>46+</v>
      </c>
      <c r="AH1186" t="str">
        <f t="shared" si="73"/>
        <v>Very High</v>
      </c>
      <c r="AI1186" s="1">
        <f>VLOOKUP(E1186,Lookup_Tables!$A$3:$B$5,2,)</f>
        <v>6281.2528616024974</v>
      </c>
      <c r="AJ1186" t="str">
        <f t="shared" si="74"/>
        <v>Above salary</v>
      </c>
      <c r="AK1186" t="str">
        <f t="shared" si="75"/>
        <v>Low Risk</v>
      </c>
    </row>
    <row r="1187" spans="1:37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46</v>
      </c>
      <c r="L1187">
        <v>65</v>
      </c>
      <c r="M1187">
        <v>2</v>
      </c>
      <c r="N1187">
        <v>4</v>
      </c>
      <c r="O1187" t="s">
        <v>58</v>
      </c>
      <c r="P1187">
        <v>3</v>
      </c>
      <c r="Q1187" t="s">
        <v>48</v>
      </c>
      <c r="R1187" s="3">
        <v>17603</v>
      </c>
      <c r="S1187">
        <v>3525</v>
      </c>
      <c r="T1187">
        <v>1</v>
      </c>
      <c r="U1187" t="s">
        <v>43</v>
      </c>
      <c r="V1187" s="2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tr">
        <f t="shared" si="72"/>
        <v>36-45</v>
      </c>
      <c r="AH1187" t="str">
        <f t="shared" si="73"/>
        <v>Very High</v>
      </c>
      <c r="AI1187" s="1">
        <f>VLOOKUP(E1187,Lookup_Tables!$A$3:$B$5,2,)</f>
        <v>6281.2528616024974</v>
      </c>
      <c r="AJ1187" t="str">
        <f t="shared" si="74"/>
        <v>Above salary</v>
      </c>
      <c r="AK1187" t="str">
        <f t="shared" si="75"/>
        <v>Low Risk</v>
      </c>
    </row>
    <row r="1188" spans="1:37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t="s">
        <v>46</v>
      </c>
      <c r="L1188">
        <v>36</v>
      </c>
      <c r="M1188">
        <v>3</v>
      </c>
      <c r="N1188">
        <v>2</v>
      </c>
      <c r="O1188" t="s">
        <v>40</v>
      </c>
      <c r="P1188">
        <v>4</v>
      </c>
      <c r="Q1188" t="s">
        <v>41</v>
      </c>
      <c r="R1188" s="3">
        <v>4581</v>
      </c>
      <c r="S1188">
        <v>10414</v>
      </c>
      <c r="T1188">
        <v>3</v>
      </c>
      <c r="U1188" t="s">
        <v>35</v>
      </c>
      <c r="V1188" s="2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tr">
        <f t="shared" si="72"/>
        <v>26-35</v>
      </c>
      <c r="AH1188" t="str">
        <f t="shared" si="73"/>
        <v>Mid</v>
      </c>
      <c r="AI1188" s="1">
        <f>VLOOKUP(E1188,Lookup_Tables!$A$3:$B$5,2,)</f>
        <v>6959.17264573991</v>
      </c>
      <c r="AJ1188" t="str">
        <f t="shared" si="74"/>
        <v>Below salary</v>
      </c>
      <c r="AK1188" t="str">
        <f t="shared" si="75"/>
        <v>Medium Risk</v>
      </c>
    </row>
    <row r="1189" spans="1:37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46</v>
      </c>
      <c r="L1189">
        <v>90</v>
      </c>
      <c r="M1189">
        <v>3</v>
      </c>
      <c r="N1189">
        <v>2</v>
      </c>
      <c r="O1189" t="s">
        <v>47</v>
      </c>
      <c r="P1189">
        <v>4</v>
      </c>
      <c r="Q1189" t="s">
        <v>48</v>
      </c>
      <c r="R1189" s="3">
        <v>4735</v>
      </c>
      <c r="S1189">
        <v>9867</v>
      </c>
      <c r="T1189">
        <v>7</v>
      </c>
      <c r="U1189" t="s">
        <v>43</v>
      </c>
      <c r="V1189" s="2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tr">
        <f t="shared" si="72"/>
        <v>36-45</v>
      </c>
      <c r="AH1189" t="str">
        <f t="shared" si="73"/>
        <v>Mid</v>
      </c>
      <c r="AI1189" s="1">
        <f>VLOOKUP(E1189,Lookup_Tables!$A$3:$B$5,2,)</f>
        <v>6281.2528616024974</v>
      </c>
      <c r="AJ1189" t="str">
        <f t="shared" si="74"/>
        <v>Below salary</v>
      </c>
      <c r="AK1189" t="str">
        <f t="shared" si="75"/>
        <v>Low Risk</v>
      </c>
    </row>
    <row r="1190" spans="1:37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t="s">
        <v>46</v>
      </c>
      <c r="L1190">
        <v>43</v>
      </c>
      <c r="M1190">
        <v>2</v>
      </c>
      <c r="N1190">
        <v>2</v>
      </c>
      <c r="O1190" t="s">
        <v>40</v>
      </c>
      <c r="P1190">
        <v>2</v>
      </c>
      <c r="Q1190" t="s">
        <v>52</v>
      </c>
      <c r="R1190" s="3">
        <v>4187</v>
      </c>
      <c r="S1190">
        <v>3356</v>
      </c>
      <c r="T1190">
        <v>1</v>
      </c>
      <c r="U1190" t="s">
        <v>35</v>
      </c>
      <c r="V1190" s="2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tr">
        <f t="shared" si="72"/>
        <v>26-35</v>
      </c>
      <c r="AH1190" t="str">
        <f t="shared" si="73"/>
        <v>Mid</v>
      </c>
      <c r="AI1190" s="1">
        <f>VLOOKUP(E1190,Lookup_Tables!$A$3:$B$5,2,)</f>
        <v>6959.17264573991</v>
      </c>
      <c r="AJ1190" t="str">
        <f t="shared" si="74"/>
        <v>Below salary</v>
      </c>
      <c r="AK1190" t="str">
        <f t="shared" si="75"/>
        <v>High Risk</v>
      </c>
    </row>
    <row r="1191" spans="1:37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t="s">
        <v>46</v>
      </c>
      <c r="L1191">
        <v>93</v>
      </c>
      <c r="M1191">
        <v>3</v>
      </c>
      <c r="N1191">
        <v>2</v>
      </c>
      <c r="O1191" t="s">
        <v>40</v>
      </c>
      <c r="P1191">
        <v>4</v>
      </c>
      <c r="Q1191" t="s">
        <v>52</v>
      </c>
      <c r="R1191" s="3">
        <v>5505</v>
      </c>
      <c r="S1191">
        <v>3921</v>
      </c>
      <c r="T1191">
        <v>1</v>
      </c>
      <c r="U1191" t="s">
        <v>43</v>
      </c>
      <c r="V1191" s="2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tr">
        <f t="shared" si="72"/>
        <v>26-35</v>
      </c>
      <c r="AH1191" t="str">
        <f t="shared" si="73"/>
        <v>Mid</v>
      </c>
      <c r="AI1191" s="1">
        <f>VLOOKUP(E1191,Lookup_Tables!$A$3:$B$5,2,)</f>
        <v>6959.17264573991</v>
      </c>
      <c r="AJ1191" t="str">
        <f t="shared" si="74"/>
        <v>Below salary</v>
      </c>
      <c r="AK1191" t="str">
        <f t="shared" si="75"/>
        <v>Low Risk</v>
      </c>
    </row>
    <row r="1192" spans="1:37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t="s">
        <v>46</v>
      </c>
      <c r="L1192">
        <v>45</v>
      </c>
      <c r="M1192">
        <v>3</v>
      </c>
      <c r="N1192">
        <v>2</v>
      </c>
      <c r="O1192" t="s">
        <v>47</v>
      </c>
      <c r="P1192">
        <v>2</v>
      </c>
      <c r="Q1192" t="s">
        <v>52</v>
      </c>
      <c r="R1192" s="3">
        <v>5470</v>
      </c>
      <c r="S1192">
        <v>25518</v>
      </c>
      <c r="T1192">
        <v>0</v>
      </c>
      <c r="U1192" t="s">
        <v>43</v>
      </c>
      <c r="V1192" s="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tr">
        <f t="shared" si="72"/>
        <v>26-35</v>
      </c>
      <c r="AH1192" t="str">
        <f t="shared" si="73"/>
        <v>Mid</v>
      </c>
      <c r="AI1192" s="1">
        <f>VLOOKUP(E1192,Lookup_Tables!$A$3:$B$5,2,)</f>
        <v>6281.2528616024974</v>
      </c>
      <c r="AJ1192" t="str">
        <f t="shared" si="74"/>
        <v>Below salary</v>
      </c>
      <c r="AK1192" t="str">
        <f t="shared" si="75"/>
        <v>Medium Risk</v>
      </c>
    </row>
    <row r="1193" spans="1:37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67</v>
      </c>
      <c r="M1193">
        <v>3</v>
      </c>
      <c r="N1193">
        <v>2</v>
      </c>
      <c r="O1193" t="s">
        <v>40</v>
      </c>
      <c r="P1193">
        <v>4</v>
      </c>
      <c r="Q1193" t="s">
        <v>48</v>
      </c>
      <c r="R1193" s="3">
        <v>5476</v>
      </c>
      <c r="S1193">
        <v>22589</v>
      </c>
      <c r="T1193">
        <v>1</v>
      </c>
      <c r="U1193" t="s">
        <v>43</v>
      </c>
      <c r="V1193" s="2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tr">
        <f t="shared" si="72"/>
        <v>26-35</v>
      </c>
      <c r="AH1193" t="str">
        <f t="shared" si="73"/>
        <v>Mid</v>
      </c>
      <c r="AI1193" s="1">
        <f>VLOOKUP(E1193,Lookup_Tables!$A$3:$B$5,2,)</f>
        <v>6959.17264573991</v>
      </c>
      <c r="AJ1193" t="str">
        <f t="shared" si="74"/>
        <v>Below salary</v>
      </c>
      <c r="AK1193" t="str">
        <f t="shared" si="75"/>
        <v>Low Risk</v>
      </c>
    </row>
    <row r="1194" spans="1:37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t="s">
        <v>39</v>
      </c>
      <c r="L1194">
        <v>74</v>
      </c>
      <c r="M1194">
        <v>3</v>
      </c>
      <c r="N1194">
        <v>1</v>
      </c>
      <c r="O1194" t="s">
        <v>50</v>
      </c>
      <c r="P1194">
        <v>1</v>
      </c>
      <c r="Q1194" t="s">
        <v>52</v>
      </c>
      <c r="R1194" s="3">
        <v>2587</v>
      </c>
      <c r="S1194">
        <v>24941</v>
      </c>
      <c r="T1194">
        <v>4</v>
      </c>
      <c r="U1194" t="s">
        <v>35</v>
      </c>
      <c r="V1194" s="2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tr">
        <f t="shared" si="72"/>
        <v>46+</v>
      </c>
      <c r="AH1194" t="str">
        <f t="shared" si="73"/>
        <v>Low</v>
      </c>
      <c r="AI1194" s="1">
        <f>VLOOKUP(E1194,Lookup_Tables!$A$3:$B$5,2,)</f>
        <v>6281.2528616024974</v>
      </c>
      <c r="AJ1194" t="str">
        <f t="shared" si="74"/>
        <v>Below salary</v>
      </c>
      <c r="AK1194" t="str">
        <f t="shared" si="75"/>
        <v>High Risk</v>
      </c>
    </row>
    <row r="1195" spans="1:37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t="s">
        <v>39</v>
      </c>
      <c r="L1195">
        <v>42</v>
      </c>
      <c r="M1195">
        <v>2</v>
      </c>
      <c r="N1195">
        <v>1</v>
      </c>
      <c r="O1195" t="s">
        <v>50</v>
      </c>
      <c r="P1195">
        <v>2</v>
      </c>
      <c r="Q1195" t="s">
        <v>41</v>
      </c>
      <c r="R1195" s="3">
        <v>2440</v>
      </c>
      <c r="S1195">
        <v>23826</v>
      </c>
      <c r="T1195">
        <v>1</v>
      </c>
      <c r="U1195" t="s">
        <v>43</v>
      </c>
      <c r="V1195" s="2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tr">
        <f t="shared" si="72"/>
        <v>36-45</v>
      </c>
      <c r="AH1195" t="str">
        <f t="shared" si="73"/>
        <v>Low</v>
      </c>
      <c r="AI1195" s="1">
        <f>VLOOKUP(E1195,Lookup_Tables!$A$3:$B$5,2,)</f>
        <v>6281.2528616024974</v>
      </c>
      <c r="AJ1195" t="str">
        <f t="shared" si="74"/>
        <v>Below salary</v>
      </c>
      <c r="AK1195" t="str">
        <f t="shared" si="75"/>
        <v>Medium Risk</v>
      </c>
    </row>
    <row r="1196" spans="1:37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47</v>
      </c>
      <c r="M1196">
        <v>4</v>
      </c>
      <c r="N1196">
        <v>4</v>
      </c>
      <c r="O1196" t="s">
        <v>56</v>
      </c>
      <c r="P1196">
        <v>2</v>
      </c>
      <c r="Q1196" t="s">
        <v>52</v>
      </c>
      <c r="R1196" s="3">
        <v>15972</v>
      </c>
      <c r="S1196">
        <v>21086</v>
      </c>
      <c r="T1196">
        <v>6</v>
      </c>
      <c r="U1196" t="s">
        <v>43</v>
      </c>
      <c r="V1196" s="2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tr">
        <f t="shared" si="72"/>
        <v>46+</v>
      </c>
      <c r="AH1196" t="str">
        <f t="shared" si="73"/>
        <v>Very High</v>
      </c>
      <c r="AI1196" s="1">
        <f>VLOOKUP(E1196,Lookup_Tables!$A$3:$B$5,2,)</f>
        <v>6959.17264573991</v>
      </c>
      <c r="AJ1196" t="str">
        <f t="shared" si="74"/>
        <v>Above salary</v>
      </c>
      <c r="AK1196" t="str">
        <f t="shared" si="75"/>
        <v>Medium Risk</v>
      </c>
    </row>
    <row r="1197" spans="1:37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46</v>
      </c>
      <c r="L1197">
        <v>36</v>
      </c>
      <c r="M1197">
        <v>3</v>
      </c>
      <c r="N1197">
        <v>4</v>
      </c>
      <c r="O1197" t="s">
        <v>56</v>
      </c>
      <c r="P1197">
        <v>3</v>
      </c>
      <c r="Q1197" t="s">
        <v>41</v>
      </c>
      <c r="R1197" s="3">
        <v>15379</v>
      </c>
      <c r="S1197">
        <v>22384</v>
      </c>
      <c r="T1197">
        <v>4</v>
      </c>
      <c r="U1197" t="s">
        <v>43</v>
      </c>
      <c r="V1197" s="2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tr">
        <f t="shared" si="72"/>
        <v>46+</v>
      </c>
      <c r="AH1197" t="str">
        <f t="shared" si="73"/>
        <v>Very High</v>
      </c>
      <c r="AI1197" s="1">
        <f>VLOOKUP(E1197,Lookup_Tables!$A$3:$B$5,2,)</f>
        <v>6281.2528616024974</v>
      </c>
      <c r="AJ1197" t="str">
        <f t="shared" si="74"/>
        <v>Above salary</v>
      </c>
      <c r="AK1197" t="str">
        <f t="shared" si="75"/>
        <v>Low Risk</v>
      </c>
    </row>
    <row r="1198" spans="1:37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46</v>
      </c>
      <c r="L1198">
        <v>80</v>
      </c>
      <c r="M1198">
        <v>3</v>
      </c>
      <c r="N1198">
        <v>3</v>
      </c>
      <c r="O1198" t="s">
        <v>40</v>
      </c>
      <c r="P1198">
        <v>3</v>
      </c>
      <c r="Q1198" t="s">
        <v>41</v>
      </c>
      <c r="R1198" s="3">
        <v>7082</v>
      </c>
      <c r="S1198">
        <v>11591</v>
      </c>
      <c r="T1198">
        <v>3</v>
      </c>
      <c r="U1198" t="s">
        <v>35</v>
      </c>
      <c r="V1198" s="2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tr">
        <f t="shared" si="72"/>
        <v>36-45</v>
      </c>
      <c r="AH1198" t="str">
        <f t="shared" si="73"/>
        <v>High</v>
      </c>
      <c r="AI1198" s="1">
        <f>VLOOKUP(E1198,Lookup_Tables!$A$3:$B$5,2,)</f>
        <v>6959.17264573991</v>
      </c>
      <c r="AJ1198" t="str">
        <f t="shared" si="74"/>
        <v>Above salary</v>
      </c>
      <c r="AK1198" t="str">
        <f t="shared" si="75"/>
        <v>Medium Risk</v>
      </c>
    </row>
    <row r="1199" spans="1:37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46</v>
      </c>
      <c r="L1199">
        <v>54</v>
      </c>
      <c r="M1199">
        <v>3</v>
      </c>
      <c r="N1199">
        <v>1</v>
      </c>
      <c r="O1199" t="s">
        <v>57</v>
      </c>
      <c r="P1199">
        <v>1</v>
      </c>
      <c r="Q1199" t="s">
        <v>41</v>
      </c>
      <c r="R1199" s="3">
        <v>2728</v>
      </c>
      <c r="S1199">
        <v>21082</v>
      </c>
      <c r="T1199">
        <v>1</v>
      </c>
      <c r="U1199" t="s">
        <v>43</v>
      </c>
      <c r="V1199" s="2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tr">
        <f t="shared" si="72"/>
        <v>18-25</v>
      </c>
      <c r="AH1199" t="str">
        <f t="shared" si="73"/>
        <v>Low</v>
      </c>
      <c r="AI1199" s="1">
        <f>VLOOKUP(E1199,Lookup_Tables!$A$3:$B$5,2,)</f>
        <v>6959.17264573991</v>
      </c>
      <c r="AJ1199" t="str">
        <f t="shared" si="74"/>
        <v>Below salary</v>
      </c>
      <c r="AK1199" t="str">
        <f t="shared" si="75"/>
        <v>Medium Risk</v>
      </c>
    </row>
    <row r="1200" spans="1:37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36</v>
      </c>
      <c r="M1200">
        <v>3</v>
      </c>
      <c r="N1200">
        <v>2</v>
      </c>
      <c r="O1200" t="s">
        <v>40</v>
      </c>
      <c r="P1200">
        <v>4</v>
      </c>
      <c r="Q1200" t="s">
        <v>52</v>
      </c>
      <c r="R1200" s="3">
        <v>5368</v>
      </c>
      <c r="S1200">
        <v>16130</v>
      </c>
      <c r="T1200">
        <v>1</v>
      </c>
      <c r="U1200" t="s">
        <v>35</v>
      </c>
      <c r="V1200" s="2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tr">
        <f t="shared" si="72"/>
        <v>26-35</v>
      </c>
      <c r="AH1200" t="str">
        <f t="shared" si="73"/>
        <v>Mid</v>
      </c>
      <c r="AI1200" s="1">
        <f>VLOOKUP(E1200,Lookup_Tables!$A$3:$B$5,2,)</f>
        <v>6959.17264573991</v>
      </c>
      <c r="AJ1200" t="str">
        <f t="shared" si="74"/>
        <v>Below salary</v>
      </c>
      <c r="AK1200" t="str">
        <f t="shared" si="75"/>
        <v>Medium Risk</v>
      </c>
    </row>
    <row r="1201" spans="1:37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46</v>
      </c>
      <c r="L1201">
        <v>80</v>
      </c>
      <c r="M1201">
        <v>3</v>
      </c>
      <c r="N1201">
        <v>2</v>
      </c>
      <c r="O1201" t="s">
        <v>54</v>
      </c>
      <c r="P1201">
        <v>3</v>
      </c>
      <c r="Q1201" t="s">
        <v>48</v>
      </c>
      <c r="R1201" s="3">
        <v>5347</v>
      </c>
      <c r="S1201">
        <v>7419</v>
      </c>
      <c r="T1201">
        <v>6</v>
      </c>
      <c r="U1201" t="s">
        <v>43</v>
      </c>
      <c r="V1201" s="2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tr">
        <f t="shared" si="72"/>
        <v>36-45</v>
      </c>
      <c r="AH1201" t="str">
        <f t="shared" si="73"/>
        <v>Mid</v>
      </c>
      <c r="AI1201" s="1">
        <f>VLOOKUP(E1201,Lookup_Tables!$A$3:$B$5,2,)</f>
        <v>6281.2528616024974</v>
      </c>
      <c r="AJ1201" t="str">
        <f t="shared" si="74"/>
        <v>Below salary</v>
      </c>
      <c r="AK1201" t="str">
        <f t="shared" si="75"/>
        <v>Low Risk</v>
      </c>
    </row>
    <row r="1202" spans="1:37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44</v>
      </c>
      <c r="M1202">
        <v>3</v>
      </c>
      <c r="N1202">
        <v>1</v>
      </c>
      <c r="O1202" t="s">
        <v>61</v>
      </c>
      <c r="P1202">
        <v>4</v>
      </c>
      <c r="Q1202" t="s">
        <v>52</v>
      </c>
      <c r="R1202" s="3">
        <v>3195</v>
      </c>
      <c r="S1202">
        <v>4167</v>
      </c>
      <c r="T1202">
        <v>4</v>
      </c>
      <c r="U1202" t="s">
        <v>35</v>
      </c>
      <c r="V1202" s="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tr">
        <f t="shared" si="72"/>
        <v>36-45</v>
      </c>
      <c r="AH1202" t="str">
        <f t="shared" si="73"/>
        <v>Mid</v>
      </c>
      <c r="AI1202" s="1">
        <f>VLOOKUP(E1202,Lookup_Tables!$A$3:$B$5,2,)</f>
        <v>6654.5079365079364</v>
      </c>
      <c r="AJ1202" t="str">
        <f t="shared" si="74"/>
        <v>Below salary</v>
      </c>
      <c r="AK1202" t="str">
        <f t="shared" si="75"/>
        <v>Medium Risk</v>
      </c>
    </row>
    <row r="1203" spans="1:37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t="s">
        <v>46</v>
      </c>
      <c r="L1203">
        <v>93</v>
      </c>
      <c r="M1203">
        <v>2</v>
      </c>
      <c r="N1203">
        <v>1</v>
      </c>
      <c r="O1203" t="s">
        <v>50</v>
      </c>
      <c r="P1203">
        <v>3</v>
      </c>
      <c r="Q1203" t="s">
        <v>41</v>
      </c>
      <c r="R1203" s="3">
        <v>3989</v>
      </c>
      <c r="S1203">
        <v>20586</v>
      </c>
      <c r="T1203">
        <v>1</v>
      </c>
      <c r="U1203" t="s">
        <v>35</v>
      </c>
      <c r="V1203" s="2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tr">
        <f t="shared" si="72"/>
        <v>18-25</v>
      </c>
      <c r="AH1203" t="str">
        <f t="shared" si="73"/>
        <v>Mid</v>
      </c>
      <c r="AI1203" s="1">
        <f>VLOOKUP(E1203,Lookup_Tables!$A$3:$B$5,2,)</f>
        <v>6281.2528616024974</v>
      </c>
      <c r="AJ1203" t="str">
        <f t="shared" si="74"/>
        <v>Below salary</v>
      </c>
      <c r="AK1203" t="str">
        <f t="shared" si="75"/>
        <v>Medium Risk</v>
      </c>
    </row>
    <row r="1204" spans="1:37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t="s">
        <v>39</v>
      </c>
      <c r="L1204">
        <v>87</v>
      </c>
      <c r="M1204">
        <v>3</v>
      </c>
      <c r="N1204">
        <v>1</v>
      </c>
      <c r="O1204" t="s">
        <v>50</v>
      </c>
      <c r="P1204">
        <v>3</v>
      </c>
      <c r="Q1204" t="s">
        <v>48</v>
      </c>
      <c r="R1204" s="3">
        <v>3306</v>
      </c>
      <c r="S1204">
        <v>26176</v>
      </c>
      <c r="T1204">
        <v>7</v>
      </c>
      <c r="U1204" t="s">
        <v>43</v>
      </c>
      <c r="V1204" s="2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tr">
        <f t="shared" si="72"/>
        <v>36-45</v>
      </c>
      <c r="AH1204" t="str">
        <f t="shared" si="73"/>
        <v>Mid</v>
      </c>
      <c r="AI1204" s="1">
        <f>VLOOKUP(E1204,Lookup_Tables!$A$3:$B$5,2,)</f>
        <v>6281.2528616024974</v>
      </c>
      <c r="AJ1204" t="str">
        <f t="shared" si="74"/>
        <v>Below salary</v>
      </c>
      <c r="AK1204" t="str">
        <f t="shared" si="75"/>
        <v>Low Risk</v>
      </c>
    </row>
    <row r="1205" spans="1:37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t="s">
        <v>46</v>
      </c>
      <c r="L1205">
        <v>48</v>
      </c>
      <c r="M1205">
        <v>4</v>
      </c>
      <c r="N1205">
        <v>3</v>
      </c>
      <c r="O1205" t="s">
        <v>54</v>
      </c>
      <c r="P1205">
        <v>4</v>
      </c>
      <c r="Q1205" t="s">
        <v>48</v>
      </c>
      <c r="R1205" s="3">
        <v>7005</v>
      </c>
      <c r="S1205">
        <v>3458</v>
      </c>
      <c r="T1205">
        <v>3</v>
      </c>
      <c r="U1205" t="s">
        <v>43</v>
      </c>
      <c r="V1205" s="2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tr">
        <f t="shared" si="72"/>
        <v>46+</v>
      </c>
      <c r="AH1205" t="str">
        <f t="shared" si="73"/>
        <v>High</v>
      </c>
      <c r="AI1205" s="1">
        <f>VLOOKUP(E1205,Lookup_Tables!$A$3:$B$5,2,)</f>
        <v>6281.2528616024974</v>
      </c>
      <c r="AJ1205" t="str">
        <f t="shared" si="74"/>
        <v>Above salary</v>
      </c>
      <c r="AK1205" t="str">
        <f t="shared" si="75"/>
        <v>Low Risk</v>
      </c>
    </row>
    <row r="1206" spans="1:37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t="s">
        <v>39</v>
      </c>
      <c r="L1206">
        <v>95</v>
      </c>
      <c r="M1206">
        <v>3</v>
      </c>
      <c r="N1206">
        <v>1</v>
      </c>
      <c r="O1206" t="s">
        <v>57</v>
      </c>
      <c r="P1206">
        <v>3</v>
      </c>
      <c r="Q1206" t="s">
        <v>48</v>
      </c>
      <c r="R1206" s="3">
        <v>2655</v>
      </c>
      <c r="S1206">
        <v>11740</v>
      </c>
      <c r="T1206">
        <v>2</v>
      </c>
      <c r="U1206" t="s">
        <v>35</v>
      </c>
      <c r="V1206" s="2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tr">
        <f t="shared" si="72"/>
        <v>46+</v>
      </c>
      <c r="AH1206" t="str">
        <f t="shared" si="73"/>
        <v>Low</v>
      </c>
      <c r="AI1206" s="1">
        <f>VLOOKUP(E1206,Lookup_Tables!$A$3:$B$5,2,)</f>
        <v>6959.17264573991</v>
      </c>
      <c r="AJ1206" t="str">
        <f t="shared" si="74"/>
        <v>Below salary</v>
      </c>
      <c r="AK1206" t="str">
        <f t="shared" si="75"/>
        <v>Medium Risk</v>
      </c>
    </row>
    <row r="1207" spans="1:37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46</v>
      </c>
      <c r="L1207">
        <v>95</v>
      </c>
      <c r="M1207">
        <v>3</v>
      </c>
      <c r="N1207">
        <v>1</v>
      </c>
      <c r="O1207" t="s">
        <v>50</v>
      </c>
      <c r="P1207">
        <v>2</v>
      </c>
      <c r="Q1207" t="s">
        <v>41</v>
      </c>
      <c r="R1207" s="3">
        <v>1393</v>
      </c>
      <c r="S1207">
        <v>24852</v>
      </c>
      <c r="T1207">
        <v>1</v>
      </c>
      <c r="U1207" t="s">
        <v>43</v>
      </c>
      <c r="V1207" s="2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tr">
        <f t="shared" si="72"/>
        <v>26-35</v>
      </c>
      <c r="AH1207" t="str">
        <f t="shared" si="73"/>
        <v>Low</v>
      </c>
      <c r="AI1207" s="1">
        <f>VLOOKUP(E1207,Lookup_Tables!$A$3:$B$5,2,)</f>
        <v>6281.2528616024974</v>
      </c>
      <c r="AJ1207" t="str">
        <f t="shared" si="74"/>
        <v>Below salary</v>
      </c>
      <c r="AK1207" t="str">
        <f t="shared" si="75"/>
        <v>Medium Risk</v>
      </c>
    </row>
    <row r="1208" spans="1:37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t="s">
        <v>46</v>
      </c>
      <c r="L1208">
        <v>76</v>
      </c>
      <c r="M1208">
        <v>3</v>
      </c>
      <c r="N1208">
        <v>1</v>
      </c>
      <c r="O1208" t="s">
        <v>50</v>
      </c>
      <c r="P1208">
        <v>4</v>
      </c>
      <c r="Q1208" t="s">
        <v>41</v>
      </c>
      <c r="R1208" s="3">
        <v>2570</v>
      </c>
      <c r="S1208">
        <v>11925</v>
      </c>
      <c r="T1208">
        <v>1</v>
      </c>
      <c r="U1208" t="s">
        <v>43</v>
      </c>
      <c r="V1208" s="2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tr">
        <f t="shared" si="72"/>
        <v>26-35</v>
      </c>
      <c r="AH1208" t="str">
        <f t="shared" si="73"/>
        <v>Low</v>
      </c>
      <c r="AI1208" s="1">
        <f>VLOOKUP(E1208,Lookup_Tables!$A$3:$B$5,2,)</f>
        <v>6281.2528616024974</v>
      </c>
      <c r="AJ1208" t="str">
        <f t="shared" si="74"/>
        <v>Below salary</v>
      </c>
      <c r="AK1208" t="str">
        <f t="shared" si="75"/>
        <v>Low Risk</v>
      </c>
    </row>
    <row r="1209" spans="1:37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1694</v>
      </c>
      <c r="J1209">
        <v>1</v>
      </c>
      <c r="K1209" t="s">
        <v>46</v>
      </c>
      <c r="L1209">
        <v>94</v>
      </c>
      <c r="M1209">
        <v>2</v>
      </c>
      <c r="N1209">
        <v>1</v>
      </c>
      <c r="O1209" t="s">
        <v>47</v>
      </c>
      <c r="P1209">
        <v>2</v>
      </c>
      <c r="Q1209" t="s">
        <v>52</v>
      </c>
      <c r="R1209" s="3">
        <v>3537</v>
      </c>
      <c r="S1209">
        <v>23737</v>
      </c>
      <c r="T1209">
        <v>5</v>
      </c>
      <c r="U1209" t="s">
        <v>43</v>
      </c>
      <c r="V1209" s="2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tr">
        <f t="shared" si="72"/>
        <v>46+</v>
      </c>
      <c r="AH1209" t="str">
        <f t="shared" si="73"/>
        <v>Mid</v>
      </c>
      <c r="AI1209" s="1">
        <f>VLOOKUP(E1209,Lookup_Tables!$A$3:$B$5,2,)</f>
        <v>6281.2528616024974</v>
      </c>
      <c r="AJ1209" t="str">
        <f t="shared" si="74"/>
        <v>Below salary</v>
      </c>
      <c r="AK1209" t="str">
        <f t="shared" si="75"/>
        <v>Medium Risk</v>
      </c>
    </row>
    <row r="1210" spans="1:37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t="s">
        <v>46</v>
      </c>
      <c r="L1210">
        <v>57</v>
      </c>
      <c r="M1210">
        <v>2</v>
      </c>
      <c r="N1210">
        <v>2</v>
      </c>
      <c r="O1210" t="s">
        <v>50</v>
      </c>
      <c r="P1210">
        <v>4</v>
      </c>
      <c r="Q1210" t="s">
        <v>48</v>
      </c>
      <c r="R1210" s="3">
        <v>3986</v>
      </c>
      <c r="S1210">
        <v>11912</v>
      </c>
      <c r="T1210">
        <v>1</v>
      </c>
      <c r="U1210" t="s">
        <v>43</v>
      </c>
      <c r="V1210" s="2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tr">
        <f t="shared" si="72"/>
        <v>26-35</v>
      </c>
      <c r="AH1210" t="str">
        <f t="shared" si="73"/>
        <v>Mid</v>
      </c>
      <c r="AI1210" s="1">
        <f>VLOOKUP(E1210,Lookup_Tables!$A$3:$B$5,2,)</f>
        <v>6281.2528616024974</v>
      </c>
      <c r="AJ1210" t="str">
        <f t="shared" si="74"/>
        <v>Below salary</v>
      </c>
      <c r="AK1210" t="str">
        <f t="shared" si="75"/>
        <v>Low Risk</v>
      </c>
    </row>
    <row r="1211" spans="1:37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t="s">
        <v>46</v>
      </c>
      <c r="L1211">
        <v>92</v>
      </c>
      <c r="M1211">
        <v>1</v>
      </c>
      <c r="N1211">
        <v>3</v>
      </c>
      <c r="O1211" t="s">
        <v>54</v>
      </c>
      <c r="P1211">
        <v>4</v>
      </c>
      <c r="Q1211" t="s">
        <v>52</v>
      </c>
      <c r="R1211" s="3">
        <v>10883</v>
      </c>
      <c r="S1211">
        <v>20467</v>
      </c>
      <c r="T1211">
        <v>3</v>
      </c>
      <c r="U1211" t="s">
        <v>43</v>
      </c>
      <c r="V1211" s="2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tr">
        <f t="shared" si="72"/>
        <v>46+</v>
      </c>
      <c r="AH1211" t="str">
        <f t="shared" si="73"/>
        <v>High</v>
      </c>
      <c r="AI1211" s="1">
        <f>VLOOKUP(E1211,Lookup_Tables!$A$3:$B$5,2,)</f>
        <v>6281.2528616024974</v>
      </c>
      <c r="AJ1211" t="str">
        <f t="shared" si="74"/>
        <v>Above salary</v>
      </c>
      <c r="AK1211" t="str">
        <f t="shared" si="75"/>
        <v>Low Risk</v>
      </c>
    </row>
    <row r="1212" spans="1:37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t="s">
        <v>46</v>
      </c>
      <c r="L1212">
        <v>79</v>
      </c>
      <c r="M1212">
        <v>4</v>
      </c>
      <c r="N1212">
        <v>1</v>
      </c>
      <c r="O1212" t="s">
        <v>50</v>
      </c>
      <c r="P1212">
        <v>2</v>
      </c>
      <c r="Q1212" t="s">
        <v>48</v>
      </c>
      <c r="R1212" s="3">
        <v>2028</v>
      </c>
      <c r="S1212">
        <v>13637</v>
      </c>
      <c r="T1212">
        <v>1</v>
      </c>
      <c r="U1212" t="s">
        <v>43</v>
      </c>
      <c r="V1212" s="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tr">
        <f t="shared" si="72"/>
        <v>26-35</v>
      </c>
      <c r="AH1212" t="str">
        <f t="shared" si="73"/>
        <v>Low</v>
      </c>
      <c r="AI1212" s="1">
        <f>VLOOKUP(E1212,Lookup_Tables!$A$3:$B$5,2,)</f>
        <v>6281.2528616024974</v>
      </c>
      <c r="AJ1212" t="str">
        <f t="shared" si="74"/>
        <v>Below salary</v>
      </c>
      <c r="AK1212" t="str">
        <f t="shared" si="75"/>
        <v>Medium Risk</v>
      </c>
    </row>
    <row r="1213" spans="1:37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t="s">
        <v>46</v>
      </c>
      <c r="L1213">
        <v>31</v>
      </c>
      <c r="M1213">
        <v>1</v>
      </c>
      <c r="N1213">
        <v>2</v>
      </c>
      <c r="O1213" t="s">
        <v>40</v>
      </c>
      <c r="P1213">
        <v>4</v>
      </c>
      <c r="Q1213" t="s">
        <v>52</v>
      </c>
      <c r="R1213" s="3">
        <v>9525</v>
      </c>
      <c r="S1213">
        <v>7677</v>
      </c>
      <c r="T1213">
        <v>1</v>
      </c>
      <c r="U1213" t="s">
        <v>43</v>
      </c>
      <c r="V1213" s="2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tr">
        <f t="shared" si="72"/>
        <v>36-45</v>
      </c>
      <c r="AH1213" t="str">
        <f t="shared" si="73"/>
        <v>High</v>
      </c>
      <c r="AI1213" s="1">
        <f>VLOOKUP(E1213,Lookup_Tables!$A$3:$B$5,2,)</f>
        <v>6959.17264573991</v>
      </c>
      <c r="AJ1213" t="str">
        <f t="shared" si="74"/>
        <v>Above salary</v>
      </c>
      <c r="AK1213" t="str">
        <f t="shared" si="75"/>
        <v>Low Risk</v>
      </c>
    </row>
    <row r="1214" spans="1:37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35</v>
      </c>
      <c r="M1214">
        <v>2</v>
      </c>
      <c r="N1214">
        <v>1</v>
      </c>
      <c r="O1214" t="s">
        <v>47</v>
      </c>
      <c r="P1214">
        <v>4</v>
      </c>
      <c r="Q1214" t="s">
        <v>48</v>
      </c>
      <c r="R1214" s="3">
        <v>2929</v>
      </c>
      <c r="S1214">
        <v>20338</v>
      </c>
      <c r="T1214">
        <v>1</v>
      </c>
      <c r="U1214" t="s">
        <v>43</v>
      </c>
      <c r="V1214" s="2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tr">
        <f t="shared" si="72"/>
        <v>26-35</v>
      </c>
      <c r="AH1214" t="str">
        <f t="shared" si="73"/>
        <v>Low</v>
      </c>
      <c r="AI1214" s="1">
        <f>VLOOKUP(E1214,Lookup_Tables!$A$3:$B$5,2,)</f>
        <v>6281.2528616024974</v>
      </c>
      <c r="AJ1214" t="str">
        <f t="shared" si="74"/>
        <v>Below salary</v>
      </c>
      <c r="AK1214" t="str">
        <f t="shared" si="75"/>
        <v>Low Risk</v>
      </c>
    </row>
    <row r="1215" spans="1:37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46</v>
      </c>
      <c r="L1215">
        <v>99</v>
      </c>
      <c r="M1215">
        <v>3</v>
      </c>
      <c r="N1215">
        <v>1</v>
      </c>
      <c r="O1215" t="s">
        <v>57</v>
      </c>
      <c r="P1215">
        <v>4</v>
      </c>
      <c r="Q1215" t="s">
        <v>52</v>
      </c>
      <c r="R1215" s="3">
        <v>2275</v>
      </c>
      <c r="S1215">
        <v>25103</v>
      </c>
      <c r="T1215">
        <v>1</v>
      </c>
      <c r="U1215" t="s">
        <v>35</v>
      </c>
      <c r="V1215" s="2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tr">
        <f t="shared" si="72"/>
        <v>18-25</v>
      </c>
      <c r="AH1215" t="str">
        <f t="shared" si="73"/>
        <v>Low</v>
      </c>
      <c r="AI1215" s="1">
        <f>VLOOKUP(E1215,Lookup_Tables!$A$3:$B$5,2,)</f>
        <v>6959.17264573991</v>
      </c>
      <c r="AJ1215" t="str">
        <f t="shared" si="74"/>
        <v>Below salary</v>
      </c>
      <c r="AK1215" t="str">
        <f t="shared" si="75"/>
        <v>Medium Risk</v>
      </c>
    </row>
    <row r="1216" spans="1:37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96</v>
      </c>
      <c r="M1216">
        <v>4</v>
      </c>
      <c r="N1216">
        <v>3</v>
      </c>
      <c r="O1216" t="s">
        <v>54</v>
      </c>
      <c r="P1216">
        <v>4</v>
      </c>
      <c r="Q1216" t="s">
        <v>48</v>
      </c>
      <c r="R1216" s="3">
        <v>7879</v>
      </c>
      <c r="S1216">
        <v>14810</v>
      </c>
      <c r="T1216">
        <v>1</v>
      </c>
      <c r="U1216" t="s">
        <v>35</v>
      </c>
      <c r="V1216" s="2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tr">
        <f t="shared" si="72"/>
        <v>36-45</v>
      </c>
      <c r="AH1216" t="str">
        <f t="shared" si="73"/>
        <v>High</v>
      </c>
      <c r="AI1216" s="1">
        <f>VLOOKUP(E1216,Lookup_Tables!$A$3:$B$5,2,)</f>
        <v>6281.2528616024974</v>
      </c>
      <c r="AJ1216" t="str">
        <f t="shared" si="74"/>
        <v>Above salary</v>
      </c>
      <c r="AK1216" t="str">
        <f t="shared" si="75"/>
        <v>Medium Risk</v>
      </c>
    </row>
    <row r="1217" spans="1:37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t="s">
        <v>46</v>
      </c>
      <c r="L1217">
        <v>79</v>
      </c>
      <c r="M1217">
        <v>2</v>
      </c>
      <c r="N1217">
        <v>1</v>
      </c>
      <c r="O1217" t="s">
        <v>47</v>
      </c>
      <c r="P1217">
        <v>4</v>
      </c>
      <c r="Q1217" t="s">
        <v>41</v>
      </c>
      <c r="R1217" s="3">
        <v>4930</v>
      </c>
      <c r="S1217">
        <v>13970</v>
      </c>
      <c r="T1217">
        <v>0</v>
      </c>
      <c r="U1217" t="s">
        <v>35</v>
      </c>
      <c r="V1217" s="2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tr">
        <f t="shared" si="72"/>
        <v>26-35</v>
      </c>
      <c r="AH1217" t="str">
        <f t="shared" si="73"/>
        <v>Mid</v>
      </c>
      <c r="AI1217" s="1">
        <f>VLOOKUP(E1217,Lookup_Tables!$A$3:$B$5,2,)</f>
        <v>6281.2528616024974</v>
      </c>
      <c r="AJ1217" t="str">
        <f t="shared" si="74"/>
        <v>Below salary</v>
      </c>
      <c r="AK1217" t="str">
        <f t="shared" si="75"/>
        <v>Medium Risk</v>
      </c>
    </row>
    <row r="1218" spans="1:37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t="s">
        <v>46</v>
      </c>
      <c r="L1218">
        <v>73</v>
      </c>
      <c r="M1218">
        <v>3</v>
      </c>
      <c r="N1218">
        <v>2</v>
      </c>
      <c r="O1218" t="s">
        <v>40</v>
      </c>
      <c r="P1218">
        <v>4</v>
      </c>
      <c r="Q1218" t="s">
        <v>48</v>
      </c>
      <c r="R1218" s="3">
        <v>7847</v>
      </c>
      <c r="S1218">
        <v>6069</v>
      </c>
      <c r="T1218">
        <v>1</v>
      </c>
      <c r="U1218" t="s">
        <v>35</v>
      </c>
      <c r="V1218" s="2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tr">
        <f t="shared" ref="AG1218:AG1281" si="76">IF(A1218&lt;=25,"18-25",IF(A1218&lt;= 35, "26-35",IF(A1218&lt;=45, "36-45","46+")))</f>
        <v>36-45</v>
      </c>
      <c r="AH1218" t="str">
        <f t="shared" ref="AH1218:AH1281" si="77">IF(R1218&lt;3000,"Low",IF(R1218&lt;7000,"Mid", IF(R1218&lt;12000, "High", "Very High")))</f>
        <v>High</v>
      </c>
      <c r="AI1218" s="1">
        <f>VLOOKUP(E1218,Lookup_Tables!$A$3:$B$5,2,)</f>
        <v>6959.17264573991</v>
      </c>
      <c r="AJ1218" t="str">
        <f t="shared" ref="AJ1218:AJ1281" si="78">IF(R1218&gt;AI1218, "Above salary","Below salary")</f>
        <v>Above salary</v>
      </c>
      <c r="AK1218" t="str">
        <f t="shared" si="75"/>
        <v>Medium Risk</v>
      </c>
    </row>
    <row r="1219" spans="1:37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t="s">
        <v>46</v>
      </c>
      <c r="L1219">
        <v>62</v>
      </c>
      <c r="M1219">
        <v>4</v>
      </c>
      <c r="N1219">
        <v>1</v>
      </c>
      <c r="O1219" t="s">
        <v>47</v>
      </c>
      <c r="P1219">
        <v>3</v>
      </c>
      <c r="Q1219" t="s">
        <v>48</v>
      </c>
      <c r="R1219" s="3">
        <v>4401</v>
      </c>
      <c r="S1219">
        <v>17616</v>
      </c>
      <c r="T1219">
        <v>1</v>
      </c>
      <c r="U1219" t="s">
        <v>43</v>
      </c>
      <c r="V1219" s="2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tr">
        <f t="shared" si="76"/>
        <v>18-25</v>
      </c>
      <c r="AH1219" t="str">
        <f t="shared" si="77"/>
        <v>Mid</v>
      </c>
      <c r="AI1219" s="1">
        <f>VLOOKUP(E1219,Lookup_Tables!$A$3:$B$5,2,)</f>
        <v>6281.2528616024974</v>
      </c>
      <c r="AJ1219" t="str">
        <f t="shared" si="78"/>
        <v>Below salary</v>
      </c>
      <c r="AK1219" t="str">
        <f t="shared" ref="AK1219:AK1282" si="79">IF(AND(P1219&lt;=2,U1219="Yes"),"High Risk",IF(OR(P1219&lt;=2,U1219="Yes"),"Medium Risk","Low Risk"))</f>
        <v>Low Risk</v>
      </c>
    </row>
    <row r="1220" spans="1:37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1708</v>
      </c>
      <c r="J1220">
        <v>4</v>
      </c>
      <c r="K1220" t="s">
        <v>46</v>
      </c>
      <c r="L1220">
        <v>35</v>
      </c>
      <c r="M1220">
        <v>3</v>
      </c>
      <c r="N1220">
        <v>3</v>
      </c>
      <c r="O1220" t="s">
        <v>40</v>
      </c>
      <c r="P1220">
        <v>3</v>
      </c>
      <c r="Q1220" t="s">
        <v>41</v>
      </c>
      <c r="R1220" s="3">
        <v>9241</v>
      </c>
      <c r="S1220">
        <v>15869</v>
      </c>
      <c r="T1220">
        <v>1</v>
      </c>
      <c r="U1220" t="s">
        <v>43</v>
      </c>
      <c r="V1220" s="2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tr">
        <f t="shared" si="76"/>
        <v>36-45</v>
      </c>
      <c r="AH1220" t="str">
        <f t="shared" si="77"/>
        <v>High</v>
      </c>
      <c r="AI1220" s="1">
        <f>VLOOKUP(E1220,Lookup_Tables!$A$3:$B$5,2,)</f>
        <v>6959.17264573991</v>
      </c>
      <c r="AJ1220" t="str">
        <f t="shared" si="78"/>
        <v>Above salary</v>
      </c>
      <c r="AK1220" t="str">
        <f t="shared" si="79"/>
        <v>Low Risk</v>
      </c>
    </row>
    <row r="1221" spans="1:37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t="s">
        <v>39</v>
      </c>
      <c r="L1221">
        <v>43</v>
      </c>
      <c r="M1221">
        <v>3</v>
      </c>
      <c r="N1221">
        <v>1</v>
      </c>
      <c r="O1221" t="s">
        <v>50</v>
      </c>
      <c r="P1221">
        <v>3</v>
      </c>
      <c r="Q1221" t="s">
        <v>48</v>
      </c>
      <c r="R1221" s="3">
        <v>2974</v>
      </c>
      <c r="S1221">
        <v>25412</v>
      </c>
      <c r="T1221">
        <v>9</v>
      </c>
      <c r="U1221" t="s">
        <v>43</v>
      </c>
      <c r="V1221" s="2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tr">
        <f t="shared" si="76"/>
        <v>26-35</v>
      </c>
      <c r="AH1221" t="str">
        <f t="shared" si="77"/>
        <v>Low</v>
      </c>
      <c r="AI1221" s="1">
        <f>VLOOKUP(E1221,Lookup_Tables!$A$3:$B$5,2,)</f>
        <v>6281.2528616024974</v>
      </c>
      <c r="AJ1221" t="str">
        <f t="shared" si="78"/>
        <v>Below salary</v>
      </c>
      <c r="AK1221" t="str">
        <f t="shared" si="79"/>
        <v>Low Risk</v>
      </c>
    </row>
    <row r="1222" spans="1:37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51</v>
      </c>
      <c r="M1222">
        <v>3</v>
      </c>
      <c r="N1222">
        <v>2</v>
      </c>
      <c r="O1222" t="s">
        <v>57</v>
      </c>
      <c r="P1222">
        <v>4</v>
      </c>
      <c r="Q1222" t="s">
        <v>41</v>
      </c>
      <c r="R1222" s="3">
        <v>4502</v>
      </c>
      <c r="S1222">
        <v>7439</v>
      </c>
      <c r="T1222">
        <v>3</v>
      </c>
      <c r="U1222" t="s">
        <v>43</v>
      </c>
      <c r="V1222" s="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tr">
        <f t="shared" si="76"/>
        <v>36-45</v>
      </c>
      <c r="AH1222" t="str">
        <f t="shared" si="77"/>
        <v>Mid</v>
      </c>
      <c r="AI1222" s="1">
        <f>VLOOKUP(E1222,Lookup_Tables!$A$3:$B$5,2,)</f>
        <v>6959.17264573991</v>
      </c>
      <c r="AJ1222" t="str">
        <f t="shared" si="78"/>
        <v>Below salary</v>
      </c>
      <c r="AK1222" t="str">
        <f t="shared" si="79"/>
        <v>Low Risk</v>
      </c>
    </row>
    <row r="1223" spans="1:37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46</v>
      </c>
      <c r="L1223">
        <v>74</v>
      </c>
      <c r="M1223">
        <v>2</v>
      </c>
      <c r="N1223">
        <v>3</v>
      </c>
      <c r="O1223" t="s">
        <v>54</v>
      </c>
      <c r="P1223">
        <v>3</v>
      </c>
      <c r="Q1223" t="s">
        <v>48</v>
      </c>
      <c r="R1223" s="3">
        <v>10748</v>
      </c>
      <c r="S1223">
        <v>3395</v>
      </c>
      <c r="T1223">
        <v>3</v>
      </c>
      <c r="U1223" t="s">
        <v>43</v>
      </c>
      <c r="V1223" s="2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tr">
        <f t="shared" si="76"/>
        <v>36-45</v>
      </c>
      <c r="AH1223" t="str">
        <f t="shared" si="77"/>
        <v>High</v>
      </c>
      <c r="AI1223" s="1">
        <f>VLOOKUP(E1223,Lookup_Tables!$A$3:$B$5,2,)</f>
        <v>6281.2528616024974</v>
      </c>
      <c r="AJ1223" t="str">
        <f t="shared" si="78"/>
        <v>Above salary</v>
      </c>
      <c r="AK1223" t="str">
        <f t="shared" si="79"/>
        <v>Low Risk</v>
      </c>
    </row>
    <row r="1224" spans="1:37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1714</v>
      </c>
      <c r="J1224">
        <v>4</v>
      </c>
      <c r="K1224" t="s">
        <v>46</v>
      </c>
      <c r="L1224">
        <v>58</v>
      </c>
      <c r="M1224">
        <v>1</v>
      </c>
      <c r="N1224">
        <v>1</v>
      </c>
      <c r="O1224" t="s">
        <v>61</v>
      </c>
      <c r="P1224">
        <v>3</v>
      </c>
      <c r="Q1224" t="s">
        <v>48</v>
      </c>
      <c r="R1224" s="3">
        <v>1555</v>
      </c>
      <c r="S1224">
        <v>11585</v>
      </c>
      <c r="T1224">
        <v>1</v>
      </c>
      <c r="U1224" t="s">
        <v>43</v>
      </c>
      <c r="V1224" s="2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tr">
        <f t="shared" si="76"/>
        <v>18-25</v>
      </c>
      <c r="AH1224" t="str">
        <f t="shared" si="77"/>
        <v>Low</v>
      </c>
      <c r="AI1224" s="1">
        <f>VLOOKUP(E1224,Lookup_Tables!$A$3:$B$5,2,)</f>
        <v>6654.5079365079364</v>
      </c>
      <c r="AJ1224" t="str">
        <f t="shared" si="78"/>
        <v>Below salary</v>
      </c>
      <c r="AK1224" t="str">
        <f t="shared" si="79"/>
        <v>Low Risk</v>
      </c>
    </row>
    <row r="1225" spans="1:37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46</v>
      </c>
      <c r="L1225">
        <v>82</v>
      </c>
      <c r="M1225">
        <v>1</v>
      </c>
      <c r="N1225">
        <v>4</v>
      </c>
      <c r="O1225" t="s">
        <v>40</v>
      </c>
      <c r="P1225">
        <v>3</v>
      </c>
      <c r="Q1225" t="s">
        <v>48</v>
      </c>
      <c r="R1225" s="3">
        <v>12936</v>
      </c>
      <c r="S1225">
        <v>24164</v>
      </c>
      <c r="T1225">
        <v>7</v>
      </c>
      <c r="U1225" t="s">
        <v>43</v>
      </c>
      <c r="V1225" s="2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tr">
        <f t="shared" si="76"/>
        <v>46+</v>
      </c>
      <c r="AH1225" t="str">
        <f t="shared" si="77"/>
        <v>Very High</v>
      </c>
      <c r="AI1225" s="1">
        <f>VLOOKUP(E1225,Lookup_Tables!$A$3:$B$5,2,)</f>
        <v>6959.17264573991</v>
      </c>
      <c r="AJ1225" t="str">
        <f t="shared" si="78"/>
        <v>Above salary</v>
      </c>
      <c r="AK1225" t="str">
        <f t="shared" si="79"/>
        <v>Low Risk</v>
      </c>
    </row>
    <row r="1226" spans="1:37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t="s">
        <v>46</v>
      </c>
      <c r="L1226">
        <v>62</v>
      </c>
      <c r="M1226">
        <v>1</v>
      </c>
      <c r="N1226">
        <v>1</v>
      </c>
      <c r="O1226" t="s">
        <v>50</v>
      </c>
      <c r="P1226">
        <v>3</v>
      </c>
      <c r="Q1226" t="s">
        <v>48</v>
      </c>
      <c r="R1226" s="3">
        <v>2305</v>
      </c>
      <c r="S1226">
        <v>6217</v>
      </c>
      <c r="T1226">
        <v>1</v>
      </c>
      <c r="U1226" t="s">
        <v>43</v>
      </c>
      <c r="V1226" s="2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tr">
        <f t="shared" si="76"/>
        <v>26-35</v>
      </c>
      <c r="AH1226" t="str">
        <f t="shared" si="77"/>
        <v>Low</v>
      </c>
      <c r="AI1226" s="1">
        <f>VLOOKUP(E1226,Lookup_Tables!$A$3:$B$5,2,)</f>
        <v>6281.2528616024974</v>
      </c>
      <c r="AJ1226" t="str">
        <f t="shared" si="78"/>
        <v>Below salary</v>
      </c>
      <c r="AK1226" t="str">
        <f t="shared" si="79"/>
        <v>Low Risk</v>
      </c>
    </row>
    <row r="1227" spans="1:37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1719</v>
      </c>
      <c r="J1227">
        <v>4</v>
      </c>
      <c r="K1227" t="s">
        <v>39</v>
      </c>
      <c r="L1227">
        <v>48</v>
      </c>
      <c r="M1227">
        <v>2</v>
      </c>
      <c r="N1227">
        <v>4</v>
      </c>
      <c r="O1227" t="s">
        <v>58</v>
      </c>
      <c r="P1227">
        <v>2</v>
      </c>
      <c r="Q1227" t="s">
        <v>41</v>
      </c>
      <c r="R1227" s="3">
        <v>16704</v>
      </c>
      <c r="S1227">
        <v>17119</v>
      </c>
      <c r="T1227">
        <v>1</v>
      </c>
      <c r="U1227" t="s">
        <v>43</v>
      </c>
      <c r="V1227" s="2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tr">
        <f t="shared" si="76"/>
        <v>36-45</v>
      </c>
      <c r="AH1227" t="str">
        <f t="shared" si="77"/>
        <v>Very High</v>
      </c>
      <c r="AI1227" s="1">
        <f>VLOOKUP(E1227,Lookup_Tables!$A$3:$B$5,2,)</f>
        <v>6281.2528616024974</v>
      </c>
      <c r="AJ1227" t="str">
        <f t="shared" si="78"/>
        <v>Above salary</v>
      </c>
      <c r="AK1227" t="str">
        <f t="shared" si="79"/>
        <v>Medium Risk</v>
      </c>
    </row>
    <row r="1228" spans="1:37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46</v>
      </c>
      <c r="L1228">
        <v>56</v>
      </c>
      <c r="M1228">
        <v>3</v>
      </c>
      <c r="N1228">
        <v>1</v>
      </c>
      <c r="O1228" t="s">
        <v>47</v>
      </c>
      <c r="P1228">
        <v>3</v>
      </c>
      <c r="Q1228" t="s">
        <v>48</v>
      </c>
      <c r="R1228" s="3">
        <v>3433</v>
      </c>
      <c r="S1228">
        <v>17360</v>
      </c>
      <c r="T1228">
        <v>6</v>
      </c>
      <c r="U1228" t="s">
        <v>43</v>
      </c>
      <c r="V1228" s="2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tr">
        <f t="shared" si="76"/>
        <v>26-35</v>
      </c>
      <c r="AH1228" t="str">
        <f t="shared" si="77"/>
        <v>Mid</v>
      </c>
      <c r="AI1228" s="1">
        <f>VLOOKUP(E1228,Lookup_Tables!$A$3:$B$5,2,)</f>
        <v>6281.2528616024974</v>
      </c>
      <c r="AJ1228" t="str">
        <f t="shared" si="78"/>
        <v>Below salary</v>
      </c>
      <c r="AK1228" t="str">
        <f t="shared" si="79"/>
        <v>Low Risk</v>
      </c>
    </row>
    <row r="1229" spans="1:37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46</v>
      </c>
      <c r="L1229">
        <v>69</v>
      </c>
      <c r="M1229">
        <v>3</v>
      </c>
      <c r="N1229">
        <v>1</v>
      </c>
      <c r="O1229" t="s">
        <v>50</v>
      </c>
      <c r="P1229">
        <v>3</v>
      </c>
      <c r="Q1229" t="s">
        <v>48</v>
      </c>
      <c r="R1229" s="3">
        <v>3477</v>
      </c>
      <c r="S1229">
        <v>18103</v>
      </c>
      <c r="T1229">
        <v>1</v>
      </c>
      <c r="U1229" t="s">
        <v>43</v>
      </c>
      <c r="V1229" s="2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tr">
        <f t="shared" si="76"/>
        <v>26-35</v>
      </c>
      <c r="AH1229" t="str">
        <f t="shared" si="77"/>
        <v>Mid</v>
      </c>
      <c r="AI1229" s="1">
        <f>VLOOKUP(E1229,Lookup_Tables!$A$3:$B$5,2,)</f>
        <v>6281.2528616024974</v>
      </c>
      <c r="AJ1229" t="str">
        <f t="shared" si="78"/>
        <v>Below salary</v>
      </c>
      <c r="AK1229" t="str">
        <f t="shared" si="79"/>
        <v>Low Risk</v>
      </c>
    </row>
    <row r="1230" spans="1:37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1722</v>
      </c>
      <c r="J1230">
        <v>3</v>
      </c>
      <c r="K1230" t="s">
        <v>46</v>
      </c>
      <c r="L1230">
        <v>60</v>
      </c>
      <c r="M1230">
        <v>1</v>
      </c>
      <c r="N1230">
        <v>2</v>
      </c>
      <c r="O1230" t="s">
        <v>61</v>
      </c>
      <c r="P1230">
        <v>2</v>
      </c>
      <c r="Q1230" t="s">
        <v>48</v>
      </c>
      <c r="R1230" s="3">
        <v>6430</v>
      </c>
      <c r="S1230">
        <v>20794</v>
      </c>
      <c r="T1230">
        <v>6</v>
      </c>
      <c r="U1230" t="s">
        <v>43</v>
      </c>
      <c r="V1230" s="2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tr">
        <f t="shared" si="76"/>
        <v>36-45</v>
      </c>
      <c r="AH1230" t="str">
        <f t="shared" si="77"/>
        <v>Mid</v>
      </c>
      <c r="AI1230" s="1">
        <f>VLOOKUP(E1230,Lookup_Tables!$A$3:$B$5,2,)</f>
        <v>6654.5079365079364</v>
      </c>
      <c r="AJ1230" t="str">
        <f t="shared" si="78"/>
        <v>Below salary</v>
      </c>
      <c r="AK1230" t="str">
        <f t="shared" si="79"/>
        <v>Medium Risk</v>
      </c>
    </row>
    <row r="1231" spans="1:37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92</v>
      </c>
      <c r="M1231">
        <v>3</v>
      </c>
      <c r="N1231">
        <v>2</v>
      </c>
      <c r="O1231" t="s">
        <v>53</v>
      </c>
      <c r="P1231">
        <v>1</v>
      </c>
      <c r="Q1231" t="s">
        <v>48</v>
      </c>
      <c r="R1231" s="3">
        <v>6516</v>
      </c>
      <c r="S1231">
        <v>5041</v>
      </c>
      <c r="T1231">
        <v>2</v>
      </c>
      <c r="U1231" t="s">
        <v>35</v>
      </c>
      <c r="V1231" s="2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tr">
        <f t="shared" si="76"/>
        <v>36-45</v>
      </c>
      <c r="AH1231" t="str">
        <f t="shared" si="77"/>
        <v>Mid</v>
      </c>
      <c r="AI1231" s="1">
        <f>VLOOKUP(E1231,Lookup_Tables!$A$3:$B$5,2,)</f>
        <v>6281.2528616024974</v>
      </c>
      <c r="AJ1231" t="str">
        <f t="shared" si="78"/>
        <v>Above salary</v>
      </c>
      <c r="AK1231" t="str">
        <f t="shared" si="79"/>
        <v>High Risk</v>
      </c>
    </row>
    <row r="1232" spans="1:37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t="s">
        <v>46</v>
      </c>
      <c r="L1232">
        <v>91</v>
      </c>
      <c r="M1232">
        <v>3</v>
      </c>
      <c r="N1232">
        <v>1</v>
      </c>
      <c r="O1232" t="s">
        <v>50</v>
      </c>
      <c r="P1232">
        <v>1</v>
      </c>
      <c r="Q1232" t="s">
        <v>52</v>
      </c>
      <c r="R1232" s="3">
        <v>3907</v>
      </c>
      <c r="S1232">
        <v>3622</v>
      </c>
      <c r="T1232">
        <v>1</v>
      </c>
      <c r="U1232" t="s">
        <v>43</v>
      </c>
      <c r="V1232" s="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tr">
        <f t="shared" si="76"/>
        <v>18-25</v>
      </c>
      <c r="AH1232" t="str">
        <f t="shared" si="77"/>
        <v>Mid</v>
      </c>
      <c r="AI1232" s="1">
        <f>VLOOKUP(E1232,Lookup_Tables!$A$3:$B$5,2,)</f>
        <v>6281.2528616024974</v>
      </c>
      <c r="AJ1232" t="str">
        <f t="shared" si="78"/>
        <v>Below salary</v>
      </c>
      <c r="AK1232" t="str">
        <f t="shared" si="79"/>
        <v>Medium Risk</v>
      </c>
    </row>
    <row r="1233" spans="1:37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46</v>
      </c>
      <c r="L1233">
        <v>34</v>
      </c>
      <c r="M1233">
        <v>3</v>
      </c>
      <c r="N1233">
        <v>2</v>
      </c>
      <c r="O1233" t="s">
        <v>54</v>
      </c>
      <c r="P1233">
        <v>2</v>
      </c>
      <c r="Q1233" t="s">
        <v>41</v>
      </c>
      <c r="R1233" s="3">
        <v>5562</v>
      </c>
      <c r="S1233">
        <v>9697</v>
      </c>
      <c r="T1233">
        <v>6</v>
      </c>
      <c r="U1233" t="s">
        <v>43</v>
      </c>
      <c r="V1233" s="2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tr">
        <f t="shared" si="76"/>
        <v>46+</v>
      </c>
      <c r="AH1233" t="str">
        <f t="shared" si="77"/>
        <v>Mid</v>
      </c>
      <c r="AI1233" s="1">
        <f>VLOOKUP(E1233,Lookup_Tables!$A$3:$B$5,2,)</f>
        <v>6281.2528616024974</v>
      </c>
      <c r="AJ1233" t="str">
        <f t="shared" si="78"/>
        <v>Below salary</v>
      </c>
      <c r="AK1233" t="str">
        <f t="shared" si="79"/>
        <v>Medium Risk</v>
      </c>
    </row>
    <row r="1234" spans="1:37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46</v>
      </c>
      <c r="L1234">
        <v>49</v>
      </c>
      <c r="M1234">
        <v>3</v>
      </c>
      <c r="N1234">
        <v>2</v>
      </c>
      <c r="O1234" t="s">
        <v>53</v>
      </c>
      <c r="P1234">
        <v>3</v>
      </c>
      <c r="Q1234" t="s">
        <v>48</v>
      </c>
      <c r="R1234" s="3">
        <v>6883</v>
      </c>
      <c r="S1234">
        <v>5151</v>
      </c>
      <c r="T1234">
        <v>2</v>
      </c>
      <c r="U1234" t="s">
        <v>43</v>
      </c>
      <c r="V1234" s="2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tr">
        <f t="shared" si="76"/>
        <v>26-35</v>
      </c>
      <c r="AH1234" t="str">
        <f t="shared" si="77"/>
        <v>Mid</v>
      </c>
      <c r="AI1234" s="1">
        <f>VLOOKUP(E1234,Lookup_Tables!$A$3:$B$5,2,)</f>
        <v>6281.2528616024974</v>
      </c>
      <c r="AJ1234" t="str">
        <f t="shared" si="78"/>
        <v>Above salary</v>
      </c>
      <c r="AK1234" t="str">
        <f t="shared" si="79"/>
        <v>Low Risk</v>
      </c>
    </row>
    <row r="1235" spans="1:37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46</v>
      </c>
      <c r="L1235">
        <v>33</v>
      </c>
      <c r="M1235">
        <v>3</v>
      </c>
      <c r="N1235">
        <v>1</v>
      </c>
      <c r="O1235" t="s">
        <v>47</v>
      </c>
      <c r="P1235">
        <v>4</v>
      </c>
      <c r="Q1235" t="s">
        <v>48</v>
      </c>
      <c r="R1235" s="3">
        <v>2862</v>
      </c>
      <c r="S1235">
        <v>3811</v>
      </c>
      <c r="T1235">
        <v>1</v>
      </c>
      <c r="U1235" t="s">
        <v>43</v>
      </c>
      <c r="V1235" s="2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tr">
        <f t="shared" si="76"/>
        <v>26-35</v>
      </c>
      <c r="AH1235" t="str">
        <f t="shared" si="77"/>
        <v>Low</v>
      </c>
      <c r="AI1235" s="1">
        <f>VLOOKUP(E1235,Lookup_Tables!$A$3:$B$5,2,)</f>
        <v>6281.2528616024974</v>
      </c>
      <c r="AJ1235" t="str">
        <f t="shared" si="78"/>
        <v>Below salary</v>
      </c>
      <c r="AK1235" t="str">
        <f t="shared" si="79"/>
        <v>Low Risk</v>
      </c>
    </row>
    <row r="1236" spans="1:37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1731</v>
      </c>
      <c r="J1236">
        <v>3</v>
      </c>
      <c r="K1236" t="s">
        <v>46</v>
      </c>
      <c r="L1236">
        <v>87</v>
      </c>
      <c r="M1236">
        <v>3</v>
      </c>
      <c r="N1236">
        <v>2</v>
      </c>
      <c r="O1236" t="s">
        <v>40</v>
      </c>
      <c r="P1236">
        <v>2</v>
      </c>
      <c r="Q1236" t="s">
        <v>48</v>
      </c>
      <c r="R1236" s="3">
        <v>4978</v>
      </c>
      <c r="S1236">
        <v>3536</v>
      </c>
      <c r="T1236">
        <v>7</v>
      </c>
      <c r="U1236" t="s">
        <v>43</v>
      </c>
      <c r="V1236" s="2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tr">
        <f t="shared" si="76"/>
        <v>46+</v>
      </c>
      <c r="AH1236" t="str">
        <f t="shared" si="77"/>
        <v>Mid</v>
      </c>
      <c r="AI1236" s="1">
        <f>VLOOKUP(E1236,Lookup_Tables!$A$3:$B$5,2,)</f>
        <v>6959.17264573991</v>
      </c>
      <c r="AJ1236" t="str">
        <f t="shared" si="78"/>
        <v>Below salary</v>
      </c>
      <c r="AK1236" t="str">
        <f t="shared" si="79"/>
        <v>Medium Risk</v>
      </c>
    </row>
    <row r="1237" spans="1:37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46</v>
      </c>
      <c r="L1237">
        <v>74</v>
      </c>
      <c r="M1237">
        <v>3</v>
      </c>
      <c r="N1237">
        <v>3</v>
      </c>
      <c r="O1237" t="s">
        <v>40</v>
      </c>
      <c r="P1237">
        <v>4</v>
      </c>
      <c r="Q1237" t="s">
        <v>52</v>
      </c>
      <c r="R1237" s="3">
        <v>10368</v>
      </c>
      <c r="S1237">
        <v>5596</v>
      </c>
      <c r="T1237">
        <v>4</v>
      </c>
      <c r="U1237" t="s">
        <v>35</v>
      </c>
      <c r="V1237" s="2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tr">
        <f t="shared" si="76"/>
        <v>46+</v>
      </c>
      <c r="AH1237" t="str">
        <f t="shared" si="77"/>
        <v>High</v>
      </c>
      <c r="AI1237" s="1">
        <f>VLOOKUP(E1237,Lookup_Tables!$A$3:$B$5,2,)</f>
        <v>6959.17264573991</v>
      </c>
      <c r="AJ1237" t="str">
        <f t="shared" si="78"/>
        <v>Above salary</v>
      </c>
      <c r="AK1237" t="str">
        <f t="shared" si="79"/>
        <v>Medium Risk</v>
      </c>
    </row>
    <row r="1238" spans="1:37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1733</v>
      </c>
      <c r="J1238">
        <v>2</v>
      </c>
      <c r="K1238" t="s">
        <v>46</v>
      </c>
      <c r="L1238">
        <v>96</v>
      </c>
      <c r="M1238">
        <v>2</v>
      </c>
      <c r="N1238">
        <v>2</v>
      </c>
      <c r="O1238" t="s">
        <v>40</v>
      </c>
      <c r="P1238">
        <v>1</v>
      </c>
      <c r="Q1238" t="s">
        <v>52</v>
      </c>
      <c r="R1238" s="3">
        <v>6134</v>
      </c>
      <c r="S1238">
        <v>8658</v>
      </c>
      <c r="T1238">
        <v>5</v>
      </c>
      <c r="U1238" t="s">
        <v>35</v>
      </c>
      <c r="V1238" s="2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tr">
        <f t="shared" si="76"/>
        <v>36-45</v>
      </c>
      <c r="AH1238" t="str">
        <f t="shared" si="77"/>
        <v>Mid</v>
      </c>
      <c r="AI1238" s="1">
        <f>VLOOKUP(E1238,Lookup_Tables!$A$3:$B$5,2,)</f>
        <v>6959.17264573991</v>
      </c>
      <c r="AJ1238" t="str">
        <f t="shared" si="78"/>
        <v>Below salary</v>
      </c>
      <c r="AK1238" t="str">
        <f t="shared" si="79"/>
        <v>High Risk</v>
      </c>
    </row>
    <row r="1239" spans="1:37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46</v>
      </c>
      <c r="L1239">
        <v>34</v>
      </c>
      <c r="M1239">
        <v>1</v>
      </c>
      <c r="N1239">
        <v>2</v>
      </c>
      <c r="O1239" t="s">
        <v>40</v>
      </c>
      <c r="P1239">
        <v>2</v>
      </c>
      <c r="Q1239" t="s">
        <v>41</v>
      </c>
      <c r="R1239" s="3">
        <v>6735</v>
      </c>
      <c r="S1239">
        <v>12147</v>
      </c>
      <c r="T1239">
        <v>6</v>
      </c>
      <c r="U1239" t="s">
        <v>43</v>
      </c>
      <c r="V1239" s="2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tr">
        <f t="shared" si="76"/>
        <v>26-35</v>
      </c>
      <c r="AH1239" t="str">
        <f t="shared" si="77"/>
        <v>Mid</v>
      </c>
      <c r="AI1239" s="1">
        <f>VLOOKUP(E1239,Lookup_Tables!$A$3:$B$5,2,)</f>
        <v>6959.17264573991</v>
      </c>
      <c r="AJ1239" t="str">
        <f t="shared" si="78"/>
        <v>Below salary</v>
      </c>
      <c r="AK1239" t="str">
        <f t="shared" si="79"/>
        <v>Medium Risk</v>
      </c>
    </row>
    <row r="1240" spans="1:37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t="s">
        <v>39</v>
      </c>
      <c r="L1240">
        <v>51</v>
      </c>
      <c r="M1240">
        <v>3</v>
      </c>
      <c r="N1240">
        <v>1</v>
      </c>
      <c r="O1240" t="s">
        <v>50</v>
      </c>
      <c r="P1240">
        <v>2</v>
      </c>
      <c r="Q1240" t="s">
        <v>41</v>
      </c>
      <c r="R1240" s="3">
        <v>3295</v>
      </c>
      <c r="S1240">
        <v>12862</v>
      </c>
      <c r="T1240">
        <v>1</v>
      </c>
      <c r="U1240" t="s">
        <v>43</v>
      </c>
      <c r="V1240" s="2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tr">
        <f t="shared" si="76"/>
        <v>18-25</v>
      </c>
      <c r="AH1240" t="str">
        <f t="shared" si="77"/>
        <v>Mid</v>
      </c>
      <c r="AI1240" s="1">
        <f>VLOOKUP(E1240,Lookup_Tables!$A$3:$B$5,2,)</f>
        <v>6281.2528616024974</v>
      </c>
      <c r="AJ1240" t="str">
        <f t="shared" si="78"/>
        <v>Below salary</v>
      </c>
      <c r="AK1240" t="str">
        <f t="shared" si="79"/>
        <v>Medium Risk</v>
      </c>
    </row>
    <row r="1241" spans="1:37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1736</v>
      </c>
      <c r="J1241">
        <v>4</v>
      </c>
      <c r="K1241" t="s">
        <v>39</v>
      </c>
      <c r="L1241">
        <v>30</v>
      </c>
      <c r="M1241">
        <v>3</v>
      </c>
      <c r="N1241">
        <v>2</v>
      </c>
      <c r="O1241" t="s">
        <v>53</v>
      </c>
      <c r="P1241">
        <v>4</v>
      </c>
      <c r="Q1241" t="s">
        <v>41</v>
      </c>
      <c r="R1241" s="3">
        <v>5238</v>
      </c>
      <c r="S1241">
        <v>6670</v>
      </c>
      <c r="T1241">
        <v>2</v>
      </c>
      <c r="U1241" t="s">
        <v>43</v>
      </c>
      <c r="V1241" s="2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tr">
        <f t="shared" si="76"/>
        <v>26-35</v>
      </c>
      <c r="AH1241" t="str">
        <f t="shared" si="77"/>
        <v>Mid</v>
      </c>
      <c r="AI1241" s="1">
        <f>VLOOKUP(E1241,Lookup_Tables!$A$3:$B$5,2,)</f>
        <v>6281.2528616024974</v>
      </c>
      <c r="AJ1241" t="str">
        <f t="shared" si="78"/>
        <v>Below salary</v>
      </c>
      <c r="AK1241" t="str">
        <f t="shared" si="79"/>
        <v>Low Risk</v>
      </c>
    </row>
    <row r="1242" spans="1:37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46</v>
      </c>
      <c r="L1242">
        <v>77</v>
      </c>
      <c r="M1242">
        <v>3</v>
      </c>
      <c r="N1242">
        <v>2</v>
      </c>
      <c r="O1242" t="s">
        <v>50</v>
      </c>
      <c r="P1242">
        <v>4</v>
      </c>
      <c r="Q1242" t="s">
        <v>48</v>
      </c>
      <c r="R1242" s="3">
        <v>6472</v>
      </c>
      <c r="S1242">
        <v>8989</v>
      </c>
      <c r="T1242">
        <v>1</v>
      </c>
      <c r="U1242" t="s">
        <v>35</v>
      </c>
      <c r="V1242" s="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tr">
        <f t="shared" si="76"/>
        <v>36-45</v>
      </c>
      <c r="AH1242" t="str">
        <f t="shared" si="77"/>
        <v>Mid</v>
      </c>
      <c r="AI1242" s="1">
        <f>VLOOKUP(E1242,Lookup_Tables!$A$3:$B$5,2,)</f>
        <v>6281.2528616024974</v>
      </c>
      <c r="AJ1242" t="str">
        <f t="shared" si="78"/>
        <v>Above salary</v>
      </c>
      <c r="AK1242" t="str">
        <f t="shared" si="79"/>
        <v>Medium Risk</v>
      </c>
    </row>
    <row r="1243" spans="1:37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46</v>
      </c>
      <c r="L1243">
        <v>80</v>
      </c>
      <c r="M1243">
        <v>1</v>
      </c>
      <c r="N1243">
        <v>3</v>
      </c>
      <c r="O1243" t="s">
        <v>40</v>
      </c>
      <c r="P1243">
        <v>3</v>
      </c>
      <c r="Q1243" t="s">
        <v>48</v>
      </c>
      <c r="R1243" s="3">
        <v>9610</v>
      </c>
      <c r="S1243">
        <v>3840</v>
      </c>
      <c r="T1243">
        <v>3</v>
      </c>
      <c r="U1243" t="s">
        <v>43</v>
      </c>
      <c r="V1243" s="2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tr">
        <f t="shared" si="76"/>
        <v>26-35</v>
      </c>
      <c r="AH1243" t="str">
        <f t="shared" si="77"/>
        <v>High</v>
      </c>
      <c r="AI1243" s="1">
        <f>VLOOKUP(E1243,Lookup_Tables!$A$3:$B$5,2,)</f>
        <v>6959.17264573991</v>
      </c>
      <c r="AJ1243" t="str">
        <f t="shared" si="78"/>
        <v>Above salary</v>
      </c>
      <c r="AK1243" t="str">
        <f t="shared" si="79"/>
        <v>Low Risk</v>
      </c>
    </row>
    <row r="1244" spans="1:37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t="s">
        <v>46</v>
      </c>
      <c r="L1244">
        <v>88</v>
      </c>
      <c r="M1244">
        <v>3</v>
      </c>
      <c r="N1244">
        <v>5</v>
      </c>
      <c r="O1244" t="s">
        <v>56</v>
      </c>
      <c r="P1244">
        <v>2</v>
      </c>
      <c r="Q1244" t="s">
        <v>41</v>
      </c>
      <c r="R1244" s="3">
        <v>19833</v>
      </c>
      <c r="S1244">
        <v>4349</v>
      </c>
      <c r="T1244">
        <v>1</v>
      </c>
      <c r="U1244" t="s">
        <v>43</v>
      </c>
      <c r="V1244" s="2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tr">
        <f t="shared" si="76"/>
        <v>36-45</v>
      </c>
      <c r="AH1244" t="str">
        <f t="shared" si="77"/>
        <v>Very High</v>
      </c>
      <c r="AI1244" s="1">
        <f>VLOOKUP(E1244,Lookup_Tables!$A$3:$B$5,2,)</f>
        <v>6959.17264573991</v>
      </c>
      <c r="AJ1244" t="str">
        <f t="shared" si="78"/>
        <v>Above salary</v>
      </c>
      <c r="AK1244" t="str">
        <f t="shared" si="79"/>
        <v>Medium Risk</v>
      </c>
    </row>
    <row r="1245" spans="1:37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56</v>
      </c>
      <c r="M1245">
        <v>1</v>
      </c>
      <c r="N1245">
        <v>3</v>
      </c>
      <c r="O1245" t="s">
        <v>61</v>
      </c>
      <c r="P1245">
        <v>3</v>
      </c>
      <c r="Q1245" t="s">
        <v>48</v>
      </c>
      <c r="R1245" s="3">
        <v>9756</v>
      </c>
      <c r="S1245">
        <v>6595</v>
      </c>
      <c r="T1245">
        <v>4</v>
      </c>
      <c r="U1245" t="s">
        <v>43</v>
      </c>
      <c r="V1245" s="2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tr">
        <f t="shared" si="76"/>
        <v>36-45</v>
      </c>
      <c r="AH1245" t="str">
        <f t="shared" si="77"/>
        <v>High</v>
      </c>
      <c r="AI1245" s="1">
        <f>VLOOKUP(E1245,Lookup_Tables!$A$3:$B$5,2,)</f>
        <v>6654.5079365079364</v>
      </c>
      <c r="AJ1245" t="str">
        <f t="shared" si="78"/>
        <v>Above salary</v>
      </c>
      <c r="AK1245" t="str">
        <f t="shared" si="79"/>
        <v>Low Risk</v>
      </c>
    </row>
    <row r="1246" spans="1:37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1745</v>
      </c>
      <c r="J1246">
        <v>4</v>
      </c>
      <c r="K1246" t="s">
        <v>39</v>
      </c>
      <c r="L1246">
        <v>78</v>
      </c>
      <c r="M1246">
        <v>2</v>
      </c>
      <c r="N1246">
        <v>1</v>
      </c>
      <c r="O1246" t="s">
        <v>47</v>
      </c>
      <c r="P1246">
        <v>1</v>
      </c>
      <c r="Q1246" t="s">
        <v>41</v>
      </c>
      <c r="R1246" s="3">
        <v>4968</v>
      </c>
      <c r="S1246">
        <v>26427</v>
      </c>
      <c r="T1246">
        <v>0</v>
      </c>
      <c r="U1246" t="s">
        <v>43</v>
      </c>
      <c r="V1246" s="2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tr">
        <f t="shared" si="76"/>
        <v>26-35</v>
      </c>
      <c r="AH1246" t="str">
        <f t="shared" si="77"/>
        <v>Mid</v>
      </c>
      <c r="AI1246" s="1">
        <f>VLOOKUP(E1246,Lookup_Tables!$A$3:$B$5,2,)</f>
        <v>6281.2528616024974</v>
      </c>
      <c r="AJ1246" t="str">
        <f t="shared" si="78"/>
        <v>Below salary</v>
      </c>
      <c r="AK1246" t="str">
        <f t="shared" si="79"/>
        <v>Medium Risk</v>
      </c>
    </row>
    <row r="1247" spans="1:37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t="s">
        <v>46</v>
      </c>
      <c r="L1247">
        <v>59</v>
      </c>
      <c r="M1247">
        <v>3</v>
      </c>
      <c r="N1247">
        <v>1</v>
      </c>
      <c r="O1247" t="s">
        <v>61</v>
      </c>
      <c r="P1247">
        <v>4</v>
      </c>
      <c r="Q1247" t="s">
        <v>48</v>
      </c>
      <c r="R1247" s="3">
        <v>2145</v>
      </c>
      <c r="S1247">
        <v>2097</v>
      </c>
      <c r="T1247">
        <v>0</v>
      </c>
      <c r="U1247" t="s">
        <v>43</v>
      </c>
      <c r="V1247" s="2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tr">
        <f t="shared" si="76"/>
        <v>18-25</v>
      </c>
      <c r="AH1247" t="str">
        <f t="shared" si="77"/>
        <v>Low</v>
      </c>
      <c r="AI1247" s="1">
        <f>VLOOKUP(E1247,Lookup_Tables!$A$3:$B$5,2,)</f>
        <v>6654.5079365079364</v>
      </c>
      <c r="AJ1247" t="str">
        <f t="shared" si="78"/>
        <v>Below salary</v>
      </c>
      <c r="AK1247" t="str">
        <f t="shared" si="79"/>
        <v>Low Risk</v>
      </c>
    </row>
    <row r="1248" spans="1:37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1747</v>
      </c>
      <c r="J1248">
        <v>3</v>
      </c>
      <c r="K1248" t="s">
        <v>39</v>
      </c>
      <c r="L1248">
        <v>66</v>
      </c>
      <c r="M1248">
        <v>2</v>
      </c>
      <c r="N1248">
        <v>1</v>
      </c>
      <c r="O1248" t="s">
        <v>61</v>
      </c>
      <c r="P1248">
        <v>4</v>
      </c>
      <c r="Q1248" t="s">
        <v>52</v>
      </c>
      <c r="R1248" s="3">
        <v>2180</v>
      </c>
      <c r="S1248">
        <v>9732</v>
      </c>
      <c r="T1248">
        <v>6</v>
      </c>
      <c r="U1248" t="s">
        <v>43</v>
      </c>
      <c r="V1248" s="2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tr">
        <f t="shared" si="76"/>
        <v>26-35</v>
      </c>
      <c r="AH1248" t="str">
        <f t="shared" si="77"/>
        <v>Low</v>
      </c>
      <c r="AI1248" s="1">
        <f>VLOOKUP(E1248,Lookup_Tables!$A$3:$B$5,2,)</f>
        <v>6654.5079365079364</v>
      </c>
      <c r="AJ1248" t="str">
        <f t="shared" si="78"/>
        <v>Below salary</v>
      </c>
      <c r="AK1248" t="str">
        <f t="shared" si="79"/>
        <v>Low Risk</v>
      </c>
    </row>
    <row r="1249" spans="1:37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1749</v>
      </c>
      <c r="J1249">
        <v>1</v>
      </c>
      <c r="K1249" t="s">
        <v>46</v>
      </c>
      <c r="L1249">
        <v>51</v>
      </c>
      <c r="M1249">
        <v>3</v>
      </c>
      <c r="N1249">
        <v>2</v>
      </c>
      <c r="O1249" t="s">
        <v>40</v>
      </c>
      <c r="P1249">
        <v>3</v>
      </c>
      <c r="Q1249" t="s">
        <v>48</v>
      </c>
      <c r="R1249" s="3">
        <v>8346</v>
      </c>
      <c r="S1249">
        <v>20943</v>
      </c>
      <c r="T1249">
        <v>1</v>
      </c>
      <c r="U1249" t="s">
        <v>43</v>
      </c>
      <c r="V1249" s="2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tr">
        <f t="shared" si="76"/>
        <v>26-35</v>
      </c>
      <c r="AH1249" t="str">
        <f t="shared" si="77"/>
        <v>High</v>
      </c>
      <c r="AI1249" s="1">
        <f>VLOOKUP(E1249,Lookup_Tables!$A$3:$B$5,2,)</f>
        <v>6959.17264573991</v>
      </c>
      <c r="AJ1249" t="str">
        <f t="shared" si="78"/>
        <v>Above salary</v>
      </c>
      <c r="AK1249" t="str">
        <f t="shared" si="79"/>
        <v>Low Risk</v>
      </c>
    </row>
    <row r="1250" spans="1:37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t="s">
        <v>39</v>
      </c>
      <c r="L1250">
        <v>67</v>
      </c>
      <c r="M1250">
        <v>3</v>
      </c>
      <c r="N1250">
        <v>1</v>
      </c>
      <c r="O1250" t="s">
        <v>47</v>
      </c>
      <c r="P1250">
        <v>4</v>
      </c>
      <c r="Q1250" t="s">
        <v>41</v>
      </c>
      <c r="R1250" s="3">
        <v>3445</v>
      </c>
      <c r="S1250">
        <v>6152</v>
      </c>
      <c r="T1250">
        <v>1</v>
      </c>
      <c r="U1250" t="s">
        <v>43</v>
      </c>
      <c r="V1250" s="2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tr">
        <f t="shared" si="76"/>
        <v>26-35</v>
      </c>
      <c r="AH1250" t="str">
        <f t="shared" si="77"/>
        <v>Mid</v>
      </c>
      <c r="AI1250" s="1">
        <f>VLOOKUP(E1250,Lookup_Tables!$A$3:$B$5,2,)</f>
        <v>6281.2528616024974</v>
      </c>
      <c r="AJ1250" t="str">
        <f t="shared" si="78"/>
        <v>Below salary</v>
      </c>
      <c r="AK1250" t="str">
        <f t="shared" si="79"/>
        <v>Low Risk</v>
      </c>
    </row>
    <row r="1251" spans="1:37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1752</v>
      </c>
      <c r="J1251">
        <v>2</v>
      </c>
      <c r="K1251" t="s">
        <v>39</v>
      </c>
      <c r="L1251">
        <v>52</v>
      </c>
      <c r="M1251">
        <v>1</v>
      </c>
      <c r="N1251">
        <v>1</v>
      </c>
      <c r="O1251" t="s">
        <v>57</v>
      </c>
      <c r="P1251">
        <v>2</v>
      </c>
      <c r="Q1251" t="s">
        <v>41</v>
      </c>
      <c r="R1251" s="3">
        <v>2760</v>
      </c>
      <c r="S1251">
        <v>14630</v>
      </c>
      <c r="T1251">
        <v>1</v>
      </c>
      <c r="U1251" t="s">
        <v>43</v>
      </c>
      <c r="V1251" s="2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tr">
        <f t="shared" si="76"/>
        <v>26-35</v>
      </c>
      <c r="AH1251" t="str">
        <f t="shared" si="77"/>
        <v>Low</v>
      </c>
      <c r="AI1251" s="1">
        <f>VLOOKUP(E1251,Lookup_Tables!$A$3:$B$5,2,)</f>
        <v>6959.17264573991</v>
      </c>
      <c r="AJ1251" t="str">
        <f t="shared" si="78"/>
        <v>Below salary</v>
      </c>
      <c r="AK1251" t="str">
        <f t="shared" si="79"/>
        <v>Medium Risk</v>
      </c>
    </row>
    <row r="1252" spans="1:37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46</v>
      </c>
      <c r="L1252">
        <v>70</v>
      </c>
      <c r="M1252">
        <v>4</v>
      </c>
      <c r="N1252">
        <v>2</v>
      </c>
      <c r="O1252" t="s">
        <v>54</v>
      </c>
      <c r="P1252">
        <v>3</v>
      </c>
      <c r="Q1252" t="s">
        <v>41</v>
      </c>
      <c r="R1252" s="3">
        <v>6294</v>
      </c>
      <c r="S1252">
        <v>23060</v>
      </c>
      <c r="T1252">
        <v>8</v>
      </c>
      <c r="U1252" t="s">
        <v>35</v>
      </c>
      <c r="V1252" s="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tr">
        <f t="shared" si="76"/>
        <v>26-35</v>
      </c>
      <c r="AH1252" t="str">
        <f t="shared" si="77"/>
        <v>Mid</v>
      </c>
      <c r="AI1252" s="1">
        <f>VLOOKUP(E1252,Lookup_Tables!$A$3:$B$5,2,)</f>
        <v>6281.2528616024974</v>
      </c>
      <c r="AJ1252" t="str">
        <f t="shared" si="78"/>
        <v>Above salary</v>
      </c>
      <c r="AK1252" t="str">
        <f t="shared" si="79"/>
        <v>Medium Risk</v>
      </c>
    </row>
    <row r="1253" spans="1:37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1754</v>
      </c>
      <c r="J1253">
        <v>3</v>
      </c>
      <c r="K1253" t="s">
        <v>46</v>
      </c>
      <c r="L1253">
        <v>94</v>
      </c>
      <c r="M1253">
        <v>2</v>
      </c>
      <c r="N1253">
        <v>3</v>
      </c>
      <c r="O1253" t="s">
        <v>40</v>
      </c>
      <c r="P1253">
        <v>1</v>
      </c>
      <c r="Q1253" t="s">
        <v>52</v>
      </c>
      <c r="R1253" s="3">
        <v>7140</v>
      </c>
      <c r="S1253">
        <v>3088</v>
      </c>
      <c r="T1253">
        <v>2</v>
      </c>
      <c r="U1253" t="s">
        <v>43</v>
      </c>
      <c r="V1253" s="2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tr">
        <f t="shared" si="76"/>
        <v>26-35</v>
      </c>
      <c r="AH1253" t="str">
        <f t="shared" si="77"/>
        <v>High</v>
      </c>
      <c r="AI1253" s="1">
        <f>VLOOKUP(E1253,Lookup_Tables!$A$3:$B$5,2,)</f>
        <v>6959.17264573991</v>
      </c>
      <c r="AJ1253" t="str">
        <f t="shared" si="78"/>
        <v>Above salary</v>
      </c>
      <c r="AK1253" t="str">
        <f t="shared" si="79"/>
        <v>Medium Risk</v>
      </c>
    </row>
    <row r="1254" spans="1:37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t="s">
        <v>46</v>
      </c>
      <c r="L1254">
        <v>97</v>
      </c>
      <c r="M1254">
        <v>4</v>
      </c>
      <c r="N1254">
        <v>1</v>
      </c>
      <c r="O1254" t="s">
        <v>47</v>
      </c>
      <c r="P1254">
        <v>4</v>
      </c>
      <c r="Q1254" t="s">
        <v>48</v>
      </c>
      <c r="R1254" s="3">
        <v>2932</v>
      </c>
      <c r="S1254">
        <v>5586</v>
      </c>
      <c r="T1254">
        <v>0</v>
      </c>
      <c r="U1254" t="s">
        <v>35</v>
      </c>
      <c r="V1254" s="2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tr">
        <f t="shared" si="76"/>
        <v>26-35</v>
      </c>
      <c r="AH1254" t="str">
        <f t="shared" si="77"/>
        <v>Low</v>
      </c>
      <c r="AI1254" s="1">
        <f>VLOOKUP(E1254,Lookup_Tables!$A$3:$B$5,2,)</f>
        <v>6281.2528616024974</v>
      </c>
      <c r="AJ1254" t="str">
        <f t="shared" si="78"/>
        <v>Below salary</v>
      </c>
      <c r="AK1254" t="str">
        <f t="shared" si="79"/>
        <v>Medium Risk</v>
      </c>
    </row>
    <row r="1255" spans="1:37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1756</v>
      </c>
      <c r="J1255">
        <v>4</v>
      </c>
      <c r="K1255" t="s">
        <v>39</v>
      </c>
      <c r="L1255">
        <v>62</v>
      </c>
      <c r="M1255">
        <v>3</v>
      </c>
      <c r="N1255">
        <v>2</v>
      </c>
      <c r="O1255" t="s">
        <v>40</v>
      </c>
      <c r="P1255">
        <v>2</v>
      </c>
      <c r="Q1255" t="s">
        <v>41</v>
      </c>
      <c r="R1255" s="3">
        <v>5147</v>
      </c>
      <c r="S1255">
        <v>10697</v>
      </c>
      <c r="T1255">
        <v>8</v>
      </c>
      <c r="U1255" t="s">
        <v>43</v>
      </c>
      <c r="V1255" s="2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tr">
        <f t="shared" si="76"/>
        <v>26-35</v>
      </c>
      <c r="AH1255" t="str">
        <f t="shared" si="77"/>
        <v>Mid</v>
      </c>
      <c r="AI1255" s="1">
        <f>VLOOKUP(E1255,Lookup_Tables!$A$3:$B$5,2,)</f>
        <v>6959.17264573991</v>
      </c>
      <c r="AJ1255" t="str">
        <f t="shared" si="78"/>
        <v>Below salary</v>
      </c>
      <c r="AK1255" t="str">
        <f t="shared" si="79"/>
        <v>Medium Risk</v>
      </c>
    </row>
    <row r="1256" spans="1:37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1757</v>
      </c>
      <c r="J1256">
        <v>4</v>
      </c>
      <c r="K1256" t="s">
        <v>39</v>
      </c>
      <c r="L1256">
        <v>80</v>
      </c>
      <c r="M1256">
        <v>3</v>
      </c>
      <c r="N1256">
        <v>2</v>
      </c>
      <c r="O1256" t="s">
        <v>40</v>
      </c>
      <c r="P1256">
        <v>4</v>
      </c>
      <c r="Q1256" t="s">
        <v>41</v>
      </c>
      <c r="R1256" s="3">
        <v>4507</v>
      </c>
      <c r="S1256">
        <v>8191</v>
      </c>
      <c r="T1256">
        <v>3</v>
      </c>
      <c r="U1256" t="s">
        <v>43</v>
      </c>
      <c r="V1256" s="2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tr">
        <f t="shared" si="76"/>
        <v>46+</v>
      </c>
      <c r="AH1256" t="str">
        <f t="shared" si="77"/>
        <v>Mid</v>
      </c>
      <c r="AI1256" s="1">
        <f>VLOOKUP(E1256,Lookup_Tables!$A$3:$B$5,2,)</f>
        <v>6959.17264573991</v>
      </c>
      <c r="AJ1256" t="str">
        <f t="shared" si="78"/>
        <v>Below salary</v>
      </c>
      <c r="AK1256" t="str">
        <f t="shared" si="79"/>
        <v>Low Risk</v>
      </c>
    </row>
    <row r="1257" spans="1:37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74</v>
      </c>
      <c r="M1257">
        <v>3</v>
      </c>
      <c r="N1257">
        <v>3</v>
      </c>
      <c r="O1257" t="s">
        <v>40</v>
      </c>
      <c r="P1257">
        <v>1</v>
      </c>
      <c r="Q1257" t="s">
        <v>41</v>
      </c>
      <c r="R1257" s="3">
        <v>8564</v>
      </c>
      <c r="S1257">
        <v>10092</v>
      </c>
      <c r="T1257">
        <v>2</v>
      </c>
      <c r="U1257" t="s">
        <v>35</v>
      </c>
      <c r="V1257" s="2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tr">
        <f t="shared" si="76"/>
        <v>26-35</v>
      </c>
      <c r="AH1257" t="str">
        <f t="shared" si="77"/>
        <v>High</v>
      </c>
      <c r="AI1257" s="1">
        <f>VLOOKUP(E1257,Lookup_Tables!$A$3:$B$5,2,)</f>
        <v>6959.17264573991</v>
      </c>
      <c r="AJ1257" t="str">
        <f t="shared" si="78"/>
        <v>Above salary</v>
      </c>
      <c r="AK1257" t="str">
        <f t="shared" si="79"/>
        <v>High Risk</v>
      </c>
    </row>
    <row r="1258" spans="1:37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t="s">
        <v>39</v>
      </c>
      <c r="L1258">
        <v>75</v>
      </c>
      <c r="M1258">
        <v>2</v>
      </c>
      <c r="N1258">
        <v>1</v>
      </c>
      <c r="O1258" t="s">
        <v>50</v>
      </c>
      <c r="P1258">
        <v>2</v>
      </c>
      <c r="Q1258" t="s">
        <v>48</v>
      </c>
      <c r="R1258" s="3">
        <v>2468</v>
      </c>
      <c r="S1258">
        <v>15963</v>
      </c>
      <c r="T1258">
        <v>4</v>
      </c>
      <c r="U1258" t="s">
        <v>43</v>
      </c>
      <c r="V1258" s="2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tr">
        <f t="shared" si="76"/>
        <v>36-45</v>
      </c>
      <c r="AH1258" t="str">
        <f t="shared" si="77"/>
        <v>Low</v>
      </c>
      <c r="AI1258" s="1">
        <f>VLOOKUP(E1258,Lookup_Tables!$A$3:$B$5,2,)</f>
        <v>6281.2528616024974</v>
      </c>
      <c r="AJ1258" t="str">
        <f t="shared" si="78"/>
        <v>Below salary</v>
      </c>
      <c r="AK1258" t="str">
        <f t="shared" si="79"/>
        <v>Medium Risk</v>
      </c>
    </row>
    <row r="1259" spans="1:37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1761</v>
      </c>
      <c r="J1259">
        <v>1</v>
      </c>
      <c r="K1259" t="s">
        <v>46</v>
      </c>
      <c r="L1259">
        <v>70</v>
      </c>
      <c r="M1259">
        <v>3</v>
      </c>
      <c r="N1259">
        <v>3</v>
      </c>
      <c r="O1259" t="s">
        <v>40</v>
      </c>
      <c r="P1259">
        <v>3</v>
      </c>
      <c r="Q1259" t="s">
        <v>48</v>
      </c>
      <c r="R1259" s="3">
        <v>8161</v>
      </c>
      <c r="S1259">
        <v>19002</v>
      </c>
      <c r="T1259">
        <v>2</v>
      </c>
      <c r="U1259" t="s">
        <v>43</v>
      </c>
      <c r="V1259" s="2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tr">
        <f t="shared" si="76"/>
        <v>26-35</v>
      </c>
      <c r="AH1259" t="str">
        <f t="shared" si="77"/>
        <v>High</v>
      </c>
      <c r="AI1259" s="1">
        <f>VLOOKUP(E1259,Lookup_Tables!$A$3:$B$5,2,)</f>
        <v>6959.17264573991</v>
      </c>
      <c r="AJ1259" t="str">
        <f t="shared" si="78"/>
        <v>Above salary</v>
      </c>
      <c r="AK1259" t="str">
        <f t="shared" si="79"/>
        <v>Low Risk</v>
      </c>
    </row>
    <row r="1260" spans="1:37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1762</v>
      </c>
      <c r="J1260">
        <v>4</v>
      </c>
      <c r="K1260" t="s">
        <v>39</v>
      </c>
      <c r="L1260">
        <v>91</v>
      </c>
      <c r="M1260">
        <v>2</v>
      </c>
      <c r="N1260">
        <v>1</v>
      </c>
      <c r="O1260" t="s">
        <v>47</v>
      </c>
      <c r="P1260">
        <v>1</v>
      </c>
      <c r="Q1260" t="s">
        <v>52</v>
      </c>
      <c r="R1260" s="3">
        <v>2109</v>
      </c>
      <c r="S1260">
        <v>10007</v>
      </c>
      <c r="T1260">
        <v>1</v>
      </c>
      <c r="U1260" t="s">
        <v>43</v>
      </c>
      <c r="V1260" s="2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tr">
        <f t="shared" si="76"/>
        <v>26-35</v>
      </c>
      <c r="AH1260" t="str">
        <f t="shared" si="77"/>
        <v>Low</v>
      </c>
      <c r="AI1260" s="1">
        <f>VLOOKUP(E1260,Lookup_Tables!$A$3:$B$5,2,)</f>
        <v>6281.2528616024974</v>
      </c>
      <c r="AJ1260" t="str">
        <f t="shared" si="78"/>
        <v>Below salary</v>
      </c>
      <c r="AK1260" t="str">
        <f t="shared" si="79"/>
        <v>Medium Risk</v>
      </c>
    </row>
    <row r="1261" spans="1:37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46</v>
      </c>
      <c r="L1261">
        <v>58</v>
      </c>
      <c r="M1261">
        <v>4</v>
      </c>
      <c r="N1261">
        <v>2</v>
      </c>
      <c r="O1261" t="s">
        <v>54</v>
      </c>
      <c r="P1261">
        <v>3</v>
      </c>
      <c r="Q1261" t="s">
        <v>48</v>
      </c>
      <c r="R1261" s="3">
        <v>5294</v>
      </c>
      <c r="S1261">
        <v>9128</v>
      </c>
      <c r="T1261">
        <v>3</v>
      </c>
      <c r="U1261" t="s">
        <v>43</v>
      </c>
      <c r="V1261" s="2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tr">
        <f t="shared" si="76"/>
        <v>26-35</v>
      </c>
      <c r="AH1261" t="str">
        <f t="shared" si="77"/>
        <v>Mid</v>
      </c>
      <c r="AI1261" s="1">
        <f>VLOOKUP(E1261,Lookup_Tables!$A$3:$B$5,2,)</f>
        <v>6281.2528616024974</v>
      </c>
      <c r="AJ1261" t="str">
        <f t="shared" si="78"/>
        <v>Below salary</v>
      </c>
      <c r="AK1261" t="str">
        <f t="shared" si="79"/>
        <v>Low Risk</v>
      </c>
    </row>
    <row r="1262" spans="1:37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1764</v>
      </c>
      <c r="J1262">
        <v>2</v>
      </c>
      <c r="K1262" t="s">
        <v>46</v>
      </c>
      <c r="L1262">
        <v>65</v>
      </c>
      <c r="M1262">
        <v>3</v>
      </c>
      <c r="N1262">
        <v>1</v>
      </c>
      <c r="O1262" t="s">
        <v>47</v>
      </c>
      <c r="P1262">
        <v>2</v>
      </c>
      <c r="Q1262" t="s">
        <v>41</v>
      </c>
      <c r="R1262" s="3">
        <v>2718</v>
      </c>
      <c r="S1262">
        <v>17674</v>
      </c>
      <c r="T1262">
        <v>2</v>
      </c>
      <c r="U1262" t="s">
        <v>43</v>
      </c>
      <c r="V1262" s="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tr">
        <f t="shared" si="76"/>
        <v>26-35</v>
      </c>
      <c r="AH1262" t="str">
        <f t="shared" si="77"/>
        <v>Low</v>
      </c>
      <c r="AI1262" s="1">
        <f>VLOOKUP(E1262,Lookup_Tables!$A$3:$B$5,2,)</f>
        <v>6281.2528616024974</v>
      </c>
      <c r="AJ1262" t="str">
        <f t="shared" si="78"/>
        <v>Below salary</v>
      </c>
      <c r="AK1262" t="str">
        <f t="shared" si="79"/>
        <v>Medium Risk</v>
      </c>
    </row>
    <row r="1263" spans="1:37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t="s">
        <v>46</v>
      </c>
      <c r="L1263">
        <v>60</v>
      </c>
      <c r="M1263">
        <v>1</v>
      </c>
      <c r="N1263">
        <v>2</v>
      </c>
      <c r="O1263" t="s">
        <v>54</v>
      </c>
      <c r="P1263">
        <v>4</v>
      </c>
      <c r="Q1263" t="s">
        <v>48</v>
      </c>
      <c r="R1263" s="3">
        <v>5811</v>
      </c>
      <c r="S1263">
        <v>24539</v>
      </c>
      <c r="T1263">
        <v>3</v>
      </c>
      <c r="U1263" t="s">
        <v>35</v>
      </c>
      <c r="V1263" s="2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tr">
        <f t="shared" si="76"/>
        <v>36-45</v>
      </c>
      <c r="AH1263" t="str">
        <f t="shared" si="77"/>
        <v>Mid</v>
      </c>
      <c r="AI1263" s="1">
        <f>VLOOKUP(E1263,Lookup_Tables!$A$3:$B$5,2,)</f>
        <v>6281.2528616024974</v>
      </c>
      <c r="AJ1263" t="str">
        <f t="shared" si="78"/>
        <v>Below salary</v>
      </c>
      <c r="AK1263" t="str">
        <f t="shared" si="79"/>
        <v>Medium Risk</v>
      </c>
    </row>
    <row r="1264" spans="1:37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1767</v>
      </c>
      <c r="J1264">
        <v>3</v>
      </c>
      <c r="K1264" t="s">
        <v>46</v>
      </c>
      <c r="L1264">
        <v>38</v>
      </c>
      <c r="M1264">
        <v>2</v>
      </c>
      <c r="N1264">
        <v>1</v>
      </c>
      <c r="O1264" t="s">
        <v>47</v>
      </c>
      <c r="P1264">
        <v>3</v>
      </c>
      <c r="Q1264" t="s">
        <v>48</v>
      </c>
      <c r="R1264" s="3">
        <v>2437</v>
      </c>
      <c r="S1264">
        <v>15587</v>
      </c>
      <c r="T1264">
        <v>9</v>
      </c>
      <c r="U1264" t="s">
        <v>35</v>
      </c>
      <c r="V1264" s="2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tr">
        <f t="shared" si="76"/>
        <v>36-45</v>
      </c>
      <c r="AH1264" t="str">
        <f t="shared" si="77"/>
        <v>Low</v>
      </c>
      <c r="AI1264" s="1">
        <f>VLOOKUP(E1264,Lookup_Tables!$A$3:$B$5,2,)</f>
        <v>6281.2528616024974</v>
      </c>
      <c r="AJ1264" t="str">
        <f t="shared" si="78"/>
        <v>Below salary</v>
      </c>
      <c r="AK1264" t="str">
        <f t="shared" si="79"/>
        <v>Medium Risk</v>
      </c>
    </row>
    <row r="1265" spans="1:37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t="s">
        <v>46</v>
      </c>
      <c r="L1265">
        <v>57</v>
      </c>
      <c r="M1265">
        <v>3</v>
      </c>
      <c r="N1265">
        <v>1</v>
      </c>
      <c r="O1265" t="s">
        <v>50</v>
      </c>
      <c r="P1265">
        <v>2</v>
      </c>
      <c r="Q1265" t="s">
        <v>52</v>
      </c>
      <c r="R1265" s="3">
        <v>2766</v>
      </c>
      <c r="S1265">
        <v>8952</v>
      </c>
      <c r="T1265">
        <v>8</v>
      </c>
      <c r="U1265" t="s">
        <v>43</v>
      </c>
      <c r="V1265" s="2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tr">
        <f t="shared" si="76"/>
        <v>36-45</v>
      </c>
      <c r="AH1265" t="str">
        <f t="shared" si="77"/>
        <v>Low</v>
      </c>
      <c r="AI1265" s="1">
        <f>VLOOKUP(E1265,Lookup_Tables!$A$3:$B$5,2,)</f>
        <v>6281.2528616024974</v>
      </c>
      <c r="AJ1265" t="str">
        <f t="shared" si="78"/>
        <v>Below salary</v>
      </c>
      <c r="AK1265" t="str">
        <f t="shared" si="79"/>
        <v>Medium Risk</v>
      </c>
    </row>
    <row r="1266" spans="1:37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t="s">
        <v>46</v>
      </c>
      <c r="L1266">
        <v>60</v>
      </c>
      <c r="M1266">
        <v>2</v>
      </c>
      <c r="N1266">
        <v>5</v>
      </c>
      <c r="O1266" t="s">
        <v>58</v>
      </c>
      <c r="P1266">
        <v>1</v>
      </c>
      <c r="Q1266" t="s">
        <v>48</v>
      </c>
      <c r="R1266" s="3">
        <v>19038</v>
      </c>
      <c r="S1266">
        <v>19805</v>
      </c>
      <c r="T1266">
        <v>8</v>
      </c>
      <c r="U1266" t="s">
        <v>43</v>
      </c>
      <c r="V1266" s="2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tr">
        <f t="shared" si="76"/>
        <v>46+</v>
      </c>
      <c r="AH1266" t="str">
        <f t="shared" si="77"/>
        <v>Very High</v>
      </c>
      <c r="AI1266" s="1">
        <f>VLOOKUP(E1266,Lookup_Tables!$A$3:$B$5,2,)</f>
        <v>6281.2528616024974</v>
      </c>
      <c r="AJ1266" t="str">
        <f t="shared" si="78"/>
        <v>Above salary</v>
      </c>
      <c r="AK1266" t="str">
        <f t="shared" si="79"/>
        <v>Medium Risk</v>
      </c>
    </row>
    <row r="1267" spans="1:37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1771</v>
      </c>
      <c r="J1267">
        <v>4</v>
      </c>
      <c r="K1267" t="s">
        <v>46</v>
      </c>
      <c r="L1267">
        <v>90</v>
      </c>
      <c r="M1267">
        <v>3</v>
      </c>
      <c r="N1267">
        <v>2</v>
      </c>
      <c r="O1267" t="s">
        <v>47</v>
      </c>
      <c r="P1267">
        <v>2</v>
      </c>
      <c r="Q1267" t="s">
        <v>52</v>
      </c>
      <c r="R1267" s="3">
        <v>3055</v>
      </c>
      <c r="S1267">
        <v>6194</v>
      </c>
      <c r="T1267">
        <v>5</v>
      </c>
      <c r="U1267" t="s">
        <v>43</v>
      </c>
      <c r="V1267" s="2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tr">
        <f t="shared" si="76"/>
        <v>26-35</v>
      </c>
      <c r="AH1267" t="str">
        <f t="shared" si="77"/>
        <v>Mid</v>
      </c>
      <c r="AI1267" s="1">
        <f>VLOOKUP(E1267,Lookup_Tables!$A$3:$B$5,2,)</f>
        <v>6281.2528616024974</v>
      </c>
      <c r="AJ1267" t="str">
        <f t="shared" si="78"/>
        <v>Below salary</v>
      </c>
      <c r="AK1267" t="str">
        <f t="shared" si="79"/>
        <v>Medium Risk</v>
      </c>
    </row>
    <row r="1268" spans="1:37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46</v>
      </c>
      <c r="L1268">
        <v>94</v>
      </c>
      <c r="M1268">
        <v>3</v>
      </c>
      <c r="N1268">
        <v>1</v>
      </c>
      <c r="O1268" t="s">
        <v>50</v>
      </c>
      <c r="P1268">
        <v>1</v>
      </c>
      <c r="Q1268" t="s">
        <v>52</v>
      </c>
      <c r="R1268" s="3">
        <v>2289</v>
      </c>
      <c r="S1268">
        <v>20520</v>
      </c>
      <c r="T1268">
        <v>1</v>
      </c>
      <c r="U1268" t="s">
        <v>43</v>
      </c>
      <c r="V1268" s="2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tr">
        <f t="shared" si="76"/>
        <v>36-45</v>
      </c>
      <c r="AH1268" t="str">
        <f t="shared" si="77"/>
        <v>Low</v>
      </c>
      <c r="AI1268" s="1">
        <f>VLOOKUP(E1268,Lookup_Tables!$A$3:$B$5,2,)</f>
        <v>6281.2528616024974</v>
      </c>
      <c r="AJ1268" t="str">
        <f t="shared" si="78"/>
        <v>Below salary</v>
      </c>
      <c r="AK1268" t="str">
        <f t="shared" si="79"/>
        <v>Medium Risk</v>
      </c>
    </row>
    <row r="1269" spans="1:37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46</v>
      </c>
      <c r="L1269">
        <v>87</v>
      </c>
      <c r="M1269">
        <v>3</v>
      </c>
      <c r="N1269">
        <v>2</v>
      </c>
      <c r="O1269" t="s">
        <v>40</v>
      </c>
      <c r="P1269">
        <v>3</v>
      </c>
      <c r="Q1269" t="s">
        <v>52</v>
      </c>
      <c r="R1269" s="3">
        <v>4001</v>
      </c>
      <c r="S1269">
        <v>12313</v>
      </c>
      <c r="T1269">
        <v>1</v>
      </c>
      <c r="U1269" t="s">
        <v>35</v>
      </c>
      <c r="V1269" s="2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tr">
        <f t="shared" si="76"/>
        <v>26-35</v>
      </c>
      <c r="AH1269" t="str">
        <f t="shared" si="77"/>
        <v>Mid</v>
      </c>
      <c r="AI1269" s="1">
        <f>VLOOKUP(E1269,Lookup_Tables!$A$3:$B$5,2,)</f>
        <v>6959.17264573991</v>
      </c>
      <c r="AJ1269" t="str">
        <f t="shared" si="78"/>
        <v>Below salary</v>
      </c>
      <c r="AK1269" t="str">
        <f t="shared" si="79"/>
        <v>Medium Risk</v>
      </c>
    </row>
    <row r="1270" spans="1:37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t="s">
        <v>39</v>
      </c>
      <c r="L1270">
        <v>60</v>
      </c>
      <c r="M1270">
        <v>2</v>
      </c>
      <c r="N1270">
        <v>4</v>
      </c>
      <c r="O1270" t="s">
        <v>53</v>
      </c>
      <c r="P1270">
        <v>3</v>
      </c>
      <c r="Q1270" t="s">
        <v>48</v>
      </c>
      <c r="R1270" s="3">
        <v>12965</v>
      </c>
      <c r="S1270">
        <v>22308</v>
      </c>
      <c r="T1270">
        <v>4</v>
      </c>
      <c r="U1270" t="s">
        <v>35</v>
      </c>
      <c r="V1270" s="2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tr">
        <f t="shared" si="76"/>
        <v>46+</v>
      </c>
      <c r="AH1270" t="str">
        <f t="shared" si="77"/>
        <v>Very High</v>
      </c>
      <c r="AI1270" s="1">
        <f>VLOOKUP(E1270,Lookup_Tables!$A$3:$B$5,2,)</f>
        <v>6281.2528616024974</v>
      </c>
      <c r="AJ1270" t="str">
        <f t="shared" si="78"/>
        <v>Above salary</v>
      </c>
      <c r="AK1270" t="str">
        <f t="shared" si="79"/>
        <v>Medium Risk</v>
      </c>
    </row>
    <row r="1271" spans="1:37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46</v>
      </c>
      <c r="L1271">
        <v>97</v>
      </c>
      <c r="M1271">
        <v>3</v>
      </c>
      <c r="N1271">
        <v>1</v>
      </c>
      <c r="O1271" t="s">
        <v>61</v>
      </c>
      <c r="P1271">
        <v>4</v>
      </c>
      <c r="Q1271" t="s">
        <v>41</v>
      </c>
      <c r="R1271" s="3">
        <v>3539</v>
      </c>
      <c r="S1271">
        <v>5033</v>
      </c>
      <c r="T1271">
        <v>0</v>
      </c>
      <c r="U1271" t="s">
        <v>43</v>
      </c>
      <c r="V1271" s="2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tr">
        <f t="shared" si="76"/>
        <v>36-45</v>
      </c>
      <c r="AH1271" t="str">
        <f t="shared" si="77"/>
        <v>Mid</v>
      </c>
      <c r="AI1271" s="1">
        <f>VLOOKUP(E1271,Lookup_Tables!$A$3:$B$5,2,)</f>
        <v>6654.5079365079364</v>
      </c>
      <c r="AJ1271" t="str">
        <f t="shared" si="78"/>
        <v>Below salary</v>
      </c>
      <c r="AK1271" t="str">
        <f t="shared" si="79"/>
        <v>Low Risk</v>
      </c>
    </row>
    <row r="1272" spans="1:37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32</v>
      </c>
      <c r="M1272">
        <v>1</v>
      </c>
      <c r="N1272">
        <v>2</v>
      </c>
      <c r="O1272" t="s">
        <v>40</v>
      </c>
      <c r="P1272">
        <v>4</v>
      </c>
      <c r="Q1272" t="s">
        <v>41</v>
      </c>
      <c r="R1272" s="3">
        <v>6029</v>
      </c>
      <c r="S1272">
        <v>25353</v>
      </c>
      <c r="T1272">
        <v>5</v>
      </c>
      <c r="U1272" t="s">
        <v>43</v>
      </c>
      <c r="V1272" s="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tr">
        <f t="shared" si="76"/>
        <v>26-35</v>
      </c>
      <c r="AH1272" t="str">
        <f t="shared" si="77"/>
        <v>Mid</v>
      </c>
      <c r="AI1272" s="1">
        <f>VLOOKUP(E1272,Lookup_Tables!$A$3:$B$5,2,)</f>
        <v>6959.17264573991</v>
      </c>
      <c r="AJ1272" t="str">
        <f t="shared" si="78"/>
        <v>Below salary</v>
      </c>
      <c r="AK1272" t="str">
        <f t="shared" si="79"/>
        <v>Low Risk</v>
      </c>
    </row>
    <row r="1273" spans="1:37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1780</v>
      </c>
      <c r="J1273">
        <v>2</v>
      </c>
      <c r="K1273" t="s">
        <v>46</v>
      </c>
      <c r="L1273">
        <v>31</v>
      </c>
      <c r="M1273">
        <v>3</v>
      </c>
      <c r="N1273">
        <v>1</v>
      </c>
      <c r="O1273" t="s">
        <v>57</v>
      </c>
      <c r="P1273">
        <v>2</v>
      </c>
      <c r="Q1273" t="s">
        <v>41</v>
      </c>
      <c r="R1273" s="3">
        <v>2679</v>
      </c>
      <c r="S1273">
        <v>4567</v>
      </c>
      <c r="T1273">
        <v>1</v>
      </c>
      <c r="U1273" t="s">
        <v>43</v>
      </c>
      <c r="V1273" s="2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tr">
        <f t="shared" si="76"/>
        <v>18-25</v>
      </c>
      <c r="AH1273" t="str">
        <f t="shared" si="77"/>
        <v>Low</v>
      </c>
      <c r="AI1273" s="1">
        <f>VLOOKUP(E1273,Lookup_Tables!$A$3:$B$5,2,)</f>
        <v>6959.17264573991</v>
      </c>
      <c r="AJ1273" t="str">
        <f t="shared" si="78"/>
        <v>Below salary</v>
      </c>
      <c r="AK1273" t="str">
        <f t="shared" si="79"/>
        <v>Medium Risk</v>
      </c>
    </row>
    <row r="1274" spans="1:37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t="s">
        <v>39</v>
      </c>
      <c r="L1274">
        <v>40</v>
      </c>
      <c r="M1274">
        <v>2</v>
      </c>
      <c r="N1274">
        <v>1</v>
      </c>
      <c r="O1274" t="s">
        <v>50</v>
      </c>
      <c r="P1274">
        <v>3</v>
      </c>
      <c r="Q1274" t="s">
        <v>48</v>
      </c>
      <c r="R1274" s="3">
        <v>3702</v>
      </c>
      <c r="S1274">
        <v>16376</v>
      </c>
      <c r="T1274">
        <v>1</v>
      </c>
      <c r="U1274" t="s">
        <v>43</v>
      </c>
      <c r="V1274" s="2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tr">
        <f t="shared" si="76"/>
        <v>36-45</v>
      </c>
      <c r="AH1274" t="str">
        <f t="shared" si="77"/>
        <v>Mid</v>
      </c>
      <c r="AI1274" s="1">
        <f>VLOOKUP(E1274,Lookup_Tables!$A$3:$B$5,2,)</f>
        <v>6281.2528616024974</v>
      </c>
      <c r="AJ1274" t="str">
        <f t="shared" si="78"/>
        <v>Below salary</v>
      </c>
      <c r="AK1274" t="str">
        <f t="shared" si="79"/>
        <v>Low Risk</v>
      </c>
    </row>
    <row r="1275" spans="1:37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t="s">
        <v>39</v>
      </c>
      <c r="L1275">
        <v>79</v>
      </c>
      <c r="M1275">
        <v>3</v>
      </c>
      <c r="N1275">
        <v>1</v>
      </c>
      <c r="O1275" t="s">
        <v>50</v>
      </c>
      <c r="P1275">
        <v>1</v>
      </c>
      <c r="Q1275" t="s">
        <v>48</v>
      </c>
      <c r="R1275" s="3">
        <v>2398</v>
      </c>
      <c r="S1275">
        <v>15999</v>
      </c>
      <c r="T1275">
        <v>1</v>
      </c>
      <c r="U1275" t="s">
        <v>35</v>
      </c>
      <c r="V1275" s="2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tr">
        <f t="shared" si="76"/>
        <v>18-25</v>
      </c>
      <c r="AH1275" t="str">
        <f t="shared" si="77"/>
        <v>Low</v>
      </c>
      <c r="AI1275" s="1">
        <f>VLOOKUP(E1275,Lookup_Tables!$A$3:$B$5,2,)</f>
        <v>6281.2528616024974</v>
      </c>
      <c r="AJ1275" t="str">
        <f t="shared" si="78"/>
        <v>Below salary</v>
      </c>
      <c r="AK1275" t="str">
        <f t="shared" si="79"/>
        <v>High Risk</v>
      </c>
    </row>
    <row r="1276" spans="1:37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1784</v>
      </c>
      <c r="J1276">
        <v>1</v>
      </c>
      <c r="K1276" t="s">
        <v>39</v>
      </c>
      <c r="L1276">
        <v>91</v>
      </c>
      <c r="M1276">
        <v>2</v>
      </c>
      <c r="N1276">
        <v>2</v>
      </c>
      <c r="O1276" t="s">
        <v>40</v>
      </c>
      <c r="P1276">
        <v>4</v>
      </c>
      <c r="Q1276" t="s">
        <v>48</v>
      </c>
      <c r="R1276" s="3">
        <v>5468</v>
      </c>
      <c r="S1276">
        <v>13402</v>
      </c>
      <c r="T1276">
        <v>1</v>
      </c>
      <c r="U1276" t="s">
        <v>43</v>
      </c>
      <c r="V1276" s="2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tr">
        <f t="shared" si="76"/>
        <v>26-35</v>
      </c>
      <c r="AH1276" t="str">
        <f t="shared" si="77"/>
        <v>Mid</v>
      </c>
      <c r="AI1276" s="1">
        <f>VLOOKUP(E1276,Lookup_Tables!$A$3:$B$5,2,)</f>
        <v>6959.17264573991</v>
      </c>
      <c r="AJ1276" t="str">
        <f t="shared" si="78"/>
        <v>Below salary</v>
      </c>
      <c r="AK1276" t="str">
        <f t="shared" si="79"/>
        <v>Low Risk</v>
      </c>
    </row>
    <row r="1277" spans="1:37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1786</v>
      </c>
      <c r="J1277">
        <v>1</v>
      </c>
      <c r="K1277" t="s">
        <v>39</v>
      </c>
      <c r="L1277">
        <v>53</v>
      </c>
      <c r="M1277">
        <v>3</v>
      </c>
      <c r="N1277">
        <v>3</v>
      </c>
      <c r="O1277" t="s">
        <v>56</v>
      </c>
      <c r="P1277">
        <v>3</v>
      </c>
      <c r="Q1277" t="s">
        <v>48</v>
      </c>
      <c r="R1277" s="3">
        <v>13116</v>
      </c>
      <c r="S1277">
        <v>22984</v>
      </c>
      <c r="T1277">
        <v>2</v>
      </c>
      <c r="U1277" t="s">
        <v>43</v>
      </c>
      <c r="V1277" s="2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tr">
        <f t="shared" si="76"/>
        <v>46+</v>
      </c>
      <c r="AH1277" t="str">
        <f t="shared" si="77"/>
        <v>Very High</v>
      </c>
      <c r="AI1277" s="1">
        <f>VLOOKUP(E1277,Lookup_Tables!$A$3:$B$5,2,)</f>
        <v>6281.2528616024974</v>
      </c>
      <c r="AJ1277" t="str">
        <f t="shared" si="78"/>
        <v>Above salary</v>
      </c>
      <c r="AK1277" t="str">
        <f t="shared" si="79"/>
        <v>Low Risk</v>
      </c>
    </row>
    <row r="1278" spans="1:37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1787</v>
      </c>
      <c r="J1278">
        <v>2</v>
      </c>
      <c r="K1278" t="s">
        <v>46</v>
      </c>
      <c r="L1278">
        <v>46</v>
      </c>
      <c r="M1278">
        <v>2</v>
      </c>
      <c r="N1278">
        <v>2</v>
      </c>
      <c r="O1278" t="s">
        <v>40</v>
      </c>
      <c r="P1278">
        <v>2</v>
      </c>
      <c r="Q1278" t="s">
        <v>48</v>
      </c>
      <c r="R1278" s="3">
        <v>4189</v>
      </c>
      <c r="S1278">
        <v>8800</v>
      </c>
      <c r="T1278">
        <v>1</v>
      </c>
      <c r="U1278" t="s">
        <v>43</v>
      </c>
      <c r="V1278" s="2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tr">
        <f t="shared" si="76"/>
        <v>36-45</v>
      </c>
      <c r="AH1278" t="str">
        <f t="shared" si="77"/>
        <v>Mid</v>
      </c>
      <c r="AI1278" s="1">
        <f>VLOOKUP(E1278,Lookup_Tables!$A$3:$B$5,2,)</f>
        <v>6959.17264573991</v>
      </c>
      <c r="AJ1278" t="str">
        <f t="shared" si="78"/>
        <v>Below salary</v>
      </c>
      <c r="AK1278" t="str">
        <f t="shared" si="79"/>
        <v>Medium Risk</v>
      </c>
    </row>
    <row r="1279" spans="1:37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t="s">
        <v>46</v>
      </c>
      <c r="L1279">
        <v>46</v>
      </c>
      <c r="M1279">
        <v>3</v>
      </c>
      <c r="N1279">
        <v>5</v>
      </c>
      <c r="O1279" t="s">
        <v>58</v>
      </c>
      <c r="P1279">
        <v>4</v>
      </c>
      <c r="Q1279" t="s">
        <v>52</v>
      </c>
      <c r="R1279" s="3">
        <v>19328</v>
      </c>
      <c r="S1279">
        <v>14218</v>
      </c>
      <c r="T1279">
        <v>7</v>
      </c>
      <c r="U1279" t="s">
        <v>35</v>
      </c>
      <c r="V1279" s="2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tr">
        <f t="shared" si="76"/>
        <v>46+</v>
      </c>
      <c r="AH1279" t="str">
        <f t="shared" si="77"/>
        <v>Very High</v>
      </c>
      <c r="AI1279" s="1">
        <f>VLOOKUP(E1279,Lookup_Tables!$A$3:$B$5,2,)</f>
        <v>6281.2528616024974</v>
      </c>
      <c r="AJ1279" t="str">
        <f t="shared" si="78"/>
        <v>Above salary</v>
      </c>
      <c r="AK1279" t="str">
        <f t="shared" si="79"/>
        <v>Medium Risk</v>
      </c>
    </row>
    <row r="1280" spans="1:37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46</v>
      </c>
      <c r="L1280">
        <v>90</v>
      </c>
      <c r="M1280">
        <v>3</v>
      </c>
      <c r="N1280">
        <v>3</v>
      </c>
      <c r="O1280" t="s">
        <v>54</v>
      </c>
      <c r="P1280">
        <v>1</v>
      </c>
      <c r="Q1280" t="s">
        <v>48</v>
      </c>
      <c r="R1280" s="3">
        <v>8321</v>
      </c>
      <c r="S1280">
        <v>25949</v>
      </c>
      <c r="T1280">
        <v>7</v>
      </c>
      <c r="U1280" t="s">
        <v>35</v>
      </c>
      <c r="V1280" s="2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tr">
        <f t="shared" si="76"/>
        <v>36-45</v>
      </c>
      <c r="AH1280" t="str">
        <f t="shared" si="77"/>
        <v>High</v>
      </c>
      <c r="AI1280" s="1">
        <f>VLOOKUP(E1280,Lookup_Tables!$A$3:$B$5,2,)</f>
        <v>6281.2528616024974</v>
      </c>
      <c r="AJ1280" t="str">
        <f t="shared" si="78"/>
        <v>Above salary</v>
      </c>
      <c r="AK1280" t="str">
        <f t="shared" si="79"/>
        <v>High Risk</v>
      </c>
    </row>
    <row r="1281" spans="1:37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t="s">
        <v>46</v>
      </c>
      <c r="L1281">
        <v>99</v>
      </c>
      <c r="M1281">
        <v>3</v>
      </c>
      <c r="N1281">
        <v>1</v>
      </c>
      <c r="O1281" t="s">
        <v>47</v>
      </c>
      <c r="P1281">
        <v>2</v>
      </c>
      <c r="Q1281" t="s">
        <v>52</v>
      </c>
      <c r="R1281" s="3">
        <v>2342</v>
      </c>
      <c r="S1281">
        <v>11092</v>
      </c>
      <c r="T1281">
        <v>1</v>
      </c>
      <c r="U1281" t="s">
        <v>35</v>
      </c>
      <c r="V1281" s="2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tr">
        <f t="shared" si="76"/>
        <v>36-45</v>
      </c>
      <c r="AH1281" t="str">
        <f t="shared" si="77"/>
        <v>Low</v>
      </c>
      <c r="AI1281" s="1">
        <f>VLOOKUP(E1281,Lookup_Tables!$A$3:$B$5,2,)</f>
        <v>6281.2528616024974</v>
      </c>
      <c r="AJ1281" t="str">
        <f t="shared" si="78"/>
        <v>Below salary</v>
      </c>
      <c r="AK1281" t="str">
        <f t="shared" si="79"/>
        <v>High Risk</v>
      </c>
    </row>
    <row r="1282" spans="1:37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t="s">
        <v>46</v>
      </c>
      <c r="L1282">
        <v>89</v>
      </c>
      <c r="M1282">
        <v>3</v>
      </c>
      <c r="N1282">
        <v>2</v>
      </c>
      <c r="O1282" t="s">
        <v>61</v>
      </c>
      <c r="P1282">
        <v>2</v>
      </c>
      <c r="Q1282" t="s">
        <v>52</v>
      </c>
      <c r="R1282" s="3">
        <v>4071</v>
      </c>
      <c r="S1282">
        <v>12832</v>
      </c>
      <c r="T1282">
        <v>2</v>
      </c>
      <c r="U1282" t="s">
        <v>43</v>
      </c>
      <c r="V1282" s="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tr">
        <f t="shared" ref="AG1282:AG1345" si="80">IF(A1282&lt;=25,"18-25",IF(A1282&lt;= 35, "26-35",IF(A1282&lt;=45, "36-45","46+")))</f>
        <v>36-45</v>
      </c>
      <c r="AH1282" t="str">
        <f t="shared" ref="AH1282:AH1345" si="81">IF(R1282&lt;3000,"Low",IF(R1282&lt;7000,"Mid", IF(R1282&lt;12000, "High", "Very High")))</f>
        <v>Mid</v>
      </c>
      <c r="AI1282" s="1">
        <f>VLOOKUP(E1282,Lookup_Tables!$A$3:$B$5,2,)</f>
        <v>6654.5079365079364</v>
      </c>
      <c r="AJ1282" t="str">
        <f t="shared" ref="AJ1282:AJ1345" si="82">IF(R1282&gt;AI1282, "Above salary","Below salary")</f>
        <v>Below salary</v>
      </c>
      <c r="AK1282" t="str">
        <f t="shared" si="79"/>
        <v>Medium Risk</v>
      </c>
    </row>
    <row r="1283" spans="1:37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46</v>
      </c>
      <c r="L1283">
        <v>84</v>
      </c>
      <c r="M1283">
        <v>3</v>
      </c>
      <c r="N1283">
        <v>2</v>
      </c>
      <c r="O1283" t="s">
        <v>40</v>
      </c>
      <c r="P1283">
        <v>4</v>
      </c>
      <c r="Q1283" t="s">
        <v>41</v>
      </c>
      <c r="R1283" s="3">
        <v>5813</v>
      </c>
      <c r="S1283">
        <v>13492</v>
      </c>
      <c r="T1283">
        <v>1</v>
      </c>
      <c r="U1283" t="s">
        <v>35</v>
      </c>
      <c r="V1283" s="2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tr">
        <f t="shared" si="80"/>
        <v>26-35</v>
      </c>
      <c r="AH1283" t="str">
        <f t="shared" si="81"/>
        <v>Mid</v>
      </c>
      <c r="AI1283" s="1">
        <f>VLOOKUP(E1283,Lookup_Tables!$A$3:$B$5,2,)</f>
        <v>6959.17264573991</v>
      </c>
      <c r="AJ1283" t="str">
        <f t="shared" si="82"/>
        <v>Below salary</v>
      </c>
      <c r="AK1283" t="str">
        <f t="shared" ref="AK1283:AK1346" si="83">IF(AND(P1283&lt;=2,U1283="Yes"),"High Risk",IF(OR(P1283&lt;=2,U1283="Yes"),"Medium Risk","Low Risk"))</f>
        <v>Medium Risk</v>
      </c>
    </row>
    <row r="1284" spans="1:37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46</v>
      </c>
      <c r="L1284">
        <v>90</v>
      </c>
      <c r="M1284">
        <v>4</v>
      </c>
      <c r="N1284">
        <v>1</v>
      </c>
      <c r="O1284" t="s">
        <v>47</v>
      </c>
      <c r="P1284">
        <v>1</v>
      </c>
      <c r="Q1284" t="s">
        <v>48</v>
      </c>
      <c r="R1284" s="3">
        <v>3143</v>
      </c>
      <c r="S1284">
        <v>6076</v>
      </c>
      <c r="T1284">
        <v>6</v>
      </c>
      <c r="U1284" t="s">
        <v>43</v>
      </c>
      <c r="V1284" s="2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tr">
        <f t="shared" si="80"/>
        <v>26-35</v>
      </c>
      <c r="AH1284" t="str">
        <f t="shared" si="81"/>
        <v>Mid</v>
      </c>
      <c r="AI1284" s="1">
        <f>VLOOKUP(E1284,Lookup_Tables!$A$3:$B$5,2,)</f>
        <v>6281.2528616024974</v>
      </c>
      <c r="AJ1284" t="str">
        <f t="shared" si="82"/>
        <v>Below salary</v>
      </c>
      <c r="AK1284" t="str">
        <f t="shared" si="83"/>
        <v>Medium Risk</v>
      </c>
    </row>
    <row r="1285" spans="1:37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46</v>
      </c>
      <c r="L1285">
        <v>82</v>
      </c>
      <c r="M1285">
        <v>3</v>
      </c>
      <c r="N1285">
        <v>1</v>
      </c>
      <c r="O1285" t="s">
        <v>47</v>
      </c>
      <c r="P1285">
        <v>4</v>
      </c>
      <c r="Q1285" t="s">
        <v>48</v>
      </c>
      <c r="R1285" s="3">
        <v>2044</v>
      </c>
      <c r="S1285">
        <v>5531</v>
      </c>
      <c r="T1285">
        <v>1</v>
      </c>
      <c r="U1285" t="s">
        <v>43</v>
      </c>
      <c r="V1285" s="2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tr">
        <f t="shared" si="80"/>
        <v>26-35</v>
      </c>
      <c r="AH1285" t="str">
        <f t="shared" si="81"/>
        <v>Low</v>
      </c>
      <c r="AI1285" s="1">
        <f>VLOOKUP(E1285,Lookup_Tables!$A$3:$B$5,2,)</f>
        <v>6281.2528616024974</v>
      </c>
      <c r="AJ1285" t="str">
        <f t="shared" si="82"/>
        <v>Below salary</v>
      </c>
      <c r="AK1285" t="str">
        <f t="shared" si="83"/>
        <v>Low Risk</v>
      </c>
    </row>
    <row r="1286" spans="1:37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t="s">
        <v>46</v>
      </c>
      <c r="L1286">
        <v>65</v>
      </c>
      <c r="M1286">
        <v>3</v>
      </c>
      <c r="N1286">
        <v>3</v>
      </c>
      <c r="O1286" t="s">
        <v>58</v>
      </c>
      <c r="P1286">
        <v>3</v>
      </c>
      <c r="Q1286" t="s">
        <v>41</v>
      </c>
      <c r="R1286" s="3">
        <v>13464</v>
      </c>
      <c r="S1286">
        <v>7914</v>
      </c>
      <c r="T1286">
        <v>7</v>
      </c>
      <c r="U1286" t="s">
        <v>43</v>
      </c>
      <c r="V1286" s="2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tr">
        <f t="shared" si="80"/>
        <v>36-45</v>
      </c>
      <c r="AH1286" t="str">
        <f t="shared" si="81"/>
        <v>Very High</v>
      </c>
      <c r="AI1286" s="1">
        <f>VLOOKUP(E1286,Lookup_Tables!$A$3:$B$5,2,)</f>
        <v>6281.2528616024974</v>
      </c>
      <c r="AJ1286" t="str">
        <f t="shared" si="82"/>
        <v>Above salary</v>
      </c>
      <c r="AK1286" t="str">
        <f t="shared" si="83"/>
        <v>Low Risk</v>
      </c>
    </row>
    <row r="1287" spans="1:37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46</v>
      </c>
      <c r="L1287">
        <v>98</v>
      </c>
      <c r="M1287">
        <v>2</v>
      </c>
      <c r="N1287">
        <v>2</v>
      </c>
      <c r="O1287" t="s">
        <v>40</v>
      </c>
      <c r="P1287">
        <v>2</v>
      </c>
      <c r="Q1287" t="s">
        <v>41</v>
      </c>
      <c r="R1287" s="3">
        <v>7991</v>
      </c>
      <c r="S1287">
        <v>25166</v>
      </c>
      <c r="T1287">
        <v>8</v>
      </c>
      <c r="U1287" t="s">
        <v>43</v>
      </c>
      <c r="V1287" s="2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tr">
        <f t="shared" si="80"/>
        <v>46+</v>
      </c>
      <c r="AH1287" t="str">
        <f t="shared" si="81"/>
        <v>High</v>
      </c>
      <c r="AI1287" s="1">
        <f>VLOOKUP(E1287,Lookup_Tables!$A$3:$B$5,2,)</f>
        <v>6959.17264573991</v>
      </c>
      <c r="AJ1287" t="str">
        <f t="shared" si="82"/>
        <v>Above salary</v>
      </c>
      <c r="AK1287" t="str">
        <f t="shared" si="83"/>
        <v>Medium Risk</v>
      </c>
    </row>
    <row r="1288" spans="1:37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99</v>
      </c>
      <c r="M1288">
        <v>3</v>
      </c>
      <c r="N1288">
        <v>1</v>
      </c>
      <c r="O1288" t="s">
        <v>50</v>
      </c>
      <c r="P1288">
        <v>1</v>
      </c>
      <c r="Q1288" t="s">
        <v>48</v>
      </c>
      <c r="R1288" s="3">
        <v>3377</v>
      </c>
      <c r="S1288">
        <v>25605</v>
      </c>
      <c r="T1288">
        <v>4</v>
      </c>
      <c r="U1288" t="s">
        <v>43</v>
      </c>
      <c r="V1288" s="2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tr">
        <f t="shared" si="80"/>
        <v>36-45</v>
      </c>
      <c r="AH1288" t="str">
        <f t="shared" si="81"/>
        <v>Mid</v>
      </c>
      <c r="AI1288" s="1">
        <f>VLOOKUP(E1288,Lookup_Tables!$A$3:$B$5,2,)</f>
        <v>6281.2528616024974</v>
      </c>
      <c r="AJ1288" t="str">
        <f t="shared" si="82"/>
        <v>Below salary</v>
      </c>
      <c r="AK1288" t="str">
        <f t="shared" si="83"/>
        <v>Medium Risk</v>
      </c>
    </row>
    <row r="1289" spans="1:37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t="s">
        <v>46</v>
      </c>
      <c r="L1289">
        <v>95</v>
      </c>
      <c r="M1289">
        <v>4</v>
      </c>
      <c r="N1289">
        <v>2</v>
      </c>
      <c r="O1289" t="s">
        <v>54</v>
      </c>
      <c r="P1289">
        <v>1</v>
      </c>
      <c r="Q1289" t="s">
        <v>48</v>
      </c>
      <c r="R1289" s="3">
        <v>5538</v>
      </c>
      <c r="S1289">
        <v>5696</v>
      </c>
      <c r="T1289">
        <v>5</v>
      </c>
      <c r="U1289" t="s">
        <v>43</v>
      </c>
      <c r="V1289" s="2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tr">
        <f t="shared" si="80"/>
        <v>36-45</v>
      </c>
      <c r="AH1289" t="str">
        <f t="shared" si="81"/>
        <v>Mid</v>
      </c>
      <c r="AI1289" s="1">
        <f>VLOOKUP(E1289,Lookup_Tables!$A$3:$B$5,2,)</f>
        <v>6281.2528616024974</v>
      </c>
      <c r="AJ1289" t="str">
        <f t="shared" si="82"/>
        <v>Below salary</v>
      </c>
      <c r="AK1289" t="str">
        <f t="shared" si="83"/>
        <v>Medium Risk</v>
      </c>
    </row>
    <row r="1290" spans="1:37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t="s">
        <v>46</v>
      </c>
      <c r="L1290">
        <v>90</v>
      </c>
      <c r="M1290">
        <v>3</v>
      </c>
      <c r="N1290">
        <v>2</v>
      </c>
      <c r="O1290" t="s">
        <v>53</v>
      </c>
      <c r="P1290">
        <v>4</v>
      </c>
      <c r="Q1290" t="s">
        <v>52</v>
      </c>
      <c r="R1290" s="3">
        <v>5762</v>
      </c>
      <c r="S1290">
        <v>24442</v>
      </c>
      <c r="T1290">
        <v>2</v>
      </c>
      <c r="U1290" t="s">
        <v>43</v>
      </c>
      <c r="V1290" s="2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tr">
        <f t="shared" si="80"/>
        <v>26-35</v>
      </c>
      <c r="AH1290" t="str">
        <f t="shared" si="81"/>
        <v>Mid</v>
      </c>
      <c r="AI1290" s="1">
        <f>VLOOKUP(E1290,Lookup_Tables!$A$3:$B$5,2,)</f>
        <v>6281.2528616024974</v>
      </c>
      <c r="AJ1290" t="str">
        <f t="shared" si="82"/>
        <v>Below salary</v>
      </c>
      <c r="AK1290" t="str">
        <f t="shared" si="83"/>
        <v>Low Risk</v>
      </c>
    </row>
    <row r="1291" spans="1:37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1805</v>
      </c>
      <c r="J1291">
        <v>1</v>
      </c>
      <c r="K1291" t="s">
        <v>46</v>
      </c>
      <c r="L1291">
        <v>100</v>
      </c>
      <c r="M1291">
        <v>3</v>
      </c>
      <c r="N1291">
        <v>1</v>
      </c>
      <c r="O1291" t="s">
        <v>61</v>
      </c>
      <c r="P1291">
        <v>2</v>
      </c>
      <c r="Q1291" t="s">
        <v>52</v>
      </c>
      <c r="R1291" s="3">
        <v>2592</v>
      </c>
      <c r="S1291">
        <v>7129</v>
      </c>
      <c r="T1291">
        <v>5</v>
      </c>
      <c r="U1291" t="s">
        <v>43</v>
      </c>
      <c r="V1291" s="2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tr">
        <f t="shared" si="80"/>
        <v>36-45</v>
      </c>
      <c r="AH1291" t="str">
        <f t="shared" si="81"/>
        <v>Low</v>
      </c>
      <c r="AI1291" s="1">
        <f>VLOOKUP(E1291,Lookup_Tables!$A$3:$B$5,2,)</f>
        <v>6654.5079365079364</v>
      </c>
      <c r="AJ1291" t="str">
        <f t="shared" si="82"/>
        <v>Below salary</v>
      </c>
      <c r="AK1291" t="str">
        <f t="shared" si="83"/>
        <v>Medium Risk</v>
      </c>
    </row>
    <row r="1292" spans="1:37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46</v>
      </c>
      <c r="L1292">
        <v>93</v>
      </c>
      <c r="M1292">
        <v>3</v>
      </c>
      <c r="N1292">
        <v>2</v>
      </c>
      <c r="O1292" t="s">
        <v>50</v>
      </c>
      <c r="P1292">
        <v>1</v>
      </c>
      <c r="Q1292" t="s">
        <v>48</v>
      </c>
      <c r="R1292" s="3">
        <v>5346</v>
      </c>
      <c r="S1292">
        <v>6208</v>
      </c>
      <c r="T1292">
        <v>4</v>
      </c>
      <c r="U1292" t="s">
        <v>43</v>
      </c>
      <c r="V1292" s="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tr">
        <f t="shared" si="80"/>
        <v>26-35</v>
      </c>
      <c r="AH1292" t="str">
        <f t="shared" si="81"/>
        <v>Mid</v>
      </c>
      <c r="AI1292" s="1">
        <f>VLOOKUP(E1292,Lookup_Tables!$A$3:$B$5,2,)</f>
        <v>6281.2528616024974</v>
      </c>
      <c r="AJ1292" t="str">
        <f t="shared" si="82"/>
        <v>Below salary</v>
      </c>
      <c r="AK1292" t="str">
        <f t="shared" si="83"/>
        <v>Medium Risk</v>
      </c>
    </row>
    <row r="1293" spans="1:37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t="s">
        <v>46</v>
      </c>
      <c r="L1293">
        <v>58</v>
      </c>
      <c r="M1293">
        <v>3</v>
      </c>
      <c r="N1293">
        <v>2</v>
      </c>
      <c r="O1293" t="s">
        <v>53</v>
      </c>
      <c r="P1293">
        <v>1</v>
      </c>
      <c r="Q1293" t="s">
        <v>41</v>
      </c>
      <c r="R1293" s="3">
        <v>4213</v>
      </c>
      <c r="S1293">
        <v>4992</v>
      </c>
      <c r="T1293">
        <v>1</v>
      </c>
      <c r="U1293" t="s">
        <v>43</v>
      </c>
      <c r="V1293" s="2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tr">
        <f t="shared" si="80"/>
        <v>36-45</v>
      </c>
      <c r="AH1293" t="str">
        <f t="shared" si="81"/>
        <v>Mid</v>
      </c>
      <c r="AI1293" s="1">
        <f>VLOOKUP(E1293,Lookup_Tables!$A$3:$B$5,2,)</f>
        <v>6281.2528616024974</v>
      </c>
      <c r="AJ1293" t="str">
        <f t="shared" si="82"/>
        <v>Below salary</v>
      </c>
      <c r="AK1293" t="str">
        <f t="shared" si="83"/>
        <v>Medium Risk</v>
      </c>
    </row>
    <row r="1294" spans="1:37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46</v>
      </c>
      <c r="L1294">
        <v>83</v>
      </c>
      <c r="M1294">
        <v>3</v>
      </c>
      <c r="N1294">
        <v>2</v>
      </c>
      <c r="O1294" t="s">
        <v>40</v>
      </c>
      <c r="P1294">
        <v>4</v>
      </c>
      <c r="Q1294" t="s">
        <v>52</v>
      </c>
      <c r="R1294" s="3">
        <v>4127</v>
      </c>
      <c r="S1294">
        <v>19188</v>
      </c>
      <c r="T1294">
        <v>2</v>
      </c>
      <c r="U1294" t="s">
        <v>43</v>
      </c>
      <c r="V1294" s="2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tr">
        <f t="shared" si="80"/>
        <v>36-45</v>
      </c>
      <c r="AH1294" t="str">
        <f t="shared" si="81"/>
        <v>Mid</v>
      </c>
      <c r="AI1294" s="1">
        <f>VLOOKUP(E1294,Lookup_Tables!$A$3:$B$5,2,)</f>
        <v>6959.17264573991</v>
      </c>
      <c r="AJ1294" t="str">
        <f t="shared" si="82"/>
        <v>Below salary</v>
      </c>
      <c r="AK1294" t="str">
        <f t="shared" si="83"/>
        <v>Low Risk</v>
      </c>
    </row>
    <row r="1295" spans="1:37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46</v>
      </c>
      <c r="L1295">
        <v>52</v>
      </c>
      <c r="M1295">
        <v>3</v>
      </c>
      <c r="N1295">
        <v>1</v>
      </c>
      <c r="O1295" t="s">
        <v>47</v>
      </c>
      <c r="P1295">
        <v>3</v>
      </c>
      <c r="Q1295" t="s">
        <v>41</v>
      </c>
      <c r="R1295" s="3">
        <v>2438</v>
      </c>
      <c r="S1295">
        <v>24978</v>
      </c>
      <c r="T1295">
        <v>4</v>
      </c>
      <c r="U1295" t="s">
        <v>43</v>
      </c>
      <c r="V1295" s="2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tr">
        <f t="shared" si="80"/>
        <v>36-45</v>
      </c>
      <c r="AH1295" t="str">
        <f t="shared" si="81"/>
        <v>Low</v>
      </c>
      <c r="AI1295" s="1">
        <f>VLOOKUP(E1295,Lookup_Tables!$A$3:$B$5,2,)</f>
        <v>6281.2528616024974</v>
      </c>
      <c r="AJ1295" t="str">
        <f t="shared" si="82"/>
        <v>Below salary</v>
      </c>
      <c r="AK1295" t="str">
        <f t="shared" si="83"/>
        <v>Low Risk</v>
      </c>
    </row>
    <row r="1296" spans="1:37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46</v>
      </c>
      <c r="L1296">
        <v>85</v>
      </c>
      <c r="M1296">
        <v>4</v>
      </c>
      <c r="N1296">
        <v>2</v>
      </c>
      <c r="O1296" t="s">
        <v>54</v>
      </c>
      <c r="P1296">
        <v>2</v>
      </c>
      <c r="Q1296" t="s">
        <v>41</v>
      </c>
      <c r="R1296" s="3">
        <v>6870</v>
      </c>
      <c r="S1296">
        <v>15530</v>
      </c>
      <c r="T1296">
        <v>3</v>
      </c>
      <c r="U1296" t="s">
        <v>43</v>
      </c>
      <c r="V1296" s="2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tr">
        <f t="shared" si="80"/>
        <v>36-45</v>
      </c>
      <c r="AH1296" t="str">
        <f t="shared" si="81"/>
        <v>Mid</v>
      </c>
      <c r="AI1296" s="1">
        <f>VLOOKUP(E1296,Lookup_Tables!$A$3:$B$5,2,)</f>
        <v>6281.2528616024974</v>
      </c>
      <c r="AJ1296" t="str">
        <f t="shared" si="82"/>
        <v>Above salary</v>
      </c>
      <c r="AK1296" t="str">
        <f t="shared" si="83"/>
        <v>Medium Risk</v>
      </c>
    </row>
    <row r="1297" spans="1:37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1815</v>
      </c>
      <c r="J1297">
        <v>3</v>
      </c>
      <c r="K1297" t="s">
        <v>39</v>
      </c>
      <c r="L1297">
        <v>81</v>
      </c>
      <c r="M1297">
        <v>3</v>
      </c>
      <c r="N1297">
        <v>3</v>
      </c>
      <c r="O1297" t="s">
        <v>40</v>
      </c>
      <c r="P1297">
        <v>3</v>
      </c>
      <c r="Q1297" t="s">
        <v>52</v>
      </c>
      <c r="R1297" s="3">
        <v>10447</v>
      </c>
      <c r="S1297">
        <v>26458</v>
      </c>
      <c r="T1297">
        <v>0</v>
      </c>
      <c r="U1297" t="s">
        <v>35</v>
      </c>
      <c r="V1297" s="2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tr">
        <f t="shared" si="80"/>
        <v>36-45</v>
      </c>
      <c r="AH1297" t="str">
        <f t="shared" si="81"/>
        <v>High</v>
      </c>
      <c r="AI1297" s="1">
        <f>VLOOKUP(E1297,Lookup_Tables!$A$3:$B$5,2,)</f>
        <v>6959.17264573991</v>
      </c>
      <c r="AJ1297" t="str">
        <f t="shared" si="82"/>
        <v>Above salary</v>
      </c>
      <c r="AK1297" t="str">
        <f t="shared" si="83"/>
        <v>Medium Risk</v>
      </c>
    </row>
    <row r="1298" spans="1:37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t="s">
        <v>39</v>
      </c>
      <c r="L1298">
        <v>64</v>
      </c>
      <c r="M1298">
        <v>3</v>
      </c>
      <c r="N1298">
        <v>3</v>
      </c>
      <c r="O1298" t="s">
        <v>53</v>
      </c>
      <c r="P1298">
        <v>3</v>
      </c>
      <c r="Q1298" t="s">
        <v>41</v>
      </c>
      <c r="R1298" s="3">
        <v>9667</v>
      </c>
      <c r="S1298">
        <v>2739</v>
      </c>
      <c r="T1298">
        <v>9</v>
      </c>
      <c r="U1298" t="s">
        <v>43</v>
      </c>
      <c r="V1298" s="2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tr">
        <f t="shared" si="80"/>
        <v>26-35</v>
      </c>
      <c r="AH1298" t="str">
        <f t="shared" si="81"/>
        <v>High</v>
      </c>
      <c r="AI1298" s="1">
        <f>VLOOKUP(E1298,Lookup_Tables!$A$3:$B$5,2,)</f>
        <v>6281.2528616024974</v>
      </c>
      <c r="AJ1298" t="str">
        <f t="shared" si="82"/>
        <v>Above salary</v>
      </c>
      <c r="AK1298" t="str">
        <f t="shared" si="83"/>
        <v>Low Risk</v>
      </c>
    </row>
    <row r="1299" spans="1:37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t="s">
        <v>39</v>
      </c>
      <c r="L1299">
        <v>69</v>
      </c>
      <c r="M1299">
        <v>3</v>
      </c>
      <c r="N1299">
        <v>1</v>
      </c>
      <c r="O1299" t="s">
        <v>61</v>
      </c>
      <c r="P1299">
        <v>2</v>
      </c>
      <c r="Q1299" t="s">
        <v>48</v>
      </c>
      <c r="R1299" s="3">
        <v>2148</v>
      </c>
      <c r="S1299">
        <v>6889</v>
      </c>
      <c r="T1299">
        <v>0</v>
      </c>
      <c r="U1299" t="s">
        <v>35</v>
      </c>
      <c r="V1299" s="2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tr">
        <f t="shared" si="80"/>
        <v>26-35</v>
      </c>
      <c r="AH1299" t="str">
        <f t="shared" si="81"/>
        <v>Low</v>
      </c>
      <c r="AI1299" s="1">
        <f>VLOOKUP(E1299,Lookup_Tables!$A$3:$B$5,2,)</f>
        <v>6654.5079365079364</v>
      </c>
      <c r="AJ1299" t="str">
        <f t="shared" si="82"/>
        <v>Below salary</v>
      </c>
      <c r="AK1299" t="str">
        <f t="shared" si="83"/>
        <v>High Risk</v>
      </c>
    </row>
    <row r="1300" spans="1:37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t="s">
        <v>39</v>
      </c>
      <c r="L1300">
        <v>66</v>
      </c>
      <c r="M1300">
        <v>3</v>
      </c>
      <c r="N1300">
        <v>2</v>
      </c>
      <c r="O1300" t="s">
        <v>54</v>
      </c>
      <c r="P1300">
        <v>2</v>
      </c>
      <c r="Q1300" t="s">
        <v>48</v>
      </c>
      <c r="R1300" s="3">
        <v>8926</v>
      </c>
      <c r="S1300">
        <v>10842</v>
      </c>
      <c r="T1300">
        <v>4</v>
      </c>
      <c r="U1300" t="s">
        <v>43</v>
      </c>
      <c r="V1300" s="2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tr">
        <f t="shared" si="80"/>
        <v>46+</v>
      </c>
      <c r="AH1300" t="str">
        <f t="shared" si="81"/>
        <v>High</v>
      </c>
      <c r="AI1300" s="1">
        <f>VLOOKUP(E1300,Lookup_Tables!$A$3:$B$5,2,)</f>
        <v>6281.2528616024974</v>
      </c>
      <c r="AJ1300" t="str">
        <f t="shared" si="82"/>
        <v>Above salary</v>
      </c>
      <c r="AK1300" t="str">
        <f t="shared" si="83"/>
        <v>Medium Risk</v>
      </c>
    </row>
    <row r="1301" spans="1:37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52</v>
      </c>
      <c r="M1301">
        <v>3</v>
      </c>
      <c r="N1301">
        <v>2</v>
      </c>
      <c r="O1301" t="s">
        <v>54</v>
      </c>
      <c r="P1301">
        <v>4</v>
      </c>
      <c r="Q1301" t="s">
        <v>52</v>
      </c>
      <c r="R1301" s="3">
        <v>6513</v>
      </c>
      <c r="S1301">
        <v>9060</v>
      </c>
      <c r="T1301">
        <v>4</v>
      </c>
      <c r="U1301" t="s">
        <v>43</v>
      </c>
      <c r="V1301" s="2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tr">
        <f t="shared" si="80"/>
        <v>36-45</v>
      </c>
      <c r="AH1301" t="str">
        <f t="shared" si="81"/>
        <v>Mid</v>
      </c>
      <c r="AI1301" s="1">
        <f>VLOOKUP(E1301,Lookup_Tables!$A$3:$B$5,2,)</f>
        <v>6281.2528616024974</v>
      </c>
      <c r="AJ1301" t="str">
        <f t="shared" si="82"/>
        <v>Above salary</v>
      </c>
      <c r="AK1301" t="str">
        <f t="shared" si="83"/>
        <v>Low Risk</v>
      </c>
    </row>
    <row r="1302" spans="1:37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1823</v>
      </c>
      <c r="J1302">
        <v>2</v>
      </c>
      <c r="K1302" t="s">
        <v>46</v>
      </c>
      <c r="L1302">
        <v>92</v>
      </c>
      <c r="M1302">
        <v>4</v>
      </c>
      <c r="N1302">
        <v>2</v>
      </c>
      <c r="O1302" t="s">
        <v>40</v>
      </c>
      <c r="P1302">
        <v>3</v>
      </c>
      <c r="Q1302" t="s">
        <v>48</v>
      </c>
      <c r="R1302" s="3">
        <v>6799</v>
      </c>
      <c r="S1302">
        <v>22128</v>
      </c>
      <c r="T1302">
        <v>1</v>
      </c>
      <c r="U1302" t="s">
        <v>43</v>
      </c>
      <c r="V1302" s="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tr">
        <f t="shared" si="80"/>
        <v>26-35</v>
      </c>
      <c r="AH1302" t="str">
        <f t="shared" si="81"/>
        <v>Mid</v>
      </c>
      <c r="AI1302" s="1">
        <f>VLOOKUP(E1302,Lookup_Tables!$A$3:$B$5,2,)</f>
        <v>6959.17264573991</v>
      </c>
      <c r="AJ1302" t="str">
        <f t="shared" si="82"/>
        <v>Below salary</v>
      </c>
      <c r="AK1302" t="str">
        <f t="shared" si="83"/>
        <v>Low Risk</v>
      </c>
    </row>
    <row r="1303" spans="1:37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t="s">
        <v>46</v>
      </c>
      <c r="L1303">
        <v>52</v>
      </c>
      <c r="M1303">
        <v>3</v>
      </c>
      <c r="N1303">
        <v>4</v>
      </c>
      <c r="O1303" t="s">
        <v>56</v>
      </c>
      <c r="P1303">
        <v>2</v>
      </c>
      <c r="Q1303" t="s">
        <v>52</v>
      </c>
      <c r="R1303" s="3">
        <v>16291</v>
      </c>
      <c r="S1303">
        <v>22577</v>
      </c>
      <c r="T1303">
        <v>4</v>
      </c>
      <c r="U1303" t="s">
        <v>43</v>
      </c>
      <c r="V1303" s="2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tr">
        <f t="shared" si="80"/>
        <v>46+</v>
      </c>
      <c r="AH1303" t="str">
        <f t="shared" si="81"/>
        <v>Very High</v>
      </c>
      <c r="AI1303" s="1">
        <f>VLOOKUP(E1303,Lookup_Tables!$A$3:$B$5,2,)</f>
        <v>6959.17264573991</v>
      </c>
      <c r="AJ1303" t="str">
        <f t="shared" si="82"/>
        <v>Above salary</v>
      </c>
      <c r="AK1303" t="str">
        <f t="shared" si="83"/>
        <v>Medium Risk</v>
      </c>
    </row>
    <row r="1304" spans="1:37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t="s">
        <v>46</v>
      </c>
      <c r="L1304">
        <v>91</v>
      </c>
      <c r="M1304">
        <v>1</v>
      </c>
      <c r="N1304">
        <v>1</v>
      </c>
      <c r="O1304" t="s">
        <v>50</v>
      </c>
      <c r="P1304">
        <v>3</v>
      </c>
      <c r="Q1304" t="s">
        <v>48</v>
      </c>
      <c r="R1304" s="3">
        <v>2705</v>
      </c>
      <c r="S1304">
        <v>9696</v>
      </c>
      <c r="T1304">
        <v>0</v>
      </c>
      <c r="U1304" t="s">
        <v>43</v>
      </c>
      <c r="V1304" s="2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tr">
        <f t="shared" si="80"/>
        <v>26-35</v>
      </c>
      <c r="AH1304" t="str">
        <f t="shared" si="81"/>
        <v>Low</v>
      </c>
      <c r="AI1304" s="1">
        <f>VLOOKUP(E1304,Lookup_Tables!$A$3:$B$5,2,)</f>
        <v>6281.2528616024974</v>
      </c>
      <c r="AJ1304" t="str">
        <f t="shared" si="82"/>
        <v>Below salary</v>
      </c>
      <c r="AK1304" t="str">
        <f t="shared" si="83"/>
        <v>Low Risk</v>
      </c>
    </row>
    <row r="1305" spans="1:37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92</v>
      </c>
      <c r="M1305">
        <v>2</v>
      </c>
      <c r="N1305">
        <v>3</v>
      </c>
      <c r="O1305" t="s">
        <v>53</v>
      </c>
      <c r="P1305">
        <v>2</v>
      </c>
      <c r="Q1305" t="s">
        <v>52</v>
      </c>
      <c r="R1305" s="3">
        <v>10333</v>
      </c>
      <c r="S1305">
        <v>19271</v>
      </c>
      <c r="T1305">
        <v>8</v>
      </c>
      <c r="U1305" t="s">
        <v>35</v>
      </c>
      <c r="V1305" s="2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tr">
        <f t="shared" si="80"/>
        <v>46+</v>
      </c>
      <c r="AH1305" t="str">
        <f t="shared" si="81"/>
        <v>High</v>
      </c>
      <c r="AI1305" s="1">
        <f>VLOOKUP(E1305,Lookup_Tables!$A$3:$B$5,2,)</f>
        <v>6281.2528616024974</v>
      </c>
      <c r="AJ1305" t="str">
        <f t="shared" si="82"/>
        <v>Above salary</v>
      </c>
      <c r="AK1305" t="str">
        <f t="shared" si="83"/>
        <v>High Risk</v>
      </c>
    </row>
    <row r="1306" spans="1:37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47</v>
      </c>
      <c r="M1306">
        <v>3</v>
      </c>
      <c r="N1306">
        <v>2</v>
      </c>
      <c r="O1306" t="s">
        <v>54</v>
      </c>
      <c r="P1306">
        <v>1</v>
      </c>
      <c r="Q1306" t="s">
        <v>52</v>
      </c>
      <c r="R1306" s="3">
        <v>4448</v>
      </c>
      <c r="S1306">
        <v>10748</v>
      </c>
      <c r="T1306">
        <v>2</v>
      </c>
      <c r="U1306" t="s">
        <v>43</v>
      </c>
      <c r="V1306" s="2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tr">
        <f t="shared" si="80"/>
        <v>36-45</v>
      </c>
      <c r="AH1306" t="str">
        <f t="shared" si="81"/>
        <v>Mid</v>
      </c>
      <c r="AI1306" s="1">
        <f>VLOOKUP(E1306,Lookup_Tables!$A$3:$B$5,2,)</f>
        <v>6281.2528616024974</v>
      </c>
      <c r="AJ1306" t="str">
        <f t="shared" si="82"/>
        <v>Below salary</v>
      </c>
      <c r="AK1306" t="str">
        <f t="shared" si="83"/>
        <v>Medium Risk</v>
      </c>
    </row>
    <row r="1307" spans="1:37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t="s">
        <v>39</v>
      </c>
      <c r="L1307">
        <v>68</v>
      </c>
      <c r="M1307">
        <v>3</v>
      </c>
      <c r="N1307">
        <v>2</v>
      </c>
      <c r="O1307" t="s">
        <v>47</v>
      </c>
      <c r="P1307">
        <v>4</v>
      </c>
      <c r="Q1307" t="s">
        <v>48</v>
      </c>
      <c r="R1307" s="3">
        <v>6854</v>
      </c>
      <c r="S1307">
        <v>15696</v>
      </c>
      <c r="T1307">
        <v>4</v>
      </c>
      <c r="U1307" t="s">
        <v>43</v>
      </c>
      <c r="V1307" s="2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tr">
        <f t="shared" si="80"/>
        <v>46+</v>
      </c>
      <c r="AH1307" t="str">
        <f t="shared" si="81"/>
        <v>Mid</v>
      </c>
      <c r="AI1307" s="1">
        <f>VLOOKUP(E1307,Lookup_Tables!$A$3:$B$5,2,)</f>
        <v>6281.2528616024974</v>
      </c>
      <c r="AJ1307" t="str">
        <f t="shared" si="82"/>
        <v>Above salary</v>
      </c>
      <c r="AK1307" t="str">
        <f t="shared" si="83"/>
        <v>Low Risk</v>
      </c>
    </row>
    <row r="1308" spans="1:37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1833</v>
      </c>
      <c r="J1308">
        <v>1</v>
      </c>
      <c r="K1308" t="s">
        <v>39</v>
      </c>
      <c r="L1308">
        <v>68</v>
      </c>
      <c r="M1308">
        <v>3</v>
      </c>
      <c r="N1308">
        <v>3</v>
      </c>
      <c r="O1308" t="s">
        <v>40</v>
      </c>
      <c r="P1308">
        <v>1</v>
      </c>
      <c r="Q1308" t="s">
        <v>48</v>
      </c>
      <c r="R1308" s="3">
        <v>9637</v>
      </c>
      <c r="S1308">
        <v>8277</v>
      </c>
      <c r="T1308">
        <v>2</v>
      </c>
      <c r="U1308" t="s">
        <v>43</v>
      </c>
      <c r="V1308" s="2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tr">
        <f t="shared" si="80"/>
        <v>26-35</v>
      </c>
      <c r="AH1308" t="str">
        <f t="shared" si="81"/>
        <v>High</v>
      </c>
      <c r="AI1308" s="1">
        <f>VLOOKUP(E1308,Lookup_Tables!$A$3:$B$5,2,)</f>
        <v>6959.17264573991</v>
      </c>
      <c r="AJ1308" t="str">
        <f t="shared" si="82"/>
        <v>Above salary</v>
      </c>
      <c r="AK1308" t="str">
        <f t="shared" si="83"/>
        <v>Medium Risk</v>
      </c>
    </row>
    <row r="1309" spans="1:37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t="s">
        <v>39</v>
      </c>
      <c r="L1309">
        <v>67</v>
      </c>
      <c r="M1309">
        <v>3</v>
      </c>
      <c r="N1309">
        <v>1</v>
      </c>
      <c r="O1309" t="s">
        <v>47</v>
      </c>
      <c r="P1309">
        <v>1</v>
      </c>
      <c r="Q1309" t="s">
        <v>48</v>
      </c>
      <c r="R1309" s="3">
        <v>3591</v>
      </c>
      <c r="S1309">
        <v>12719</v>
      </c>
      <c r="T1309">
        <v>1</v>
      </c>
      <c r="U1309" t="s">
        <v>43</v>
      </c>
      <c r="V1309" s="2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tr">
        <f t="shared" si="80"/>
        <v>26-35</v>
      </c>
      <c r="AH1309" t="str">
        <f t="shared" si="81"/>
        <v>Mid</v>
      </c>
      <c r="AI1309" s="1">
        <f>VLOOKUP(E1309,Lookup_Tables!$A$3:$B$5,2,)</f>
        <v>6281.2528616024974</v>
      </c>
      <c r="AJ1309" t="str">
        <f t="shared" si="82"/>
        <v>Below salary</v>
      </c>
      <c r="AK1309" t="str">
        <f t="shared" si="83"/>
        <v>Medium Risk</v>
      </c>
    </row>
    <row r="1310" spans="1:37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1835</v>
      </c>
      <c r="J1310">
        <v>2</v>
      </c>
      <c r="K1310" t="s">
        <v>39</v>
      </c>
      <c r="L1310">
        <v>77</v>
      </c>
      <c r="M1310">
        <v>1</v>
      </c>
      <c r="N1310">
        <v>2</v>
      </c>
      <c r="O1310" t="s">
        <v>57</v>
      </c>
      <c r="P1310">
        <v>4</v>
      </c>
      <c r="Q1310" t="s">
        <v>48</v>
      </c>
      <c r="R1310" s="3">
        <v>5405</v>
      </c>
      <c r="S1310">
        <v>4244</v>
      </c>
      <c r="T1310">
        <v>2</v>
      </c>
      <c r="U1310" t="s">
        <v>35</v>
      </c>
      <c r="V1310" s="2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tr">
        <f t="shared" si="80"/>
        <v>36-45</v>
      </c>
      <c r="AH1310" t="str">
        <f t="shared" si="81"/>
        <v>Mid</v>
      </c>
      <c r="AI1310" s="1">
        <f>VLOOKUP(E1310,Lookup_Tables!$A$3:$B$5,2,)</f>
        <v>6959.17264573991</v>
      </c>
      <c r="AJ1310" t="str">
        <f t="shared" si="82"/>
        <v>Below salary</v>
      </c>
      <c r="AK1310" t="str">
        <f t="shared" si="83"/>
        <v>Medium Risk</v>
      </c>
    </row>
    <row r="1311" spans="1:37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t="s">
        <v>46</v>
      </c>
      <c r="L1311">
        <v>46</v>
      </c>
      <c r="M1311">
        <v>3</v>
      </c>
      <c r="N1311">
        <v>2</v>
      </c>
      <c r="O1311" t="s">
        <v>40</v>
      </c>
      <c r="P1311">
        <v>4</v>
      </c>
      <c r="Q1311" t="s">
        <v>41</v>
      </c>
      <c r="R1311" s="3">
        <v>4684</v>
      </c>
      <c r="S1311">
        <v>9125</v>
      </c>
      <c r="T1311">
        <v>1</v>
      </c>
      <c r="U1311" t="s">
        <v>43</v>
      </c>
      <c r="V1311" s="2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tr">
        <f t="shared" si="80"/>
        <v>26-35</v>
      </c>
      <c r="AH1311" t="str">
        <f t="shared" si="81"/>
        <v>Mid</v>
      </c>
      <c r="AI1311" s="1">
        <f>VLOOKUP(E1311,Lookup_Tables!$A$3:$B$5,2,)</f>
        <v>6959.17264573991</v>
      </c>
      <c r="AJ1311" t="str">
        <f t="shared" si="82"/>
        <v>Below salary</v>
      </c>
      <c r="AK1311" t="str">
        <f t="shared" si="83"/>
        <v>Low Risk</v>
      </c>
    </row>
    <row r="1312" spans="1:37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46</v>
      </c>
      <c r="L1312">
        <v>87</v>
      </c>
      <c r="M1312">
        <v>3</v>
      </c>
      <c r="N1312">
        <v>4</v>
      </c>
      <c r="O1312" t="s">
        <v>58</v>
      </c>
      <c r="P1312">
        <v>3</v>
      </c>
      <c r="Q1312" t="s">
        <v>48</v>
      </c>
      <c r="R1312" s="3">
        <v>15787</v>
      </c>
      <c r="S1312">
        <v>21624</v>
      </c>
      <c r="T1312">
        <v>2</v>
      </c>
      <c r="U1312" t="s">
        <v>35</v>
      </c>
      <c r="V1312" s="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tr">
        <f t="shared" si="80"/>
        <v>46+</v>
      </c>
      <c r="AH1312" t="str">
        <f t="shared" si="81"/>
        <v>Very High</v>
      </c>
      <c r="AI1312" s="1">
        <f>VLOOKUP(E1312,Lookup_Tables!$A$3:$B$5,2,)</f>
        <v>6281.2528616024974</v>
      </c>
      <c r="AJ1312" t="str">
        <f t="shared" si="82"/>
        <v>Above salary</v>
      </c>
      <c r="AK1312" t="str">
        <f t="shared" si="83"/>
        <v>Medium Risk</v>
      </c>
    </row>
    <row r="1313" spans="1:37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t="s">
        <v>39</v>
      </c>
      <c r="L1313">
        <v>33</v>
      </c>
      <c r="M1313">
        <v>3</v>
      </c>
      <c r="N1313">
        <v>1</v>
      </c>
      <c r="O1313" t="s">
        <v>47</v>
      </c>
      <c r="P1313">
        <v>3</v>
      </c>
      <c r="Q1313" t="s">
        <v>41</v>
      </c>
      <c r="R1313" s="3">
        <v>1514</v>
      </c>
      <c r="S1313">
        <v>8018</v>
      </c>
      <c r="T1313">
        <v>1</v>
      </c>
      <c r="U1313" t="s">
        <v>43</v>
      </c>
      <c r="V1313" s="2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tr">
        <f t="shared" si="80"/>
        <v>18-25</v>
      </c>
      <c r="AH1313" t="str">
        <f t="shared" si="81"/>
        <v>Low</v>
      </c>
      <c r="AI1313" s="1">
        <f>VLOOKUP(E1313,Lookup_Tables!$A$3:$B$5,2,)</f>
        <v>6281.2528616024974</v>
      </c>
      <c r="AJ1313" t="str">
        <f t="shared" si="82"/>
        <v>Below salary</v>
      </c>
      <c r="AK1313" t="str">
        <f t="shared" si="83"/>
        <v>Low Risk</v>
      </c>
    </row>
    <row r="1314" spans="1:37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1842</v>
      </c>
      <c r="J1314">
        <v>4</v>
      </c>
      <c r="K1314" t="s">
        <v>46</v>
      </c>
      <c r="L1314">
        <v>89</v>
      </c>
      <c r="M1314">
        <v>4</v>
      </c>
      <c r="N1314">
        <v>1</v>
      </c>
      <c r="O1314" t="s">
        <v>61</v>
      </c>
      <c r="P1314">
        <v>1</v>
      </c>
      <c r="Q1314" t="s">
        <v>48</v>
      </c>
      <c r="R1314" s="3">
        <v>2956</v>
      </c>
      <c r="S1314">
        <v>21495</v>
      </c>
      <c r="T1314">
        <v>0</v>
      </c>
      <c r="U1314" t="s">
        <v>43</v>
      </c>
      <c r="V1314" s="2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tr">
        <f t="shared" si="80"/>
        <v>26-35</v>
      </c>
      <c r="AH1314" t="str">
        <f t="shared" si="81"/>
        <v>Low</v>
      </c>
      <c r="AI1314" s="1">
        <f>VLOOKUP(E1314,Lookup_Tables!$A$3:$B$5,2,)</f>
        <v>6654.5079365079364</v>
      </c>
      <c r="AJ1314" t="str">
        <f t="shared" si="82"/>
        <v>Below salary</v>
      </c>
      <c r="AK1314" t="str">
        <f t="shared" si="83"/>
        <v>Medium Risk</v>
      </c>
    </row>
    <row r="1315" spans="1:37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1844</v>
      </c>
      <c r="J1315">
        <v>1</v>
      </c>
      <c r="K1315" t="s">
        <v>46</v>
      </c>
      <c r="L1315">
        <v>56</v>
      </c>
      <c r="M1315">
        <v>2</v>
      </c>
      <c r="N1315">
        <v>1</v>
      </c>
      <c r="O1315" t="s">
        <v>61</v>
      </c>
      <c r="P1315">
        <v>1</v>
      </c>
      <c r="Q1315" t="s">
        <v>52</v>
      </c>
      <c r="R1315" s="3">
        <v>2335</v>
      </c>
      <c r="S1315">
        <v>3157</v>
      </c>
      <c r="T1315">
        <v>4</v>
      </c>
      <c r="U1315" t="s">
        <v>35</v>
      </c>
      <c r="V1315" s="2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tr">
        <f t="shared" si="80"/>
        <v>26-35</v>
      </c>
      <c r="AH1315" t="str">
        <f t="shared" si="81"/>
        <v>Low</v>
      </c>
      <c r="AI1315" s="1">
        <f>VLOOKUP(E1315,Lookup_Tables!$A$3:$B$5,2,)</f>
        <v>6654.5079365079364</v>
      </c>
      <c r="AJ1315" t="str">
        <f t="shared" si="82"/>
        <v>Below salary</v>
      </c>
      <c r="AK1315" t="str">
        <f t="shared" si="83"/>
        <v>High Risk</v>
      </c>
    </row>
    <row r="1316" spans="1:37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67</v>
      </c>
      <c r="M1316">
        <v>3</v>
      </c>
      <c r="N1316">
        <v>2</v>
      </c>
      <c r="O1316" t="s">
        <v>40</v>
      </c>
      <c r="P1316">
        <v>3</v>
      </c>
      <c r="Q1316" t="s">
        <v>48</v>
      </c>
      <c r="R1316" s="3">
        <v>5154</v>
      </c>
      <c r="S1316">
        <v>19665</v>
      </c>
      <c r="T1316">
        <v>4</v>
      </c>
      <c r="U1316" t="s">
        <v>43</v>
      </c>
      <c r="V1316" s="2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tr">
        <f t="shared" si="80"/>
        <v>36-45</v>
      </c>
      <c r="AH1316" t="str">
        <f t="shared" si="81"/>
        <v>Mid</v>
      </c>
      <c r="AI1316" s="1">
        <f>VLOOKUP(E1316,Lookup_Tables!$A$3:$B$5,2,)</f>
        <v>6959.17264573991</v>
      </c>
      <c r="AJ1316" t="str">
        <f t="shared" si="82"/>
        <v>Below salary</v>
      </c>
      <c r="AK1316" t="str">
        <f t="shared" si="83"/>
        <v>Low Risk</v>
      </c>
    </row>
    <row r="1317" spans="1:37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t="s">
        <v>39</v>
      </c>
      <c r="L1317">
        <v>73</v>
      </c>
      <c r="M1317">
        <v>3</v>
      </c>
      <c r="N1317">
        <v>2</v>
      </c>
      <c r="O1317" t="s">
        <v>47</v>
      </c>
      <c r="P1317">
        <v>2</v>
      </c>
      <c r="Q1317" t="s">
        <v>48</v>
      </c>
      <c r="R1317" s="3">
        <v>6962</v>
      </c>
      <c r="S1317">
        <v>19573</v>
      </c>
      <c r="T1317">
        <v>4</v>
      </c>
      <c r="U1317" t="s">
        <v>35</v>
      </c>
      <c r="V1317" s="2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tr">
        <f t="shared" si="80"/>
        <v>36-45</v>
      </c>
      <c r="AH1317" t="str">
        <f t="shared" si="81"/>
        <v>Mid</v>
      </c>
      <c r="AI1317" s="1">
        <f>VLOOKUP(E1317,Lookup_Tables!$A$3:$B$5,2,)</f>
        <v>6281.2528616024974</v>
      </c>
      <c r="AJ1317" t="str">
        <f t="shared" si="82"/>
        <v>Above salary</v>
      </c>
      <c r="AK1317" t="str">
        <f t="shared" si="83"/>
        <v>High Risk</v>
      </c>
    </row>
    <row r="1318" spans="1:37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46</v>
      </c>
      <c r="L1318">
        <v>92</v>
      </c>
      <c r="M1318">
        <v>3</v>
      </c>
      <c r="N1318">
        <v>2</v>
      </c>
      <c r="O1318" t="s">
        <v>40</v>
      </c>
      <c r="P1318">
        <v>4</v>
      </c>
      <c r="Q1318" t="s">
        <v>48</v>
      </c>
      <c r="R1318" s="3">
        <v>5675</v>
      </c>
      <c r="S1318">
        <v>19246</v>
      </c>
      <c r="T1318">
        <v>1</v>
      </c>
      <c r="U1318" t="s">
        <v>43</v>
      </c>
      <c r="V1318" s="2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tr">
        <f t="shared" si="80"/>
        <v>36-45</v>
      </c>
      <c r="AH1318" t="str">
        <f t="shared" si="81"/>
        <v>Mid</v>
      </c>
      <c r="AI1318" s="1">
        <f>VLOOKUP(E1318,Lookup_Tables!$A$3:$B$5,2,)</f>
        <v>6959.17264573991</v>
      </c>
      <c r="AJ1318" t="str">
        <f t="shared" si="82"/>
        <v>Below salary</v>
      </c>
      <c r="AK1318" t="str">
        <f t="shared" si="83"/>
        <v>Low Risk</v>
      </c>
    </row>
    <row r="1319" spans="1:37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53</v>
      </c>
      <c r="M1319">
        <v>3</v>
      </c>
      <c r="N1319">
        <v>1</v>
      </c>
      <c r="O1319" t="s">
        <v>50</v>
      </c>
      <c r="P1319">
        <v>4</v>
      </c>
      <c r="Q1319" t="s">
        <v>41</v>
      </c>
      <c r="R1319" s="3">
        <v>2379</v>
      </c>
      <c r="S1319">
        <v>19826</v>
      </c>
      <c r="T1319">
        <v>0</v>
      </c>
      <c r="U1319" t="s">
        <v>35</v>
      </c>
      <c r="V1319" s="2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tr">
        <f t="shared" si="80"/>
        <v>26-35</v>
      </c>
      <c r="AH1319" t="str">
        <f t="shared" si="81"/>
        <v>Low</v>
      </c>
      <c r="AI1319" s="1">
        <f>VLOOKUP(E1319,Lookup_Tables!$A$3:$B$5,2,)</f>
        <v>6281.2528616024974</v>
      </c>
      <c r="AJ1319" t="str">
        <f t="shared" si="82"/>
        <v>Below salary</v>
      </c>
      <c r="AK1319" t="str">
        <f t="shared" si="83"/>
        <v>Medium Risk</v>
      </c>
    </row>
    <row r="1320" spans="1:37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t="s">
        <v>46</v>
      </c>
      <c r="L1320">
        <v>40</v>
      </c>
      <c r="M1320">
        <v>3</v>
      </c>
      <c r="N1320">
        <v>1</v>
      </c>
      <c r="O1320" t="s">
        <v>50</v>
      </c>
      <c r="P1320">
        <v>4</v>
      </c>
      <c r="Q1320" t="s">
        <v>48</v>
      </c>
      <c r="R1320" s="3">
        <v>3812</v>
      </c>
      <c r="S1320">
        <v>7003</v>
      </c>
      <c r="T1320">
        <v>1</v>
      </c>
      <c r="U1320" t="s">
        <v>43</v>
      </c>
      <c r="V1320" s="2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tr">
        <f t="shared" si="80"/>
        <v>26-35</v>
      </c>
      <c r="AH1320" t="str">
        <f t="shared" si="81"/>
        <v>Mid</v>
      </c>
      <c r="AI1320" s="1">
        <f>VLOOKUP(E1320,Lookup_Tables!$A$3:$B$5,2,)</f>
        <v>6281.2528616024974</v>
      </c>
      <c r="AJ1320" t="str">
        <f t="shared" si="82"/>
        <v>Below salary</v>
      </c>
      <c r="AK1320" t="str">
        <f t="shared" si="83"/>
        <v>Low Risk</v>
      </c>
    </row>
    <row r="1321" spans="1:37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1853</v>
      </c>
      <c r="J1321">
        <v>4</v>
      </c>
      <c r="K1321" t="s">
        <v>46</v>
      </c>
      <c r="L1321">
        <v>79</v>
      </c>
      <c r="M1321">
        <v>3</v>
      </c>
      <c r="N1321">
        <v>2</v>
      </c>
      <c r="O1321" t="s">
        <v>40</v>
      </c>
      <c r="P1321">
        <v>4</v>
      </c>
      <c r="Q1321" t="s">
        <v>41</v>
      </c>
      <c r="R1321" s="3">
        <v>4648</v>
      </c>
      <c r="S1321">
        <v>26075</v>
      </c>
      <c r="T1321">
        <v>8</v>
      </c>
      <c r="U1321" t="s">
        <v>43</v>
      </c>
      <c r="V1321" s="2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tr">
        <f t="shared" si="80"/>
        <v>26-35</v>
      </c>
      <c r="AH1321" t="str">
        <f t="shared" si="81"/>
        <v>Mid</v>
      </c>
      <c r="AI1321" s="1">
        <f>VLOOKUP(E1321,Lookup_Tables!$A$3:$B$5,2,)</f>
        <v>6959.17264573991</v>
      </c>
      <c r="AJ1321" t="str">
        <f t="shared" si="82"/>
        <v>Below salary</v>
      </c>
      <c r="AK1321" t="str">
        <f t="shared" si="83"/>
        <v>Low Risk</v>
      </c>
    </row>
    <row r="1322" spans="1:37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1854</v>
      </c>
      <c r="J1322">
        <v>3</v>
      </c>
      <c r="K1322" t="s">
        <v>46</v>
      </c>
      <c r="L1322">
        <v>38</v>
      </c>
      <c r="M1322">
        <v>3</v>
      </c>
      <c r="N1322">
        <v>1</v>
      </c>
      <c r="O1322" t="s">
        <v>47</v>
      </c>
      <c r="P1322">
        <v>3</v>
      </c>
      <c r="Q1322" t="s">
        <v>48</v>
      </c>
      <c r="R1322" s="3">
        <v>2936</v>
      </c>
      <c r="S1322">
        <v>6161</v>
      </c>
      <c r="T1322">
        <v>3</v>
      </c>
      <c r="U1322" t="s">
        <v>43</v>
      </c>
      <c r="V1322" s="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tr">
        <f t="shared" si="80"/>
        <v>36-45</v>
      </c>
      <c r="AH1322" t="str">
        <f t="shared" si="81"/>
        <v>Low</v>
      </c>
      <c r="AI1322" s="1">
        <f>VLOOKUP(E1322,Lookup_Tables!$A$3:$B$5,2,)</f>
        <v>6281.2528616024974</v>
      </c>
      <c r="AJ1322" t="str">
        <f t="shared" si="82"/>
        <v>Below salary</v>
      </c>
      <c r="AK1322" t="str">
        <f t="shared" si="83"/>
        <v>Low Risk</v>
      </c>
    </row>
    <row r="1323" spans="1:37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64</v>
      </c>
      <c r="M1323">
        <v>3</v>
      </c>
      <c r="N1323">
        <v>1</v>
      </c>
      <c r="O1323" t="s">
        <v>50</v>
      </c>
      <c r="P1323">
        <v>3</v>
      </c>
      <c r="Q1323" t="s">
        <v>41</v>
      </c>
      <c r="R1323" s="3">
        <v>2105</v>
      </c>
      <c r="S1323">
        <v>5411</v>
      </c>
      <c r="T1323">
        <v>4</v>
      </c>
      <c r="U1323" t="s">
        <v>43</v>
      </c>
      <c r="V1323" s="2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tr">
        <f t="shared" si="80"/>
        <v>46+</v>
      </c>
      <c r="AH1323" t="str">
        <f t="shared" si="81"/>
        <v>Low</v>
      </c>
      <c r="AI1323" s="1">
        <f>VLOOKUP(E1323,Lookup_Tables!$A$3:$B$5,2,)</f>
        <v>6281.2528616024974</v>
      </c>
      <c r="AJ1323" t="str">
        <f t="shared" si="82"/>
        <v>Below salary</v>
      </c>
      <c r="AK1323" t="str">
        <f t="shared" si="83"/>
        <v>Low Risk</v>
      </c>
    </row>
    <row r="1324" spans="1:37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46</v>
      </c>
      <c r="L1324">
        <v>82</v>
      </c>
      <c r="M1324">
        <v>3</v>
      </c>
      <c r="N1324">
        <v>3</v>
      </c>
      <c r="O1324" t="s">
        <v>53</v>
      </c>
      <c r="P1324">
        <v>4</v>
      </c>
      <c r="Q1324" t="s">
        <v>52</v>
      </c>
      <c r="R1324" s="3">
        <v>8578</v>
      </c>
      <c r="S1324">
        <v>19989</v>
      </c>
      <c r="T1324">
        <v>3</v>
      </c>
      <c r="U1324" t="s">
        <v>43</v>
      </c>
      <c r="V1324" s="2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tr">
        <f t="shared" si="80"/>
        <v>46+</v>
      </c>
      <c r="AH1324" t="str">
        <f t="shared" si="81"/>
        <v>High</v>
      </c>
      <c r="AI1324" s="1">
        <f>VLOOKUP(E1324,Lookup_Tables!$A$3:$B$5,2,)</f>
        <v>6281.2528616024974</v>
      </c>
      <c r="AJ1324" t="str">
        <f t="shared" si="82"/>
        <v>Above salary</v>
      </c>
      <c r="AK1324" t="str">
        <f t="shared" si="83"/>
        <v>Low Risk</v>
      </c>
    </row>
    <row r="1325" spans="1:37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46</v>
      </c>
      <c r="L1325">
        <v>43</v>
      </c>
      <c r="M1325">
        <v>3</v>
      </c>
      <c r="N1325">
        <v>1</v>
      </c>
      <c r="O1325" t="s">
        <v>61</v>
      </c>
      <c r="P1325">
        <v>4</v>
      </c>
      <c r="Q1325" t="s">
        <v>52</v>
      </c>
      <c r="R1325" s="3">
        <v>2706</v>
      </c>
      <c r="S1325">
        <v>10494</v>
      </c>
      <c r="T1325">
        <v>1</v>
      </c>
      <c r="U1325" t="s">
        <v>43</v>
      </c>
      <c r="V1325" s="2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tr">
        <f t="shared" si="80"/>
        <v>26-35</v>
      </c>
      <c r="AH1325" t="str">
        <f t="shared" si="81"/>
        <v>Low</v>
      </c>
      <c r="AI1325" s="1">
        <f>VLOOKUP(E1325,Lookup_Tables!$A$3:$B$5,2,)</f>
        <v>6654.5079365079364</v>
      </c>
      <c r="AJ1325" t="str">
        <f t="shared" si="82"/>
        <v>Below salary</v>
      </c>
      <c r="AK1325" t="str">
        <f t="shared" si="83"/>
        <v>Low Risk</v>
      </c>
    </row>
    <row r="1326" spans="1:37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46</v>
      </c>
      <c r="L1326">
        <v>93</v>
      </c>
      <c r="M1326">
        <v>1</v>
      </c>
      <c r="N1326">
        <v>2</v>
      </c>
      <c r="O1326" t="s">
        <v>54</v>
      </c>
      <c r="P1326">
        <v>3</v>
      </c>
      <c r="Q1326" t="s">
        <v>52</v>
      </c>
      <c r="R1326" s="3">
        <v>6384</v>
      </c>
      <c r="S1326">
        <v>21143</v>
      </c>
      <c r="T1326">
        <v>8</v>
      </c>
      <c r="U1326" t="s">
        <v>43</v>
      </c>
      <c r="V1326" s="2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tr">
        <f t="shared" si="80"/>
        <v>26-35</v>
      </c>
      <c r="AH1326" t="str">
        <f t="shared" si="81"/>
        <v>Mid</v>
      </c>
      <c r="AI1326" s="1">
        <f>VLOOKUP(E1326,Lookup_Tables!$A$3:$B$5,2,)</f>
        <v>6281.2528616024974</v>
      </c>
      <c r="AJ1326" t="str">
        <f t="shared" si="82"/>
        <v>Above salary</v>
      </c>
      <c r="AK1326" t="str">
        <f t="shared" si="83"/>
        <v>Low Risk</v>
      </c>
    </row>
    <row r="1327" spans="1:37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46</v>
      </c>
      <c r="L1327">
        <v>81</v>
      </c>
      <c r="M1327">
        <v>3</v>
      </c>
      <c r="N1327">
        <v>1</v>
      </c>
      <c r="O1327" t="s">
        <v>50</v>
      </c>
      <c r="P1327">
        <v>3</v>
      </c>
      <c r="Q1327" t="s">
        <v>41</v>
      </c>
      <c r="R1327" s="3">
        <v>3968</v>
      </c>
      <c r="S1327">
        <v>13624</v>
      </c>
      <c r="T1327">
        <v>4</v>
      </c>
      <c r="U1327" t="s">
        <v>43</v>
      </c>
      <c r="V1327" s="2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tr">
        <f t="shared" si="80"/>
        <v>36-45</v>
      </c>
      <c r="AH1327" t="str">
        <f t="shared" si="81"/>
        <v>Mid</v>
      </c>
      <c r="AI1327" s="1">
        <f>VLOOKUP(E1327,Lookup_Tables!$A$3:$B$5,2,)</f>
        <v>6281.2528616024974</v>
      </c>
      <c r="AJ1327" t="str">
        <f t="shared" si="82"/>
        <v>Below salary</v>
      </c>
      <c r="AK1327" t="str">
        <f t="shared" si="83"/>
        <v>Low Risk</v>
      </c>
    </row>
    <row r="1328" spans="1:37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1862</v>
      </c>
      <c r="J1328">
        <v>3</v>
      </c>
      <c r="K1328" t="s">
        <v>46</v>
      </c>
      <c r="L1328">
        <v>82</v>
      </c>
      <c r="M1328">
        <v>2</v>
      </c>
      <c r="N1328">
        <v>2</v>
      </c>
      <c r="O1328" t="s">
        <v>40</v>
      </c>
      <c r="P1328">
        <v>2</v>
      </c>
      <c r="Q1328" t="s">
        <v>41</v>
      </c>
      <c r="R1328" s="3">
        <v>9907</v>
      </c>
      <c r="S1328">
        <v>26186</v>
      </c>
      <c r="T1328">
        <v>7</v>
      </c>
      <c r="U1328" t="s">
        <v>35</v>
      </c>
      <c r="V1328" s="2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tr">
        <f t="shared" si="80"/>
        <v>26-35</v>
      </c>
      <c r="AH1328" t="str">
        <f t="shared" si="81"/>
        <v>High</v>
      </c>
      <c r="AI1328" s="1">
        <f>VLOOKUP(E1328,Lookup_Tables!$A$3:$B$5,2,)</f>
        <v>6959.17264573991</v>
      </c>
      <c r="AJ1328" t="str">
        <f t="shared" si="82"/>
        <v>Above salary</v>
      </c>
      <c r="AK1328" t="str">
        <f t="shared" si="83"/>
        <v>High Risk</v>
      </c>
    </row>
    <row r="1329" spans="1:37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1863</v>
      </c>
      <c r="J1329">
        <v>1</v>
      </c>
      <c r="K1329" t="s">
        <v>39</v>
      </c>
      <c r="L1329">
        <v>45</v>
      </c>
      <c r="M1329">
        <v>4</v>
      </c>
      <c r="N1329">
        <v>4</v>
      </c>
      <c r="O1329" t="s">
        <v>40</v>
      </c>
      <c r="P1329">
        <v>1</v>
      </c>
      <c r="Q1329" t="s">
        <v>52</v>
      </c>
      <c r="R1329" s="3">
        <v>13225</v>
      </c>
      <c r="S1329">
        <v>7739</v>
      </c>
      <c r="T1329">
        <v>2</v>
      </c>
      <c r="U1329" t="s">
        <v>43</v>
      </c>
      <c r="V1329" s="2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tr">
        <f t="shared" si="80"/>
        <v>46+</v>
      </c>
      <c r="AH1329" t="str">
        <f t="shared" si="81"/>
        <v>Very High</v>
      </c>
      <c r="AI1329" s="1">
        <f>VLOOKUP(E1329,Lookup_Tables!$A$3:$B$5,2,)</f>
        <v>6959.17264573991</v>
      </c>
      <c r="AJ1329" t="str">
        <f t="shared" si="82"/>
        <v>Above salary</v>
      </c>
      <c r="AK1329" t="str">
        <f t="shared" si="83"/>
        <v>Medium Risk</v>
      </c>
    </row>
    <row r="1330" spans="1:37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t="s">
        <v>39</v>
      </c>
      <c r="L1330">
        <v>36</v>
      </c>
      <c r="M1330">
        <v>2</v>
      </c>
      <c r="N1330">
        <v>2</v>
      </c>
      <c r="O1330" t="s">
        <v>57</v>
      </c>
      <c r="P1330">
        <v>3</v>
      </c>
      <c r="Q1330" t="s">
        <v>48</v>
      </c>
      <c r="R1330" s="3">
        <v>3540</v>
      </c>
      <c r="S1330">
        <v>7018</v>
      </c>
      <c r="T1330">
        <v>1</v>
      </c>
      <c r="U1330" t="s">
        <v>43</v>
      </c>
      <c r="V1330" s="2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tr">
        <f t="shared" si="80"/>
        <v>26-35</v>
      </c>
      <c r="AH1330" t="str">
        <f t="shared" si="81"/>
        <v>Mid</v>
      </c>
      <c r="AI1330" s="1">
        <f>VLOOKUP(E1330,Lookup_Tables!$A$3:$B$5,2,)</f>
        <v>6959.17264573991</v>
      </c>
      <c r="AJ1330" t="str">
        <f t="shared" si="82"/>
        <v>Below salary</v>
      </c>
      <c r="AK1330" t="str">
        <f t="shared" si="83"/>
        <v>Low Risk</v>
      </c>
    </row>
    <row r="1331" spans="1:37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t="s">
        <v>46</v>
      </c>
      <c r="L1331">
        <v>87</v>
      </c>
      <c r="M1331">
        <v>2</v>
      </c>
      <c r="N1331">
        <v>1</v>
      </c>
      <c r="O1331" t="s">
        <v>61</v>
      </c>
      <c r="P1331">
        <v>2</v>
      </c>
      <c r="Q1331" t="s">
        <v>48</v>
      </c>
      <c r="R1331" s="3">
        <v>2804</v>
      </c>
      <c r="S1331">
        <v>15434</v>
      </c>
      <c r="T1331">
        <v>1</v>
      </c>
      <c r="U1331" t="s">
        <v>43</v>
      </c>
      <c r="V1331" s="2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tr">
        <f t="shared" si="80"/>
        <v>26-35</v>
      </c>
      <c r="AH1331" t="str">
        <f t="shared" si="81"/>
        <v>Low</v>
      </c>
      <c r="AI1331" s="1">
        <f>VLOOKUP(E1331,Lookup_Tables!$A$3:$B$5,2,)</f>
        <v>6654.5079365079364</v>
      </c>
      <c r="AJ1331" t="str">
        <f t="shared" si="82"/>
        <v>Below salary</v>
      </c>
      <c r="AK1331" t="str">
        <f t="shared" si="83"/>
        <v>Medium Risk</v>
      </c>
    </row>
    <row r="1332" spans="1:37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t="s">
        <v>39</v>
      </c>
      <c r="L1332">
        <v>81</v>
      </c>
      <c r="M1332">
        <v>2</v>
      </c>
      <c r="N1332">
        <v>5</v>
      </c>
      <c r="O1332" t="s">
        <v>56</v>
      </c>
      <c r="P1332">
        <v>3</v>
      </c>
      <c r="Q1332" t="s">
        <v>48</v>
      </c>
      <c r="R1332" s="3">
        <v>19392</v>
      </c>
      <c r="S1332">
        <v>22539</v>
      </c>
      <c r="T1332">
        <v>7</v>
      </c>
      <c r="U1332" t="s">
        <v>43</v>
      </c>
      <c r="V1332" s="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tr">
        <f t="shared" si="80"/>
        <v>36-45</v>
      </c>
      <c r="AH1332" t="str">
        <f t="shared" si="81"/>
        <v>Very High</v>
      </c>
      <c r="AI1332" s="1">
        <f>VLOOKUP(E1332,Lookup_Tables!$A$3:$B$5,2,)</f>
        <v>6281.2528616024974</v>
      </c>
      <c r="AJ1332" t="str">
        <f t="shared" si="82"/>
        <v>Above salary</v>
      </c>
      <c r="AK1332" t="str">
        <f t="shared" si="83"/>
        <v>Low Risk</v>
      </c>
    </row>
    <row r="1333" spans="1:37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46</v>
      </c>
      <c r="L1333">
        <v>91</v>
      </c>
      <c r="M1333">
        <v>2</v>
      </c>
      <c r="N1333">
        <v>5</v>
      </c>
      <c r="O1333" t="s">
        <v>58</v>
      </c>
      <c r="P1333">
        <v>2</v>
      </c>
      <c r="Q1333" t="s">
        <v>48</v>
      </c>
      <c r="R1333" s="3">
        <v>19665</v>
      </c>
      <c r="S1333">
        <v>13583</v>
      </c>
      <c r="T1333">
        <v>4</v>
      </c>
      <c r="U1333" t="s">
        <v>43</v>
      </c>
      <c r="V1333" s="2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tr">
        <f t="shared" si="80"/>
        <v>46+</v>
      </c>
      <c r="AH1333" t="str">
        <f t="shared" si="81"/>
        <v>Very High</v>
      </c>
      <c r="AI1333" s="1">
        <f>VLOOKUP(E1333,Lookup_Tables!$A$3:$B$5,2,)</f>
        <v>6281.2528616024974</v>
      </c>
      <c r="AJ1333" t="str">
        <f t="shared" si="82"/>
        <v>Above salary</v>
      </c>
      <c r="AK1333" t="str">
        <f t="shared" si="83"/>
        <v>Medium Risk</v>
      </c>
    </row>
    <row r="1334" spans="1:37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46</v>
      </c>
      <c r="L1334">
        <v>73</v>
      </c>
      <c r="M1334">
        <v>2</v>
      </c>
      <c r="N1334">
        <v>1</v>
      </c>
      <c r="O1334" t="s">
        <v>47</v>
      </c>
      <c r="P1334">
        <v>4</v>
      </c>
      <c r="Q1334" t="s">
        <v>41</v>
      </c>
      <c r="R1334" s="3">
        <v>2439</v>
      </c>
      <c r="S1334">
        <v>14753</v>
      </c>
      <c r="T1334">
        <v>1</v>
      </c>
      <c r="U1334" t="s">
        <v>35</v>
      </c>
      <c r="V1334" s="2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tr">
        <f t="shared" si="80"/>
        <v>26-35</v>
      </c>
      <c r="AH1334" t="str">
        <f t="shared" si="81"/>
        <v>Low</v>
      </c>
      <c r="AI1334" s="1">
        <f>VLOOKUP(E1334,Lookup_Tables!$A$3:$B$5,2,)</f>
        <v>6281.2528616024974</v>
      </c>
      <c r="AJ1334" t="str">
        <f t="shared" si="82"/>
        <v>Below salary</v>
      </c>
      <c r="AK1334" t="str">
        <f t="shared" si="83"/>
        <v>Medium Risk</v>
      </c>
    </row>
    <row r="1335" spans="1:37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64</v>
      </c>
      <c r="M1335">
        <v>3</v>
      </c>
      <c r="N1335">
        <v>3</v>
      </c>
      <c r="O1335" t="s">
        <v>40</v>
      </c>
      <c r="P1335">
        <v>2</v>
      </c>
      <c r="Q1335" t="s">
        <v>48</v>
      </c>
      <c r="R1335" s="3">
        <v>7314</v>
      </c>
      <c r="S1335">
        <v>14011</v>
      </c>
      <c r="T1335">
        <v>5</v>
      </c>
      <c r="U1335" t="s">
        <v>43</v>
      </c>
      <c r="V1335" s="2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tr">
        <f t="shared" si="80"/>
        <v>46+</v>
      </c>
      <c r="AH1335" t="str">
        <f t="shared" si="81"/>
        <v>High</v>
      </c>
      <c r="AI1335" s="1">
        <f>VLOOKUP(E1335,Lookup_Tables!$A$3:$B$5,2,)</f>
        <v>6959.17264573991</v>
      </c>
      <c r="AJ1335" t="str">
        <f t="shared" si="82"/>
        <v>Above salary</v>
      </c>
      <c r="AK1335" t="str">
        <f t="shared" si="83"/>
        <v>Medium Risk</v>
      </c>
    </row>
    <row r="1336" spans="1:37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77</v>
      </c>
      <c r="M1336">
        <v>2</v>
      </c>
      <c r="N1336">
        <v>1</v>
      </c>
      <c r="O1336" t="s">
        <v>47</v>
      </c>
      <c r="P1336">
        <v>1</v>
      </c>
      <c r="Q1336" t="s">
        <v>48</v>
      </c>
      <c r="R1336" s="3">
        <v>4774</v>
      </c>
      <c r="S1336">
        <v>23844</v>
      </c>
      <c r="T1336">
        <v>0</v>
      </c>
      <c r="U1336" t="s">
        <v>43</v>
      </c>
      <c r="V1336" s="2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tr">
        <f t="shared" si="80"/>
        <v>26-35</v>
      </c>
      <c r="AH1336" t="str">
        <f t="shared" si="81"/>
        <v>Mid</v>
      </c>
      <c r="AI1336" s="1">
        <f>VLOOKUP(E1336,Lookup_Tables!$A$3:$B$5,2,)</f>
        <v>6281.2528616024974</v>
      </c>
      <c r="AJ1336" t="str">
        <f t="shared" si="82"/>
        <v>Below salary</v>
      </c>
      <c r="AK1336" t="str">
        <f t="shared" si="83"/>
        <v>Medium Risk</v>
      </c>
    </row>
    <row r="1337" spans="1:37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t="s">
        <v>46</v>
      </c>
      <c r="L1337">
        <v>41</v>
      </c>
      <c r="M1337">
        <v>3</v>
      </c>
      <c r="N1337">
        <v>2</v>
      </c>
      <c r="O1337" t="s">
        <v>47</v>
      </c>
      <c r="P1337">
        <v>4</v>
      </c>
      <c r="Q1337" t="s">
        <v>52</v>
      </c>
      <c r="R1337" s="3">
        <v>3902</v>
      </c>
      <c r="S1337">
        <v>5141</v>
      </c>
      <c r="T1337">
        <v>8</v>
      </c>
      <c r="U1337" t="s">
        <v>43</v>
      </c>
      <c r="V1337" s="2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tr">
        <f t="shared" si="80"/>
        <v>36-45</v>
      </c>
      <c r="AH1337" t="str">
        <f t="shared" si="81"/>
        <v>Mid</v>
      </c>
      <c r="AI1337" s="1">
        <f>VLOOKUP(E1337,Lookup_Tables!$A$3:$B$5,2,)</f>
        <v>6281.2528616024974</v>
      </c>
      <c r="AJ1337" t="str">
        <f t="shared" si="82"/>
        <v>Below salary</v>
      </c>
      <c r="AK1337" t="str">
        <f t="shared" si="83"/>
        <v>Low Risk</v>
      </c>
    </row>
    <row r="1338" spans="1:37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1873</v>
      </c>
      <c r="J1338">
        <v>2</v>
      </c>
      <c r="K1338" t="s">
        <v>46</v>
      </c>
      <c r="L1338">
        <v>98</v>
      </c>
      <c r="M1338">
        <v>2</v>
      </c>
      <c r="N1338">
        <v>1</v>
      </c>
      <c r="O1338" t="s">
        <v>47</v>
      </c>
      <c r="P1338">
        <v>4</v>
      </c>
      <c r="Q1338" t="s">
        <v>48</v>
      </c>
      <c r="R1338" s="3">
        <v>2662</v>
      </c>
      <c r="S1338">
        <v>7975</v>
      </c>
      <c r="T1338">
        <v>8</v>
      </c>
      <c r="U1338" t="s">
        <v>43</v>
      </c>
      <c r="V1338" s="2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tr">
        <f t="shared" si="80"/>
        <v>46+</v>
      </c>
      <c r="AH1338" t="str">
        <f t="shared" si="81"/>
        <v>Low</v>
      </c>
      <c r="AI1338" s="1">
        <f>VLOOKUP(E1338,Lookup_Tables!$A$3:$B$5,2,)</f>
        <v>6281.2528616024974</v>
      </c>
      <c r="AJ1338" t="str">
        <f t="shared" si="82"/>
        <v>Below salary</v>
      </c>
      <c r="AK1338" t="str">
        <f t="shared" si="83"/>
        <v>Low Risk</v>
      </c>
    </row>
    <row r="1339" spans="1:37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t="s">
        <v>39</v>
      </c>
      <c r="L1339">
        <v>78</v>
      </c>
      <c r="M1339">
        <v>3</v>
      </c>
      <c r="N1339">
        <v>1</v>
      </c>
      <c r="O1339" t="s">
        <v>57</v>
      </c>
      <c r="P1339">
        <v>2</v>
      </c>
      <c r="Q1339" t="s">
        <v>48</v>
      </c>
      <c r="R1339" s="3">
        <v>2856</v>
      </c>
      <c r="S1339">
        <v>3692</v>
      </c>
      <c r="T1339">
        <v>1</v>
      </c>
      <c r="U1339" t="s">
        <v>43</v>
      </c>
      <c r="V1339" s="2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tr">
        <f t="shared" si="80"/>
        <v>26-35</v>
      </c>
      <c r="AH1339" t="str">
        <f t="shared" si="81"/>
        <v>Low</v>
      </c>
      <c r="AI1339" s="1">
        <f>VLOOKUP(E1339,Lookup_Tables!$A$3:$B$5,2,)</f>
        <v>6959.17264573991</v>
      </c>
      <c r="AJ1339" t="str">
        <f t="shared" si="82"/>
        <v>Below salary</v>
      </c>
      <c r="AK1339" t="str">
        <f t="shared" si="83"/>
        <v>Medium Risk</v>
      </c>
    </row>
    <row r="1340" spans="1:37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t="s">
        <v>46</v>
      </c>
      <c r="L1340">
        <v>89</v>
      </c>
      <c r="M1340">
        <v>3</v>
      </c>
      <c r="N1340">
        <v>1</v>
      </c>
      <c r="O1340" t="s">
        <v>57</v>
      </c>
      <c r="P1340">
        <v>4</v>
      </c>
      <c r="Q1340" t="s">
        <v>41</v>
      </c>
      <c r="R1340" s="3">
        <v>1081</v>
      </c>
      <c r="S1340">
        <v>16019</v>
      </c>
      <c r="T1340">
        <v>1</v>
      </c>
      <c r="U1340" t="s">
        <v>43</v>
      </c>
      <c r="V1340" s="2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tr">
        <f t="shared" si="80"/>
        <v>26-35</v>
      </c>
      <c r="AH1340" t="str">
        <f t="shared" si="81"/>
        <v>Low</v>
      </c>
      <c r="AI1340" s="1">
        <f>VLOOKUP(E1340,Lookup_Tables!$A$3:$B$5,2,)</f>
        <v>6959.17264573991</v>
      </c>
      <c r="AJ1340" t="str">
        <f t="shared" si="82"/>
        <v>Below salary</v>
      </c>
      <c r="AK1340" t="str">
        <f t="shared" si="83"/>
        <v>Low Risk</v>
      </c>
    </row>
    <row r="1341" spans="1:37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46</v>
      </c>
      <c r="L1341">
        <v>75</v>
      </c>
      <c r="M1341">
        <v>3</v>
      </c>
      <c r="N1341">
        <v>1</v>
      </c>
      <c r="O1341" t="s">
        <v>47</v>
      </c>
      <c r="P1341">
        <v>2</v>
      </c>
      <c r="Q1341" t="s">
        <v>41</v>
      </c>
      <c r="R1341" s="3">
        <v>2472</v>
      </c>
      <c r="S1341">
        <v>26092</v>
      </c>
      <c r="T1341">
        <v>1</v>
      </c>
      <c r="U1341" t="s">
        <v>35</v>
      </c>
      <c r="V1341" s="2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tr">
        <f t="shared" si="80"/>
        <v>18-25</v>
      </c>
      <c r="AH1341" t="str">
        <f t="shared" si="81"/>
        <v>Low</v>
      </c>
      <c r="AI1341" s="1">
        <f>VLOOKUP(E1341,Lookup_Tables!$A$3:$B$5,2,)</f>
        <v>6281.2528616024974</v>
      </c>
      <c r="AJ1341" t="str">
        <f t="shared" si="82"/>
        <v>Below salary</v>
      </c>
      <c r="AK1341" t="str">
        <f t="shared" si="83"/>
        <v>High Risk</v>
      </c>
    </row>
    <row r="1342" spans="1:37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1880</v>
      </c>
      <c r="J1342">
        <v>2</v>
      </c>
      <c r="K1342" t="s">
        <v>39</v>
      </c>
      <c r="L1342">
        <v>63</v>
      </c>
      <c r="M1342">
        <v>2</v>
      </c>
      <c r="N1342">
        <v>2</v>
      </c>
      <c r="O1342" t="s">
        <v>40</v>
      </c>
      <c r="P1342">
        <v>3</v>
      </c>
      <c r="Q1342" t="s">
        <v>48</v>
      </c>
      <c r="R1342" s="3">
        <v>5673</v>
      </c>
      <c r="S1342">
        <v>6060</v>
      </c>
      <c r="T1342">
        <v>1</v>
      </c>
      <c r="U1342" t="s">
        <v>35</v>
      </c>
      <c r="V1342" s="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tr">
        <f t="shared" si="80"/>
        <v>36-45</v>
      </c>
      <c r="AH1342" t="str">
        <f t="shared" si="81"/>
        <v>Mid</v>
      </c>
      <c r="AI1342" s="1">
        <f>VLOOKUP(E1342,Lookup_Tables!$A$3:$B$5,2,)</f>
        <v>6959.17264573991</v>
      </c>
      <c r="AJ1342" t="str">
        <f t="shared" si="82"/>
        <v>Below salary</v>
      </c>
      <c r="AK1342" t="str">
        <f t="shared" si="83"/>
        <v>Medium Risk</v>
      </c>
    </row>
    <row r="1343" spans="1:37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46</v>
      </c>
      <c r="L1343">
        <v>89</v>
      </c>
      <c r="M1343">
        <v>3</v>
      </c>
      <c r="N1343">
        <v>2</v>
      </c>
      <c r="O1343" t="s">
        <v>50</v>
      </c>
      <c r="P1343">
        <v>3</v>
      </c>
      <c r="Q1343" t="s">
        <v>52</v>
      </c>
      <c r="R1343" s="3">
        <v>4197</v>
      </c>
      <c r="S1343">
        <v>18624</v>
      </c>
      <c r="T1343">
        <v>1</v>
      </c>
      <c r="U1343" t="s">
        <v>43</v>
      </c>
      <c r="V1343" s="2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tr">
        <f t="shared" si="80"/>
        <v>26-35</v>
      </c>
      <c r="AH1343" t="str">
        <f t="shared" si="81"/>
        <v>Mid</v>
      </c>
      <c r="AI1343" s="1">
        <f>VLOOKUP(E1343,Lookup_Tables!$A$3:$B$5,2,)</f>
        <v>6281.2528616024974</v>
      </c>
      <c r="AJ1343" t="str">
        <f t="shared" si="82"/>
        <v>Below salary</v>
      </c>
      <c r="AK1343" t="str">
        <f t="shared" si="83"/>
        <v>Low Risk</v>
      </c>
    </row>
    <row r="1344" spans="1:37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46</v>
      </c>
      <c r="L1344">
        <v>64</v>
      </c>
      <c r="M1344">
        <v>3</v>
      </c>
      <c r="N1344">
        <v>3</v>
      </c>
      <c r="O1344" t="s">
        <v>40</v>
      </c>
      <c r="P1344">
        <v>4</v>
      </c>
      <c r="Q1344" t="s">
        <v>48</v>
      </c>
      <c r="R1344" s="3">
        <v>9713</v>
      </c>
      <c r="S1344">
        <v>24444</v>
      </c>
      <c r="T1344">
        <v>2</v>
      </c>
      <c r="U1344" t="s">
        <v>35</v>
      </c>
      <c r="V1344" s="2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tr">
        <f t="shared" si="80"/>
        <v>26-35</v>
      </c>
      <c r="AH1344" t="str">
        <f t="shared" si="81"/>
        <v>High</v>
      </c>
      <c r="AI1344" s="1">
        <f>VLOOKUP(E1344,Lookup_Tables!$A$3:$B$5,2,)</f>
        <v>6959.17264573991</v>
      </c>
      <c r="AJ1344" t="str">
        <f t="shared" si="82"/>
        <v>Above salary</v>
      </c>
      <c r="AK1344" t="str">
        <f t="shared" si="83"/>
        <v>Medium Risk</v>
      </c>
    </row>
    <row r="1345" spans="1:37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46</v>
      </c>
      <c r="L1345">
        <v>59</v>
      </c>
      <c r="M1345">
        <v>3</v>
      </c>
      <c r="N1345">
        <v>1</v>
      </c>
      <c r="O1345" t="s">
        <v>50</v>
      </c>
      <c r="P1345">
        <v>1</v>
      </c>
      <c r="Q1345" t="s">
        <v>41</v>
      </c>
      <c r="R1345" s="3">
        <v>2062</v>
      </c>
      <c r="S1345">
        <v>19384</v>
      </c>
      <c r="T1345">
        <v>3</v>
      </c>
      <c r="U1345" t="s">
        <v>43</v>
      </c>
      <c r="V1345" s="2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tr">
        <f t="shared" si="80"/>
        <v>26-35</v>
      </c>
      <c r="AH1345" t="str">
        <f t="shared" si="81"/>
        <v>Low</v>
      </c>
      <c r="AI1345" s="1">
        <f>VLOOKUP(E1345,Lookup_Tables!$A$3:$B$5,2,)</f>
        <v>6281.2528616024974</v>
      </c>
      <c r="AJ1345" t="str">
        <f t="shared" si="82"/>
        <v>Below salary</v>
      </c>
      <c r="AK1345" t="str">
        <f t="shared" si="83"/>
        <v>Medium Risk</v>
      </c>
    </row>
    <row r="1346" spans="1:37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t="s">
        <v>46</v>
      </c>
      <c r="L1346">
        <v>78</v>
      </c>
      <c r="M1346">
        <v>3</v>
      </c>
      <c r="N1346">
        <v>2</v>
      </c>
      <c r="O1346" t="s">
        <v>47</v>
      </c>
      <c r="P1346">
        <v>1</v>
      </c>
      <c r="Q1346" t="s">
        <v>48</v>
      </c>
      <c r="R1346" s="3">
        <v>4284</v>
      </c>
      <c r="S1346">
        <v>13588</v>
      </c>
      <c r="T1346">
        <v>5</v>
      </c>
      <c r="U1346" t="s">
        <v>35</v>
      </c>
      <c r="V1346" s="2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tr">
        <f t="shared" ref="AG1346:AG1409" si="84">IF(A1346&lt;=25,"18-25",IF(A1346&lt;= 35, "26-35",IF(A1346&lt;=45, "36-45","46+")))</f>
        <v>36-45</v>
      </c>
      <c r="AH1346" t="str">
        <f t="shared" ref="AH1346:AH1409" si="85">IF(R1346&lt;3000,"Low",IF(R1346&lt;7000,"Mid", IF(R1346&lt;12000, "High", "Very High")))</f>
        <v>Mid</v>
      </c>
      <c r="AI1346" s="1">
        <f>VLOOKUP(E1346,Lookup_Tables!$A$3:$B$5,2,)</f>
        <v>6281.2528616024974</v>
      </c>
      <c r="AJ1346" t="str">
        <f t="shared" ref="AJ1346:AJ1409" si="86">IF(R1346&gt;AI1346, "Above salary","Below salary")</f>
        <v>Below salary</v>
      </c>
      <c r="AK1346" t="str">
        <f t="shared" si="83"/>
        <v>High Risk</v>
      </c>
    </row>
    <row r="1347" spans="1:37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t="s">
        <v>39</v>
      </c>
      <c r="L1347">
        <v>44</v>
      </c>
      <c r="M1347">
        <v>2</v>
      </c>
      <c r="N1347">
        <v>2</v>
      </c>
      <c r="O1347" t="s">
        <v>53</v>
      </c>
      <c r="P1347">
        <v>2</v>
      </c>
      <c r="Q1347" t="s">
        <v>48</v>
      </c>
      <c r="R1347" s="3">
        <v>4788</v>
      </c>
      <c r="S1347">
        <v>25388</v>
      </c>
      <c r="T1347">
        <v>0</v>
      </c>
      <c r="U1347" t="s">
        <v>35</v>
      </c>
      <c r="V1347" s="2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tr">
        <f t="shared" si="84"/>
        <v>26-35</v>
      </c>
      <c r="AH1347" t="str">
        <f t="shared" si="85"/>
        <v>Mid</v>
      </c>
      <c r="AI1347" s="1">
        <f>VLOOKUP(E1347,Lookup_Tables!$A$3:$B$5,2,)</f>
        <v>6281.2528616024974</v>
      </c>
      <c r="AJ1347" t="str">
        <f t="shared" si="86"/>
        <v>Below salary</v>
      </c>
      <c r="AK1347" t="str">
        <f t="shared" ref="AK1347:AK1410" si="87">IF(AND(P1347&lt;=2,U1347="Yes"),"High Risk",IF(OR(P1347&lt;=2,U1347="Yes"),"Medium Risk","Low Risk"))</f>
        <v>High Risk</v>
      </c>
    </row>
    <row r="1348" spans="1:37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93</v>
      </c>
      <c r="M1348">
        <v>2</v>
      </c>
      <c r="N1348">
        <v>2</v>
      </c>
      <c r="O1348" t="s">
        <v>53</v>
      </c>
      <c r="P1348">
        <v>4</v>
      </c>
      <c r="Q1348" t="s">
        <v>48</v>
      </c>
      <c r="R1348" s="3">
        <v>5906</v>
      </c>
      <c r="S1348">
        <v>23888</v>
      </c>
      <c r="T1348">
        <v>0</v>
      </c>
      <c r="U1348" t="s">
        <v>43</v>
      </c>
      <c r="V1348" s="2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tr">
        <f t="shared" si="84"/>
        <v>36-45</v>
      </c>
      <c r="AH1348" t="str">
        <f t="shared" si="85"/>
        <v>Mid</v>
      </c>
      <c r="AI1348" s="1">
        <f>VLOOKUP(E1348,Lookup_Tables!$A$3:$B$5,2,)</f>
        <v>6281.2528616024974</v>
      </c>
      <c r="AJ1348" t="str">
        <f t="shared" si="86"/>
        <v>Below salary</v>
      </c>
      <c r="AK1348" t="str">
        <f t="shared" si="87"/>
        <v>Low Risk</v>
      </c>
    </row>
    <row r="1349" spans="1:37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1890</v>
      </c>
      <c r="J1349">
        <v>2</v>
      </c>
      <c r="K1349" t="s">
        <v>46</v>
      </c>
      <c r="L1349">
        <v>94</v>
      </c>
      <c r="M1349">
        <v>2</v>
      </c>
      <c r="N1349">
        <v>2</v>
      </c>
      <c r="O1349" t="s">
        <v>61</v>
      </c>
      <c r="P1349">
        <v>4</v>
      </c>
      <c r="Q1349" t="s">
        <v>41</v>
      </c>
      <c r="R1349" s="3">
        <v>3886</v>
      </c>
      <c r="S1349">
        <v>4223</v>
      </c>
      <c r="T1349">
        <v>1</v>
      </c>
      <c r="U1349" t="s">
        <v>43</v>
      </c>
      <c r="V1349" s="2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tr">
        <f t="shared" si="84"/>
        <v>36-45</v>
      </c>
      <c r="AH1349" t="str">
        <f t="shared" si="85"/>
        <v>Mid</v>
      </c>
      <c r="AI1349" s="1">
        <f>VLOOKUP(E1349,Lookup_Tables!$A$3:$B$5,2,)</f>
        <v>6654.5079365079364</v>
      </c>
      <c r="AJ1349" t="str">
        <f t="shared" si="86"/>
        <v>Below salary</v>
      </c>
      <c r="AK1349" t="str">
        <f t="shared" si="87"/>
        <v>Low Risk</v>
      </c>
    </row>
    <row r="1350" spans="1:37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46</v>
      </c>
      <c r="L1350">
        <v>98</v>
      </c>
      <c r="M1350">
        <v>3</v>
      </c>
      <c r="N1350">
        <v>4</v>
      </c>
      <c r="O1350" t="s">
        <v>56</v>
      </c>
      <c r="P1350">
        <v>1</v>
      </c>
      <c r="Q1350" t="s">
        <v>52</v>
      </c>
      <c r="R1350" s="3">
        <v>16823</v>
      </c>
      <c r="S1350">
        <v>18991</v>
      </c>
      <c r="T1350">
        <v>2</v>
      </c>
      <c r="U1350" t="s">
        <v>43</v>
      </c>
      <c r="V1350" s="2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tr">
        <f t="shared" si="84"/>
        <v>36-45</v>
      </c>
      <c r="AH1350" t="str">
        <f t="shared" si="85"/>
        <v>Very High</v>
      </c>
      <c r="AI1350" s="1">
        <f>VLOOKUP(E1350,Lookup_Tables!$A$3:$B$5,2,)</f>
        <v>6281.2528616024974</v>
      </c>
      <c r="AJ1350" t="str">
        <f t="shared" si="86"/>
        <v>Above salary</v>
      </c>
      <c r="AK1350" t="str">
        <f t="shared" si="87"/>
        <v>Medium Risk</v>
      </c>
    </row>
    <row r="1351" spans="1:37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90</v>
      </c>
      <c r="M1351">
        <v>2</v>
      </c>
      <c r="N1351">
        <v>1</v>
      </c>
      <c r="O1351" t="s">
        <v>47</v>
      </c>
      <c r="P1351">
        <v>3</v>
      </c>
      <c r="Q1351" t="s">
        <v>48</v>
      </c>
      <c r="R1351" s="3">
        <v>2933</v>
      </c>
      <c r="S1351">
        <v>14908</v>
      </c>
      <c r="T1351">
        <v>1</v>
      </c>
      <c r="U1351" t="s">
        <v>35</v>
      </c>
      <c r="V1351" s="2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tr">
        <f t="shared" si="84"/>
        <v>26-35</v>
      </c>
      <c r="AH1351" t="str">
        <f t="shared" si="85"/>
        <v>Low</v>
      </c>
      <c r="AI1351" s="1">
        <f>VLOOKUP(E1351,Lookup_Tables!$A$3:$B$5,2,)</f>
        <v>6281.2528616024974</v>
      </c>
      <c r="AJ1351" t="str">
        <f t="shared" si="86"/>
        <v>Below salary</v>
      </c>
      <c r="AK1351" t="str">
        <f t="shared" si="87"/>
        <v>Medium Risk</v>
      </c>
    </row>
    <row r="1352" spans="1:37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t="s">
        <v>39</v>
      </c>
      <c r="L1352">
        <v>89</v>
      </c>
      <c r="M1352">
        <v>4</v>
      </c>
      <c r="N1352">
        <v>2</v>
      </c>
      <c r="O1352" t="s">
        <v>40</v>
      </c>
      <c r="P1352">
        <v>3</v>
      </c>
      <c r="Q1352" t="s">
        <v>41</v>
      </c>
      <c r="R1352" s="3">
        <v>6500</v>
      </c>
      <c r="S1352">
        <v>26997</v>
      </c>
      <c r="T1352">
        <v>0</v>
      </c>
      <c r="U1352" t="s">
        <v>43</v>
      </c>
      <c r="V1352" s="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tr">
        <f t="shared" si="84"/>
        <v>26-35</v>
      </c>
      <c r="AH1352" t="str">
        <f t="shared" si="85"/>
        <v>Mid</v>
      </c>
      <c r="AI1352" s="1">
        <f>VLOOKUP(E1352,Lookup_Tables!$A$3:$B$5,2,)</f>
        <v>6959.17264573991</v>
      </c>
      <c r="AJ1352" t="str">
        <f t="shared" si="86"/>
        <v>Below salary</v>
      </c>
      <c r="AK1352" t="str">
        <f t="shared" si="87"/>
        <v>Low Risk</v>
      </c>
    </row>
    <row r="1353" spans="1:37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t="s">
        <v>39</v>
      </c>
      <c r="L1353">
        <v>58</v>
      </c>
      <c r="M1353">
        <v>3</v>
      </c>
      <c r="N1353">
        <v>4</v>
      </c>
      <c r="O1353" t="s">
        <v>56</v>
      </c>
      <c r="P1353">
        <v>4</v>
      </c>
      <c r="Q1353" t="s">
        <v>52</v>
      </c>
      <c r="R1353" s="3">
        <v>17174</v>
      </c>
      <c r="S1353">
        <v>2437</v>
      </c>
      <c r="T1353">
        <v>3</v>
      </c>
      <c r="U1353" t="s">
        <v>43</v>
      </c>
      <c r="V1353" s="2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tr">
        <f t="shared" si="84"/>
        <v>46+</v>
      </c>
      <c r="AH1353" t="str">
        <f t="shared" si="85"/>
        <v>Very High</v>
      </c>
      <c r="AI1353" s="1">
        <f>VLOOKUP(E1353,Lookup_Tables!$A$3:$B$5,2,)</f>
        <v>6281.2528616024974</v>
      </c>
      <c r="AJ1353" t="str">
        <f t="shared" si="86"/>
        <v>Above salary</v>
      </c>
      <c r="AK1353" t="str">
        <f t="shared" si="87"/>
        <v>Low Risk</v>
      </c>
    </row>
    <row r="1354" spans="1:37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46</v>
      </c>
      <c r="L1354">
        <v>78</v>
      </c>
      <c r="M1354">
        <v>4</v>
      </c>
      <c r="N1354">
        <v>2</v>
      </c>
      <c r="O1354" t="s">
        <v>54</v>
      </c>
      <c r="P1354">
        <v>1</v>
      </c>
      <c r="Q1354" t="s">
        <v>48</v>
      </c>
      <c r="R1354" s="3">
        <v>5033</v>
      </c>
      <c r="S1354">
        <v>9364</v>
      </c>
      <c r="T1354">
        <v>2</v>
      </c>
      <c r="U1354" t="s">
        <v>43</v>
      </c>
      <c r="V1354" s="2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tr">
        <f t="shared" si="84"/>
        <v>36-45</v>
      </c>
      <c r="AH1354" t="str">
        <f t="shared" si="85"/>
        <v>Mid</v>
      </c>
      <c r="AI1354" s="1">
        <f>VLOOKUP(E1354,Lookup_Tables!$A$3:$B$5,2,)</f>
        <v>6281.2528616024974</v>
      </c>
      <c r="AJ1354" t="str">
        <f t="shared" si="86"/>
        <v>Below salary</v>
      </c>
      <c r="AK1354" t="str">
        <f t="shared" si="87"/>
        <v>Medium Risk</v>
      </c>
    </row>
    <row r="1355" spans="1:37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1905</v>
      </c>
      <c r="J1355">
        <v>4</v>
      </c>
      <c r="K1355" t="s">
        <v>46</v>
      </c>
      <c r="L1355">
        <v>85</v>
      </c>
      <c r="M1355">
        <v>1</v>
      </c>
      <c r="N1355">
        <v>1</v>
      </c>
      <c r="O1355" t="s">
        <v>47</v>
      </c>
      <c r="P1355">
        <v>1</v>
      </c>
      <c r="Q1355" t="s">
        <v>48</v>
      </c>
      <c r="R1355" s="3">
        <v>2307</v>
      </c>
      <c r="S1355">
        <v>14460</v>
      </c>
      <c r="T1355">
        <v>1</v>
      </c>
      <c r="U1355" t="s">
        <v>35</v>
      </c>
      <c r="V1355" s="2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tr">
        <f t="shared" si="84"/>
        <v>26-35</v>
      </c>
      <c r="AH1355" t="str">
        <f t="shared" si="85"/>
        <v>Low</v>
      </c>
      <c r="AI1355" s="1">
        <f>VLOOKUP(E1355,Lookup_Tables!$A$3:$B$5,2,)</f>
        <v>6281.2528616024974</v>
      </c>
      <c r="AJ1355" t="str">
        <f t="shared" si="86"/>
        <v>Below salary</v>
      </c>
      <c r="AK1355" t="str">
        <f t="shared" si="87"/>
        <v>High Risk</v>
      </c>
    </row>
    <row r="1356" spans="1:37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46</v>
      </c>
      <c r="L1356">
        <v>97</v>
      </c>
      <c r="M1356">
        <v>3</v>
      </c>
      <c r="N1356">
        <v>1</v>
      </c>
      <c r="O1356" t="s">
        <v>50</v>
      </c>
      <c r="P1356">
        <v>4</v>
      </c>
      <c r="Q1356" t="s">
        <v>41</v>
      </c>
      <c r="R1356" s="3">
        <v>2587</v>
      </c>
      <c r="S1356">
        <v>10261</v>
      </c>
      <c r="T1356">
        <v>1</v>
      </c>
      <c r="U1356" t="s">
        <v>43</v>
      </c>
      <c r="V1356" s="2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tr">
        <f t="shared" si="84"/>
        <v>46+</v>
      </c>
      <c r="AH1356" t="str">
        <f t="shared" si="85"/>
        <v>Low</v>
      </c>
      <c r="AI1356" s="1">
        <f>VLOOKUP(E1356,Lookup_Tables!$A$3:$B$5,2,)</f>
        <v>6281.2528616024974</v>
      </c>
      <c r="AJ1356" t="str">
        <f t="shared" si="86"/>
        <v>Below salary</v>
      </c>
      <c r="AK1356" t="str">
        <f t="shared" si="87"/>
        <v>Low Risk</v>
      </c>
    </row>
    <row r="1357" spans="1:37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1908</v>
      </c>
      <c r="J1357">
        <v>3</v>
      </c>
      <c r="K1357" t="s">
        <v>46</v>
      </c>
      <c r="L1357">
        <v>33</v>
      </c>
      <c r="M1357">
        <v>2</v>
      </c>
      <c r="N1357">
        <v>2</v>
      </c>
      <c r="O1357" t="s">
        <v>40</v>
      </c>
      <c r="P1357">
        <v>2</v>
      </c>
      <c r="Q1357" t="s">
        <v>48</v>
      </c>
      <c r="R1357" s="3">
        <v>5507</v>
      </c>
      <c r="S1357">
        <v>16822</v>
      </c>
      <c r="T1357">
        <v>2</v>
      </c>
      <c r="U1357" t="s">
        <v>43</v>
      </c>
      <c r="V1357" s="2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tr">
        <f t="shared" si="84"/>
        <v>36-45</v>
      </c>
      <c r="AH1357" t="str">
        <f t="shared" si="85"/>
        <v>Mid</v>
      </c>
      <c r="AI1357" s="1">
        <f>VLOOKUP(E1357,Lookup_Tables!$A$3:$B$5,2,)</f>
        <v>6959.17264573991</v>
      </c>
      <c r="AJ1357" t="str">
        <f t="shared" si="86"/>
        <v>Below salary</v>
      </c>
      <c r="AK1357" t="str">
        <f t="shared" si="87"/>
        <v>Medium Risk</v>
      </c>
    </row>
    <row r="1358" spans="1:37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1909</v>
      </c>
      <c r="J1358">
        <v>3</v>
      </c>
      <c r="K1358" t="s">
        <v>39</v>
      </c>
      <c r="L1358">
        <v>54</v>
      </c>
      <c r="M1358">
        <v>3</v>
      </c>
      <c r="N1358">
        <v>2</v>
      </c>
      <c r="O1358" t="s">
        <v>40</v>
      </c>
      <c r="P1358">
        <v>2</v>
      </c>
      <c r="Q1358" t="s">
        <v>48</v>
      </c>
      <c r="R1358" s="3">
        <v>4393</v>
      </c>
      <c r="S1358">
        <v>26841</v>
      </c>
      <c r="T1358">
        <v>5</v>
      </c>
      <c r="U1358" t="s">
        <v>43</v>
      </c>
      <c r="V1358" s="2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tr">
        <f t="shared" si="84"/>
        <v>36-45</v>
      </c>
      <c r="AH1358" t="str">
        <f t="shared" si="85"/>
        <v>Mid</v>
      </c>
      <c r="AI1358" s="1">
        <f>VLOOKUP(E1358,Lookup_Tables!$A$3:$B$5,2,)</f>
        <v>6959.17264573991</v>
      </c>
      <c r="AJ1358" t="str">
        <f t="shared" si="86"/>
        <v>Below salary</v>
      </c>
      <c r="AK1358" t="str">
        <f t="shared" si="87"/>
        <v>Medium Risk</v>
      </c>
    </row>
    <row r="1359" spans="1:37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t="s">
        <v>46</v>
      </c>
      <c r="L1359">
        <v>83</v>
      </c>
      <c r="M1359">
        <v>3</v>
      </c>
      <c r="N1359">
        <v>3</v>
      </c>
      <c r="O1359" t="s">
        <v>58</v>
      </c>
      <c r="P1359">
        <v>1</v>
      </c>
      <c r="Q1359" t="s">
        <v>48</v>
      </c>
      <c r="R1359" s="3">
        <v>13348</v>
      </c>
      <c r="S1359">
        <v>14842</v>
      </c>
      <c r="T1359">
        <v>9</v>
      </c>
      <c r="U1359" t="s">
        <v>43</v>
      </c>
      <c r="V1359" s="2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tr">
        <f t="shared" si="84"/>
        <v>36-45</v>
      </c>
      <c r="AH1359" t="str">
        <f t="shared" si="85"/>
        <v>Very High</v>
      </c>
      <c r="AI1359" s="1">
        <f>VLOOKUP(E1359,Lookup_Tables!$A$3:$B$5,2,)</f>
        <v>6281.2528616024974</v>
      </c>
      <c r="AJ1359" t="str">
        <f t="shared" si="86"/>
        <v>Above salary</v>
      </c>
      <c r="AK1359" t="str">
        <f t="shared" si="87"/>
        <v>Medium Risk</v>
      </c>
    </row>
    <row r="1360" spans="1:37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t="s">
        <v>39</v>
      </c>
      <c r="L1360">
        <v>86</v>
      </c>
      <c r="M1360">
        <v>3</v>
      </c>
      <c r="N1360">
        <v>2</v>
      </c>
      <c r="O1360" t="s">
        <v>40</v>
      </c>
      <c r="P1360">
        <v>4</v>
      </c>
      <c r="Q1360" t="s">
        <v>52</v>
      </c>
      <c r="R1360" s="3">
        <v>6583</v>
      </c>
      <c r="S1360">
        <v>20115</v>
      </c>
      <c r="T1360">
        <v>2</v>
      </c>
      <c r="U1360" t="s">
        <v>35</v>
      </c>
      <c r="V1360" s="2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tr">
        <f t="shared" si="84"/>
        <v>26-35</v>
      </c>
      <c r="AH1360" t="str">
        <f t="shared" si="85"/>
        <v>Mid</v>
      </c>
      <c r="AI1360" s="1">
        <f>VLOOKUP(E1360,Lookup_Tables!$A$3:$B$5,2,)</f>
        <v>6959.17264573991</v>
      </c>
      <c r="AJ1360" t="str">
        <f t="shared" si="86"/>
        <v>Below salary</v>
      </c>
      <c r="AK1360" t="str">
        <f t="shared" si="87"/>
        <v>Medium Risk</v>
      </c>
    </row>
    <row r="1361" spans="1:37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t="s">
        <v>39</v>
      </c>
      <c r="L1361">
        <v>75</v>
      </c>
      <c r="M1361">
        <v>2</v>
      </c>
      <c r="N1361">
        <v>2</v>
      </c>
      <c r="O1361" t="s">
        <v>40</v>
      </c>
      <c r="P1361">
        <v>4</v>
      </c>
      <c r="Q1361" t="s">
        <v>48</v>
      </c>
      <c r="R1361" s="3">
        <v>8103</v>
      </c>
      <c r="S1361">
        <v>16495</v>
      </c>
      <c r="T1361">
        <v>3</v>
      </c>
      <c r="U1361" t="s">
        <v>35</v>
      </c>
      <c r="V1361" s="2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tr">
        <f t="shared" si="84"/>
        <v>26-35</v>
      </c>
      <c r="AH1361" t="str">
        <f t="shared" si="85"/>
        <v>High</v>
      </c>
      <c r="AI1361" s="1">
        <f>VLOOKUP(E1361,Lookup_Tables!$A$3:$B$5,2,)</f>
        <v>6959.17264573991</v>
      </c>
      <c r="AJ1361" t="str">
        <f t="shared" si="86"/>
        <v>Above salary</v>
      </c>
      <c r="AK1361" t="str">
        <f t="shared" si="87"/>
        <v>Medium Risk</v>
      </c>
    </row>
    <row r="1362" spans="1:37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t="s">
        <v>39</v>
      </c>
      <c r="L1362">
        <v>62</v>
      </c>
      <c r="M1362">
        <v>4</v>
      </c>
      <c r="N1362">
        <v>1</v>
      </c>
      <c r="O1362" t="s">
        <v>50</v>
      </c>
      <c r="P1362">
        <v>3</v>
      </c>
      <c r="Q1362" t="s">
        <v>52</v>
      </c>
      <c r="R1362" s="3">
        <v>3978</v>
      </c>
      <c r="S1362">
        <v>16031</v>
      </c>
      <c r="T1362">
        <v>8</v>
      </c>
      <c r="U1362" t="s">
        <v>43</v>
      </c>
      <c r="V1362" s="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tr">
        <f t="shared" si="84"/>
        <v>26-35</v>
      </c>
      <c r="AH1362" t="str">
        <f t="shared" si="85"/>
        <v>Mid</v>
      </c>
      <c r="AI1362" s="1">
        <f>VLOOKUP(E1362,Lookup_Tables!$A$3:$B$5,2,)</f>
        <v>6281.2528616024974</v>
      </c>
      <c r="AJ1362" t="str">
        <f t="shared" si="86"/>
        <v>Below salary</v>
      </c>
      <c r="AK1362" t="str">
        <f t="shared" si="87"/>
        <v>Low Risk</v>
      </c>
    </row>
    <row r="1363" spans="1:37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t="s">
        <v>46</v>
      </c>
      <c r="L1363">
        <v>61</v>
      </c>
      <c r="M1363">
        <v>4</v>
      </c>
      <c r="N1363">
        <v>1</v>
      </c>
      <c r="O1363" t="s">
        <v>50</v>
      </c>
      <c r="P1363">
        <v>4</v>
      </c>
      <c r="Q1363" t="s">
        <v>48</v>
      </c>
      <c r="R1363" s="3">
        <v>2544</v>
      </c>
      <c r="S1363">
        <v>7102</v>
      </c>
      <c r="T1363">
        <v>0</v>
      </c>
      <c r="U1363" t="s">
        <v>43</v>
      </c>
      <c r="V1363" s="2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tr">
        <f t="shared" si="84"/>
        <v>26-35</v>
      </c>
      <c r="AH1363" t="str">
        <f t="shared" si="85"/>
        <v>Low</v>
      </c>
      <c r="AI1363" s="1">
        <f>VLOOKUP(E1363,Lookup_Tables!$A$3:$B$5,2,)</f>
        <v>6281.2528616024974</v>
      </c>
      <c r="AJ1363" t="str">
        <f t="shared" si="86"/>
        <v>Below salary</v>
      </c>
      <c r="AK1363" t="str">
        <f t="shared" si="87"/>
        <v>Low Risk</v>
      </c>
    </row>
    <row r="1364" spans="1:37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t="s">
        <v>46</v>
      </c>
      <c r="L1364">
        <v>44</v>
      </c>
      <c r="M1364">
        <v>3</v>
      </c>
      <c r="N1364">
        <v>2</v>
      </c>
      <c r="O1364" t="s">
        <v>54</v>
      </c>
      <c r="P1364">
        <v>3</v>
      </c>
      <c r="Q1364" t="s">
        <v>41</v>
      </c>
      <c r="R1364" s="3">
        <v>5399</v>
      </c>
      <c r="S1364">
        <v>14511</v>
      </c>
      <c r="T1364">
        <v>4</v>
      </c>
      <c r="U1364" t="s">
        <v>43</v>
      </c>
      <c r="V1364" s="2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tr">
        <f t="shared" si="84"/>
        <v>36-45</v>
      </c>
      <c r="AH1364" t="str">
        <f t="shared" si="85"/>
        <v>Mid</v>
      </c>
      <c r="AI1364" s="1">
        <f>VLOOKUP(E1364,Lookup_Tables!$A$3:$B$5,2,)</f>
        <v>6281.2528616024974</v>
      </c>
      <c r="AJ1364" t="str">
        <f t="shared" si="86"/>
        <v>Below salary</v>
      </c>
      <c r="AK1364" t="str">
        <f t="shared" si="87"/>
        <v>Low Risk</v>
      </c>
    </row>
    <row r="1365" spans="1:37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1924</v>
      </c>
      <c r="J1365">
        <v>2</v>
      </c>
      <c r="K1365" t="s">
        <v>46</v>
      </c>
      <c r="L1365">
        <v>43</v>
      </c>
      <c r="M1365">
        <v>3</v>
      </c>
      <c r="N1365">
        <v>2</v>
      </c>
      <c r="O1365" t="s">
        <v>40</v>
      </c>
      <c r="P1365">
        <v>3</v>
      </c>
      <c r="Q1365" t="s">
        <v>41</v>
      </c>
      <c r="R1365" s="3">
        <v>5487</v>
      </c>
      <c r="S1365">
        <v>10410</v>
      </c>
      <c r="T1365">
        <v>1</v>
      </c>
      <c r="U1365" t="s">
        <v>43</v>
      </c>
      <c r="V1365" s="2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tr">
        <f t="shared" si="84"/>
        <v>26-35</v>
      </c>
      <c r="AH1365" t="str">
        <f t="shared" si="85"/>
        <v>Mid</v>
      </c>
      <c r="AI1365" s="1">
        <f>VLOOKUP(E1365,Lookup_Tables!$A$3:$B$5,2,)</f>
        <v>6959.17264573991</v>
      </c>
      <c r="AJ1365" t="str">
        <f t="shared" si="86"/>
        <v>Below salary</v>
      </c>
      <c r="AK1365" t="str">
        <f t="shared" si="87"/>
        <v>Low Risk</v>
      </c>
    </row>
    <row r="1366" spans="1:37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46</v>
      </c>
      <c r="L1366">
        <v>42</v>
      </c>
      <c r="M1366">
        <v>2</v>
      </c>
      <c r="N1366">
        <v>2</v>
      </c>
      <c r="O1366" t="s">
        <v>40</v>
      </c>
      <c r="P1366">
        <v>4</v>
      </c>
      <c r="Q1366" t="s">
        <v>48</v>
      </c>
      <c r="R1366" s="3">
        <v>6834</v>
      </c>
      <c r="S1366">
        <v>19255</v>
      </c>
      <c r="T1366">
        <v>1</v>
      </c>
      <c r="U1366" t="s">
        <v>35</v>
      </c>
      <c r="V1366" s="2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tr">
        <f t="shared" si="84"/>
        <v>26-35</v>
      </c>
      <c r="AH1366" t="str">
        <f t="shared" si="85"/>
        <v>Mid</v>
      </c>
      <c r="AI1366" s="1">
        <f>VLOOKUP(E1366,Lookup_Tables!$A$3:$B$5,2,)</f>
        <v>6959.17264573991</v>
      </c>
      <c r="AJ1366" t="str">
        <f t="shared" si="86"/>
        <v>Below salary</v>
      </c>
      <c r="AK1366" t="str">
        <f t="shared" si="87"/>
        <v>Medium Risk</v>
      </c>
    </row>
    <row r="1367" spans="1:37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1928</v>
      </c>
      <c r="J1367">
        <v>3</v>
      </c>
      <c r="K1367" t="s">
        <v>46</v>
      </c>
      <c r="L1367">
        <v>45</v>
      </c>
      <c r="M1367">
        <v>4</v>
      </c>
      <c r="N1367">
        <v>1</v>
      </c>
      <c r="O1367" t="s">
        <v>57</v>
      </c>
      <c r="P1367">
        <v>1</v>
      </c>
      <c r="Q1367" t="s">
        <v>41</v>
      </c>
      <c r="R1367" s="3">
        <v>1091</v>
      </c>
      <c r="S1367">
        <v>10642</v>
      </c>
      <c r="T1367">
        <v>1</v>
      </c>
      <c r="U1367" t="s">
        <v>43</v>
      </c>
      <c r="V1367" s="2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tr">
        <f t="shared" si="84"/>
        <v>26-35</v>
      </c>
      <c r="AH1367" t="str">
        <f t="shared" si="85"/>
        <v>Low</v>
      </c>
      <c r="AI1367" s="1">
        <f>VLOOKUP(E1367,Lookup_Tables!$A$3:$B$5,2,)</f>
        <v>6959.17264573991</v>
      </c>
      <c r="AJ1367" t="str">
        <f t="shared" si="86"/>
        <v>Below salary</v>
      </c>
      <c r="AK1367" t="str">
        <f t="shared" si="87"/>
        <v>Medium Risk</v>
      </c>
    </row>
    <row r="1368" spans="1:37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32</v>
      </c>
      <c r="M1368">
        <v>1</v>
      </c>
      <c r="N1368">
        <v>2</v>
      </c>
      <c r="O1368" t="s">
        <v>40</v>
      </c>
      <c r="P1368">
        <v>3</v>
      </c>
      <c r="Q1368" t="s">
        <v>48</v>
      </c>
      <c r="R1368" s="3">
        <v>5736</v>
      </c>
      <c r="S1368">
        <v>3987</v>
      </c>
      <c r="T1368">
        <v>6</v>
      </c>
      <c r="U1368" t="s">
        <v>43</v>
      </c>
      <c r="V1368" s="2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tr">
        <f t="shared" si="84"/>
        <v>36-45</v>
      </c>
      <c r="AH1368" t="str">
        <f t="shared" si="85"/>
        <v>Mid</v>
      </c>
      <c r="AI1368" s="1">
        <f>VLOOKUP(E1368,Lookup_Tables!$A$3:$B$5,2,)</f>
        <v>6959.17264573991</v>
      </c>
      <c r="AJ1368" t="str">
        <f t="shared" si="86"/>
        <v>Below salary</v>
      </c>
      <c r="AK1368" t="str">
        <f t="shared" si="87"/>
        <v>Low Risk</v>
      </c>
    </row>
    <row r="1369" spans="1:37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1931</v>
      </c>
      <c r="J1369">
        <v>2</v>
      </c>
      <c r="K1369" t="s">
        <v>46</v>
      </c>
      <c r="L1369">
        <v>41</v>
      </c>
      <c r="M1369">
        <v>3</v>
      </c>
      <c r="N1369">
        <v>1</v>
      </c>
      <c r="O1369" t="s">
        <v>47</v>
      </c>
      <c r="P1369">
        <v>2</v>
      </c>
      <c r="Q1369" t="s">
        <v>48</v>
      </c>
      <c r="R1369" s="3">
        <v>2226</v>
      </c>
      <c r="S1369">
        <v>6073</v>
      </c>
      <c r="T1369">
        <v>1</v>
      </c>
      <c r="U1369" t="s">
        <v>43</v>
      </c>
      <c r="V1369" s="2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tr">
        <f t="shared" si="84"/>
        <v>26-35</v>
      </c>
      <c r="AH1369" t="str">
        <f t="shared" si="85"/>
        <v>Low</v>
      </c>
      <c r="AI1369" s="1">
        <f>VLOOKUP(E1369,Lookup_Tables!$A$3:$B$5,2,)</f>
        <v>6281.2528616024974</v>
      </c>
      <c r="AJ1369" t="str">
        <f t="shared" si="86"/>
        <v>Below salary</v>
      </c>
      <c r="AK1369" t="str">
        <f t="shared" si="87"/>
        <v>Medium Risk</v>
      </c>
    </row>
    <row r="1370" spans="1:37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t="s">
        <v>46</v>
      </c>
      <c r="L1370">
        <v>86</v>
      </c>
      <c r="M1370">
        <v>2</v>
      </c>
      <c r="N1370">
        <v>2</v>
      </c>
      <c r="O1370" t="s">
        <v>47</v>
      </c>
      <c r="P1370">
        <v>4</v>
      </c>
      <c r="Q1370" t="s">
        <v>48</v>
      </c>
      <c r="R1370" s="3">
        <v>5747</v>
      </c>
      <c r="S1370">
        <v>26496</v>
      </c>
      <c r="T1370">
        <v>1</v>
      </c>
      <c r="U1370" t="s">
        <v>35</v>
      </c>
      <c r="V1370" s="2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tr">
        <f t="shared" si="84"/>
        <v>26-35</v>
      </c>
      <c r="AH1370" t="str">
        <f t="shared" si="85"/>
        <v>Mid</v>
      </c>
      <c r="AI1370" s="1">
        <f>VLOOKUP(E1370,Lookup_Tables!$A$3:$B$5,2,)</f>
        <v>6281.2528616024974</v>
      </c>
      <c r="AJ1370" t="str">
        <f t="shared" si="86"/>
        <v>Below salary</v>
      </c>
      <c r="AK1370" t="str">
        <f t="shared" si="87"/>
        <v>Medium Risk</v>
      </c>
    </row>
    <row r="1371" spans="1:37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1933</v>
      </c>
      <c r="J1371">
        <v>4</v>
      </c>
      <c r="K1371" t="s">
        <v>39</v>
      </c>
      <c r="L1371">
        <v>84</v>
      </c>
      <c r="M1371">
        <v>3</v>
      </c>
      <c r="N1371">
        <v>2</v>
      </c>
      <c r="O1371" t="s">
        <v>40</v>
      </c>
      <c r="P1371">
        <v>3</v>
      </c>
      <c r="Q1371" t="s">
        <v>41</v>
      </c>
      <c r="R1371" s="3">
        <v>9854</v>
      </c>
      <c r="S1371">
        <v>23352</v>
      </c>
      <c r="T1371">
        <v>3</v>
      </c>
      <c r="U1371" t="s">
        <v>35</v>
      </c>
      <c r="V1371" s="2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tr">
        <f t="shared" si="84"/>
        <v>26-35</v>
      </c>
      <c r="AH1371" t="str">
        <f t="shared" si="85"/>
        <v>High</v>
      </c>
      <c r="AI1371" s="1">
        <f>VLOOKUP(E1371,Lookup_Tables!$A$3:$B$5,2,)</f>
        <v>6959.17264573991</v>
      </c>
      <c r="AJ1371" t="str">
        <f t="shared" si="86"/>
        <v>Above salary</v>
      </c>
      <c r="AK1371" t="str">
        <f t="shared" si="87"/>
        <v>Medium Risk</v>
      </c>
    </row>
    <row r="1372" spans="1:37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1934</v>
      </c>
      <c r="J1372">
        <v>3</v>
      </c>
      <c r="K1372" t="s">
        <v>46</v>
      </c>
      <c r="L1372">
        <v>64</v>
      </c>
      <c r="M1372">
        <v>3</v>
      </c>
      <c r="N1372">
        <v>2</v>
      </c>
      <c r="O1372" t="s">
        <v>47</v>
      </c>
      <c r="P1372">
        <v>2</v>
      </c>
      <c r="Q1372" t="s">
        <v>48</v>
      </c>
      <c r="R1372" s="3">
        <v>5467</v>
      </c>
      <c r="S1372">
        <v>2125</v>
      </c>
      <c r="T1372">
        <v>8</v>
      </c>
      <c r="U1372" t="s">
        <v>43</v>
      </c>
      <c r="V1372" s="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tr">
        <f t="shared" si="84"/>
        <v>46+</v>
      </c>
      <c r="AH1372" t="str">
        <f t="shared" si="85"/>
        <v>Mid</v>
      </c>
      <c r="AI1372" s="1">
        <f>VLOOKUP(E1372,Lookup_Tables!$A$3:$B$5,2,)</f>
        <v>6281.2528616024974</v>
      </c>
      <c r="AJ1372" t="str">
        <f t="shared" si="86"/>
        <v>Below salary</v>
      </c>
      <c r="AK1372" t="str">
        <f t="shared" si="87"/>
        <v>Medium Risk</v>
      </c>
    </row>
    <row r="1373" spans="1:37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1935</v>
      </c>
      <c r="J1373">
        <v>4</v>
      </c>
      <c r="K1373" t="s">
        <v>39</v>
      </c>
      <c r="L1373">
        <v>89</v>
      </c>
      <c r="M1373">
        <v>2</v>
      </c>
      <c r="N1373">
        <v>2</v>
      </c>
      <c r="O1373" t="s">
        <v>40</v>
      </c>
      <c r="P1373">
        <v>1</v>
      </c>
      <c r="Q1373" t="s">
        <v>48</v>
      </c>
      <c r="R1373" s="3">
        <v>5380</v>
      </c>
      <c r="S1373">
        <v>20328</v>
      </c>
      <c r="T1373">
        <v>4</v>
      </c>
      <c r="U1373" t="s">
        <v>43</v>
      </c>
      <c r="V1373" s="2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tr">
        <f t="shared" si="84"/>
        <v>46+</v>
      </c>
      <c r="AH1373" t="str">
        <f t="shared" si="85"/>
        <v>Mid</v>
      </c>
      <c r="AI1373" s="1">
        <f>VLOOKUP(E1373,Lookup_Tables!$A$3:$B$5,2,)</f>
        <v>6959.17264573991</v>
      </c>
      <c r="AJ1373" t="str">
        <f t="shared" si="86"/>
        <v>Below salary</v>
      </c>
      <c r="AK1373" t="str">
        <f t="shared" si="87"/>
        <v>Medium Risk</v>
      </c>
    </row>
    <row r="1374" spans="1:37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t="s">
        <v>46</v>
      </c>
      <c r="L1374">
        <v>87</v>
      </c>
      <c r="M1374">
        <v>3</v>
      </c>
      <c r="N1374">
        <v>2</v>
      </c>
      <c r="O1374" t="s">
        <v>53</v>
      </c>
      <c r="P1374">
        <v>1</v>
      </c>
      <c r="Q1374" t="s">
        <v>48</v>
      </c>
      <c r="R1374" s="3">
        <v>5151</v>
      </c>
      <c r="S1374">
        <v>12315</v>
      </c>
      <c r="T1374">
        <v>1</v>
      </c>
      <c r="U1374" t="s">
        <v>43</v>
      </c>
      <c r="V1374" s="2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tr">
        <f t="shared" si="84"/>
        <v>36-45</v>
      </c>
      <c r="AH1374" t="str">
        <f t="shared" si="85"/>
        <v>Mid</v>
      </c>
      <c r="AI1374" s="1">
        <f>VLOOKUP(E1374,Lookup_Tables!$A$3:$B$5,2,)</f>
        <v>6281.2528616024974</v>
      </c>
      <c r="AJ1374" t="str">
        <f t="shared" si="86"/>
        <v>Below salary</v>
      </c>
      <c r="AK1374" t="str">
        <f t="shared" si="87"/>
        <v>Medium Risk</v>
      </c>
    </row>
    <row r="1375" spans="1:37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t="s">
        <v>39</v>
      </c>
      <c r="L1375">
        <v>58</v>
      </c>
      <c r="M1375">
        <v>2</v>
      </c>
      <c r="N1375">
        <v>2</v>
      </c>
      <c r="O1375" t="s">
        <v>47</v>
      </c>
      <c r="P1375">
        <v>2</v>
      </c>
      <c r="Q1375" t="s">
        <v>52</v>
      </c>
      <c r="R1375" s="3">
        <v>2133</v>
      </c>
      <c r="S1375">
        <v>18115</v>
      </c>
      <c r="T1375">
        <v>1</v>
      </c>
      <c r="U1375" t="s">
        <v>35</v>
      </c>
      <c r="V1375" s="2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tr">
        <f t="shared" si="84"/>
        <v>36-45</v>
      </c>
      <c r="AH1375" t="str">
        <f t="shared" si="85"/>
        <v>Low</v>
      </c>
      <c r="AI1375" s="1">
        <f>VLOOKUP(E1375,Lookup_Tables!$A$3:$B$5,2,)</f>
        <v>6281.2528616024974</v>
      </c>
      <c r="AJ1375" t="str">
        <f t="shared" si="86"/>
        <v>Below salary</v>
      </c>
      <c r="AK1375" t="str">
        <f t="shared" si="87"/>
        <v>High Risk</v>
      </c>
    </row>
    <row r="1376" spans="1:37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72</v>
      </c>
      <c r="M1376">
        <v>3</v>
      </c>
      <c r="N1376">
        <v>4</v>
      </c>
      <c r="O1376" t="s">
        <v>56</v>
      </c>
      <c r="P1376">
        <v>4</v>
      </c>
      <c r="Q1376" t="s">
        <v>48</v>
      </c>
      <c r="R1376" s="3">
        <v>17875</v>
      </c>
      <c r="S1376">
        <v>11761</v>
      </c>
      <c r="T1376">
        <v>4</v>
      </c>
      <c r="U1376" t="s">
        <v>35</v>
      </c>
      <c r="V1376" s="2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tr">
        <f t="shared" si="84"/>
        <v>46+</v>
      </c>
      <c r="AH1376" t="str">
        <f t="shared" si="85"/>
        <v>Very High</v>
      </c>
      <c r="AI1376" s="1">
        <f>VLOOKUP(E1376,Lookup_Tables!$A$3:$B$5,2,)</f>
        <v>6959.17264573991</v>
      </c>
      <c r="AJ1376" t="str">
        <f t="shared" si="86"/>
        <v>Above salary</v>
      </c>
      <c r="AK1376" t="str">
        <f t="shared" si="87"/>
        <v>Medium Risk</v>
      </c>
    </row>
    <row r="1377" spans="1:37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47</v>
      </c>
      <c r="M1377">
        <v>4</v>
      </c>
      <c r="N1377">
        <v>1</v>
      </c>
      <c r="O1377" t="s">
        <v>47</v>
      </c>
      <c r="P1377">
        <v>3</v>
      </c>
      <c r="Q1377" t="s">
        <v>41</v>
      </c>
      <c r="R1377" s="3">
        <v>2432</v>
      </c>
      <c r="S1377">
        <v>15318</v>
      </c>
      <c r="T1377">
        <v>3</v>
      </c>
      <c r="U1377" t="s">
        <v>35</v>
      </c>
      <c r="V1377" s="2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tr">
        <f t="shared" si="84"/>
        <v>26-35</v>
      </c>
      <c r="AH1377" t="str">
        <f t="shared" si="85"/>
        <v>Low</v>
      </c>
      <c r="AI1377" s="1">
        <f>VLOOKUP(E1377,Lookup_Tables!$A$3:$B$5,2,)</f>
        <v>6281.2528616024974</v>
      </c>
      <c r="AJ1377" t="str">
        <f t="shared" si="86"/>
        <v>Below salary</v>
      </c>
      <c r="AK1377" t="str">
        <f t="shared" si="87"/>
        <v>Medium Risk</v>
      </c>
    </row>
    <row r="1378" spans="1:37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46</v>
      </c>
      <c r="L1378">
        <v>71</v>
      </c>
      <c r="M1378">
        <v>3</v>
      </c>
      <c r="N1378">
        <v>1</v>
      </c>
      <c r="O1378" t="s">
        <v>47</v>
      </c>
      <c r="P1378">
        <v>4</v>
      </c>
      <c r="Q1378" t="s">
        <v>52</v>
      </c>
      <c r="R1378" s="3">
        <v>4771</v>
      </c>
      <c r="S1378">
        <v>14293</v>
      </c>
      <c r="T1378">
        <v>2</v>
      </c>
      <c r="U1378" t="s">
        <v>43</v>
      </c>
      <c r="V1378" s="2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tr">
        <f t="shared" si="84"/>
        <v>36-45</v>
      </c>
      <c r="AH1378" t="str">
        <f t="shared" si="85"/>
        <v>Mid</v>
      </c>
      <c r="AI1378" s="1">
        <f>VLOOKUP(E1378,Lookup_Tables!$A$3:$B$5,2,)</f>
        <v>6281.2528616024974</v>
      </c>
      <c r="AJ1378" t="str">
        <f t="shared" si="86"/>
        <v>Below salary</v>
      </c>
      <c r="AK1378" t="str">
        <f t="shared" si="87"/>
        <v>Low Risk</v>
      </c>
    </row>
    <row r="1379" spans="1:37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46</v>
      </c>
      <c r="L1379">
        <v>42</v>
      </c>
      <c r="M1379">
        <v>3</v>
      </c>
      <c r="N1379">
        <v>5</v>
      </c>
      <c r="O1379" t="s">
        <v>58</v>
      </c>
      <c r="P1379">
        <v>4</v>
      </c>
      <c r="Q1379" t="s">
        <v>48</v>
      </c>
      <c r="R1379" s="3">
        <v>19161</v>
      </c>
      <c r="S1379">
        <v>13738</v>
      </c>
      <c r="T1379">
        <v>3</v>
      </c>
      <c r="U1379" t="s">
        <v>43</v>
      </c>
      <c r="V1379" s="2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tr">
        <f t="shared" si="84"/>
        <v>46+</v>
      </c>
      <c r="AH1379" t="str">
        <f t="shared" si="85"/>
        <v>Very High</v>
      </c>
      <c r="AI1379" s="1">
        <f>VLOOKUP(E1379,Lookup_Tables!$A$3:$B$5,2,)</f>
        <v>6281.2528616024974</v>
      </c>
      <c r="AJ1379" t="str">
        <f t="shared" si="86"/>
        <v>Above salary</v>
      </c>
      <c r="AK1379" t="str">
        <f t="shared" si="87"/>
        <v>Low Risk</v>
      </c>
    </row>
    <row r="1380" spans="1:37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1943</v>
      </c>
      <c r="J1380">
        <v>2</v>
      </c>
      <c r="K1380" t="s">
        <v>46</v>
      </c>
      <c r="L1380">
        <v>77</v>
      </c>
      <c r="M1380">
        <v>3</v>
      </c>
      <c r="N1380">
        <v>2</v>
      </c>
      <c r="O1380" t="s">
        <v>40</v>
      </c>
      <c r="P1380">
        <v>4</v>
      </c>
      <c r="Q1380" t="s">
        <v>52</v>
      </c>
      <c r="R1380" s="3">
        <v>5087</v>
      </c>
      <c r="S1380">
        <v>2900</v>
      </c>
      <c r="T1380">
        <v>3</v>
      </c>
      <c r="U1380" t="s">
        <v>35</v>
      </c>
      <c r="V1380" s="2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tr">
        <f t="shared" si="84"/>
        <v>36-45</v>
      </c>
      <c r="AH1380" t="str">
        <f t="shared" si="85"/>
        <v>Mid</v>
      </c>
      <c r="AI1380" s="1">
        <f>VLOOKUP(E1380,Lookup_Tables!$A$3:$B$5,2,)</f>
        <v>6959.17264573991</v>
      </c>
      <c r="AJ1380" t="str">
        <f t="shared" si="86"/>
        <v>Below salary</v>
      </c>
      <c r="AK1380" t="str">
        <f t="shared" si="87"/>
        <v>Medium Risk</v>
      </c>
    </row>
    <row r="1381" spans="1:37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1944</v>
      </c>
      <c r="J1381">
        <v>1</v>
      </c>
      <c r="K1381" t="s">
        <v>39</v>
      </c>
      <c r="L1381">
        <v>58</v>
      </c>
      <c r="M1381">
        <v>2</v>
      </c>
      <c r="N1381">
        <v>1</v>
      </c>
      <c r="O1381" t="s">
        <v>61</v>
      </c>
      <c r="P1381">
        <v>2</v>
      </c>
      <c r="Q1381" t="s">
        <v>48</v>
      </c>
      <c r="R1381" s="3">
        <v>2863</v>
      </c>
      <c r="S1381">
        <v>19555</v>
      </c>
      <c r="T1381">
        <v>1</v>
      </c>
      <c r="U1381" t="s">
        <v>43</v>
      </c>
      <c r="V1381" s="2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tr">
        <f t="shared" si="84"/>
        <v>26-35</v>
      </c>
      <c r="AH1381" t="str">
        <f t="shared" si="85"/>
        <v>Low</v>
      </c>
      <c r="AI1381" s="1">
        <f>VLOOKUP(E1381,Lookup_Tables!$A$3:$B$5,2,)</f>
        <v>6654.5079365079364</v>
      </c>
      <c r="AJ1381" t="str">
        <f t="shared" si="86"/>
        <v>Below salary</v>
      </c>
      <c r="AK1381" t="str">
        <f t="shared" si="87"/>
        <v>Medium Risk</v>
      </c>
    </row>
    <row r="1382" spans="1:37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t="s">
        <v>46</v>
      </c>
      <c r="L1382">
        <v>71</v>
      </c>
      <c r="M1382">
        <v>3</v>
      </c>
      <c r="N1382">
        <v>2</v>
      </c>
      <c r="O1382" t="s">
        <v>40</v>
      </c>
      <c r="P1382">
        <v>1</v>
      </c>
      <c r="Q1382" t="s">
        <v>48</v>
      </c>
      <c r="R1382" s="3">
        <v>5561</v>
      </c>
      <c r="S1382">
        <v>15975</v>
      </c>
      <c r="T1382">
        <v>0</v>
      </c>
      <c r="U1382" t="s">
        <v>43</v>
      </c>
      <c r="V1382" s="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tr">
        <f t="shared" si="84"/>
        <v>26-35</v>
      </c>
      <c r="AH1382" t="str">
        <f t="shared" si="85"/>
        <v>Mid</v>
      </c>
      <c r="AI1382" s="1">
        <f>VLOOKUP(E1382,Lookup_Tables!$A$3:$B$5,2,)</f>
        <v>6959.17264573991</v>
      </c>
      <c r="AJ1382" t="str">
        <f t="shared" si="86"/>
        <v>Below salary</v>
      </c>
      <c r="AK1382" t="str">
        <f t="shared" si="87"/>
        <v>Medium Risk</v>
      </c>
    </row>
    <row r="1383" spans="1:37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t="s">
        <v>46</v>
      </c>
      <c r="L1383">
        <v>49</v>
      </c>
      <c r="M1383">
        <v>3</v>
      </c>
      <c r="N1383">
        <v>1</v>
      </c>
      <c r="O1383" t="s">
        <v>47</v>
      </c>
      <c r="P1383">
        <v>3</v>
      </c>
      <c r="Q1383" t="s">
        <v>41</v>
      </c>
      <c r="R1383" s="3">
        <v>2144</v>
      </c>
      <c r="S1383">
        <v>2122</v>
      </c>
      <c r="T1383">
        <v>1</v>
      </c>
      <c r="U1383" t="s">
        <v>43</v>
      </c>
      <c r="V1383" s="2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tr">
        <f t="shared" si="84"/>
        <v>26-35</v>
      </c>
      <c r="AH1383" t="str">
        <f t="shared" si="85"/>
        <v>Low</v>
      </c>
      <c r="AI1383" s="1">
        <f>VLOOKUP(E1383,Lookup_Tables!$A$3:$B$5,2,)</f>
        <v>6281.2528616024974</v>
      </c>
      <c r="AJ1383" t="str">
        <f t="shared" si="86"/>
        <v>Below salary</v>
      </c>
      <c r="AK1383" t="str">
        <f t="shared" si="87"/>
        <v>Low Risk</v>
      </c>
    </row>
    <row r="1384" spans="1:37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t="s">
        <v>46</v>
      </c>
      <c r="L1384">
        <v>48</v>
      </c>
      <c r="M1384">
        <v>3</v>
      </c>
      <c r="N1384">
        <v>1</v>
      </c>
      <c r="O1384" t="s">
        <v>47</v>
      </c>
      <c r="P1384">
        <v>1</v>
      </c>
      <c r="Q1384" t="s">
        <v>52</v>
      </c>
      <c r="R1384" s="3">
        <v>3065</v>
      </c>
      <c r="S1384">
        <v>3995</v>
      </c>
      <c r="T1384">
        <v>1</v>
      </c>
      <c r="U1384" t="s">
        <v>35</v>
      </c>
      <c r="V1384" s="2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tr">
        <f t="shared" si="84"/>
        <v>26-35</v>
      </c>
      <c r="AH1384" t="str">
        <f t="shared" si="85"/>
        <v>Mid</v>
      </c>
      <c r="AI1384" s="1">
        <f>VLOOKUP(E1384,Lookup_Tables!$A$3:$B$5,2,)</f>
        <v>6281.2528616024974</v>
      </c>
      <c r="AJ1384" t="str">
        <f t="shared" si="86"/>
        <v>Below salary</v>
      </c>
      <c r="AK1384" t="str">
        <f t="shared" si="87"/>
        <v>High Risk</v>
      </c>
    </row>
    <row r="1385" spans="1:37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46</v>
      </c>
      <c r="L1385">
        <v>66</v>
      </c>
      <c r="M1385">
        <v>4</v>
      </c>
      <c r="N1385">
        <v>1</v>
      </c>
      <c r="O1385" t="s">
        <v>50</v>
      </c>
      <c r="P1385">
        <v>2</v>
      </c>
      <c r="Q1385" t="s">
        <v>48</v>
      </c>
      <c r="R1385" s="3">
        <v>2810</v>
      </c>
      <c r="S1385">
        <v>9238</v>
      </c>
      <c r="T1385">
        <v>1</v>
      </c>
      <c r="U1385" t="s">
        <v>43</v>
      </c>
      <c r="V1385" s="2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tr">
        <f t="shared" si="84"/>
        <v>36-45</v>
      </c>
      <c r="AH1385" t="str">
        <f t="shared" si="85"/>
        <v>Low</v>
      </c>
      <c r="AI1385" s="1">
        <f>VLOOKUP(E1385,Lookup_Tables!$A$3:$B$5,2,)</f>
        <v>6281.2528616024974</v>
      </c>
      <c r="AJ1385" t="str">
        <f t="shared" si="86"/>
        <v>Below salary</v>
      </c>
      <c r="AK1385" t="str">
        <f t="shared" si="87"/>
        <v>Medium Risk</v>
      </c>
    </row>
    <row r="1386" spans="1:37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1950</v>
      </c>
      <c r="J1386">
        <v>1</v>
      </c>
      <c r="K1386" t="s">
        <v>46</v>
      </c>
      <c r="L1386">
        <v>32</v>
      </c>
      <c r="M1386">
        <v>3</v>
      </c>
      <c r="N1386">
        <v>3</v>
      </c>
      <c r="O1386" t="s">
        <v>40</v>
      </c>
      <c r="P1386">
        <v>4</v>
      </c>
      <c r="Q1386" t="s">
        <v>41</v>
      </c>
      <c r="R1386" s="3">
        <v>9888</v>
      </c>
      <c r="S1386">
        <v>6770</v>
      </c>
      <c r="T1386">
        <v>1</v>
      </c>
      <c r="U1386" t="s">
        <v>43</v>
      </c>
      <c r="V1386" s="2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tr">
        <f t="shared" si="84"/>
        <v>26-35</v>
      </c>
      <c r="AH1386" t="str">
        <f t="shared" si="85"/>
        <v>High</v>
      </c>
      <c r="AI1386" s="1">
        <f>VLOOKUP(E1386,Lookup_Tables!$A$3:$B$5,2,)</f>
        <v>6959.17264573991</v>
      </c>
      <c r="AJ1386" t="str">
        <f t="shared" si="86"/>
        <v>Above salary</v>
      </c>
      <c r="AK1386" t="str">
        <f t="shared" si="87"/>
        <v>Low Risk</v>
      </c>
    </row>
    <row r="1387" spans="1:37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t="s">
        <v>46</v>
      </c>
      <c r="L1387">
        <v>39</v>
      </c>
      <c r="M1387">
        <v>3</v>
      </c>
      <c r="N1387">
        <v>3</v>
      </c>
      <c r="O1387" t="s">
        <v>40</v>
      </c>
      <c r="P1387">
        <v>3</v>
      </c>
      <c r="Q1387" t="s">
        <v>52</v>
      </c>
      <c r="R1387" s="3">
        <v>8628</v>
      </c>
      <c r="S1387">
        <v>22914</v>
      </c>
      <c r="T1387">
        <v>1</v>
      </c>
      <c r="U1387" t="s">
        <v>43</v>
      </c>
      <c r="V1387" s="2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tr">
        <f t="shared" si="84"/>
        <v>26-35</v>
      </c>
      <c r="AH1387" t="str">
        <f t="shared" si="85"/>
        <v>High</v>
      </c>
      <c r="AI1387" s="1">
        <f>VLOOKUP(E1387,Lookup_Tables!$A$3:$B$5,2,)</f>
        <v>6959.17264573991</v>
      </c>
      <c r="AJ1387" t="str">
        <f t="shared" si="86"/>
        <v>Above salary</v>
      </c>
      <c r="AK1387" t="str">
        <f t="shared" si="87"/>
        <v>Low Risk</v>
      </c>
    </row>
    <row r="1388" spans="1:37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t="s">
        <v>46</v>
      </c>
      <c r="L1388">
        <v>95</v>
      </c>
      <c r="M1388">
        <v>3</v>
      </c>
      <c r="N1388">
        <v>1</v>
      </c>
      <c r="O1388" t="s">
        <v>50</v>
      </c>
      <c r="P1388">
        <v>1</v>
      </c>
      <c r="Q1388" t="s">
        <v>41</v>
      </c>
      <c r="R1388" s="3">
        <v>2867</v>
      </c>
      <c r="S1388">
        <v>20006</v>
      </c>
      <c r="T1388">
        <v>0</v>
      </c>
      <c r="U1388" t="s">
        <v>43</v>
      </c>
      <c r="V1388" s="2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tr">
        <f t="shared" si="84"/>
        <v>26-35</v>
      </c>
      <c r="AH1388" t="str">
        <f t="shared" si="85"/>
        <v>Low</v>
      </c>
      <c r="AI1388" s="1">
        <f>VLOOKUP(E1388,Lookup_Tables!$A$3:$B$5,2,)</f>
        <v>6281.2528616024974</v>
      </c>
      <c r="AJ1388" t="str">
        <f t="shared" si="86"/>
        <v>Below salary</v>
      </c>
      <c r="AK1388" t="str">
        <f t="shared" si="87"/>
        <v>Medium Risk</v>
      </c>
    </row>
    <row r="1389" spans="1:37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46</v>
      </c>
      <c r="L1389">
        <v>89</v>
      </c>
      <c r="M1389">
        <v>3</v>
      </c>
      <c r="N1389">
        <v>2</v>
      </c>
      <c r="O1389" t="s">
        <v>54</v>
      </c>
      <c r="P1389">
        <v>1</v>
      </c>
      <c r="Q1389" t="s">
        <v>48</v>
      </c>
      <c r="R1389" s="3">
        <v>5373</v>
      </c>
      <c r="S1389">
        <v>6225</v>
      </c>
      <c r="T1389">
        <v>0</v>
      </c>
      <c r="U1389" t="s">
        <v>43</v>
      </c>
      <c r="V1389" s="2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tr">
        <f t="shared" si="84"/>
        <v>26-35</v>
      </c>
      <c r="AH1389" t="str">
        <f t="shared" si="85"/>
        <v>Mid</v>
      </c>
      <c r="AI1389" s="1">
        <f>VLOOKUP(E1389,Lookup_Tables!$A$3:$B$5,2,)</f>
        <v>6281.2528616024974</v>
      </c>
      <c r="AJ1389" t="str">
        <f t="shared" si="86"/>
        <v>Below salary</v>
      </c>
      <c r="AK1389" t="str">
        <f t="shared" si="87"/>
        <v>Medium Risk</v>
      </c>
    </row>
    <row r="1390" spans="1:37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t="s">
        <v>39</v>
      </c>
      <c r="L1390">
        <v>34</v>
      </c>
      <c r="M1390">
        <v>3</v>
      </c>
      <c r="N1390">
        <v>2</v>
      </c>
      <c r="O1390" t="s">
        <v>54</v>
      </c>
      <c r="P1390">
        <v>4</v>
      </c>
      <c r="Q1390" t="s">
        <v>52</v>
      </c>
      <c r="R1390" s="3">
        <v>6667</v>
      </c>
      <c r="S1390">
        <v>16542</v>
      </c>
      <c r="T1390">
        <v>5</v>
      </c>
      <c r="U1390" t="s">
        <v>43</v>
      </c>
      <c r="V1390" s="2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tr">
        <f t="shared" si="84"/>
        <v>26-35</v>
      </c>
      <c r="AH1390" t="str">
        <f t="shared" si="85"/>
        <v>Mid</v>
      </c>
      <c r="AI1390" s="1">
        <f>VLOOKUP(E1390,Lookup_Tables!$A$3:$B$5,2,)</f>
        <v>6281.2528616024974</v>
      </c>
      <c r="AJ1390" t="str">
        <f t="shared" si="86"/>
        <v>Above salary</v>
      </c>
      <c r="AK1390" t="str">
        <f t="shared" si="87"/>
        <v>Low Risk</v>
      </c>
    </row>
    <row r="1391" spans="1:37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46</v>
      </c>
      <c r="L1391">
        <v>48</v>
      </c>
      <c r="M1391">
        <v>1</v>
      </c>
      <c r="N1391">
        <v>2</v>
      </c>
      <c r="O1391" t="s">
        <v>47</v>
      </c>
      <c r="P1391">
        <v>1</v>
      </c>
      <c r="Q1391" t="s">
        <v>48</v>
      </c>
      <c r="R1391" s="3">
        <v>5003</v>
      </c>
      <c r="S1391">
        <v>5771</v>
      </c>
      <c r="T1391">
        <v>1</v>
      </c>
      <c r="U1391" t="s">
        <v>43</v>
      </c>
      <c r="V1391" s="2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tr">
        <f t="shared" si="84"/>
        <v>26-35</v>
      </c>
      <c r="AH1391" t="str">
        <f t="shared" si="85"/>
        <v>Mid</v>
      </c>
      <c r="AI1391" s="1">
        <f>VLOOKUP(E1391,Lookup_Tables!$A$3:$B$5,2,)</f>
        <v>6281.2528616024974</v>
      </c>
      <c r="AJ1391" t="str">
        <f t="shared" si="86"/>
        <v>Below salary</v>
      </c>
      <c r="AK1391" t="str">
        <f t="shared" si="87"/>
        <v>Medium Risk</v>
      </c>
    </row>
    <row r="1392" spans="1:37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1960</v>
      </c>
      <c r="J1392">
        <v>3</v>
      </c>
      <c r="K1392" t="s">
        <v>46</v>
      </c>
      <c r="L1392">
        <v>32</v>
      </c>
      <c r="M1392">
        <v>2</v>
      </c>
      <c r="N1392">
        <v>1</v>
      </c>
      <c r="O1392" t="s">
        <v>50</v>
      </c>
      <c r="P1392">
        <v>4</v>
      </c>
      <c r="Q1392" t="s">
        <v>52</v>
      </c>
      <c r="R1392" s="3">
        <v>2367</v>
      </c>
      <c r="S1392">
        <v>18779</v>
      </c>
      <c r="T1392">
        <v>5</v>
      </c>
      <c r="U1392" t="s">
        <v>43</v>
      </c>
      <c r="V1392" s="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tr">
        <f t="shared" si="84"/>
        <v>26-35</v>
      </c>
      <c r="AH1392" t="str">
        <f t="shared" si="85"/>
        <v>Low</v>
      </c>
      <c r="AI1392" s="1">
        <f>VLOOKUP(E1392,Lookup_Tables!$A$3:$B$5,2,)</f>
        <v>6281.2528616024974</v>
      </c>
      <c r="AJ1392" t="str">
        <f t="shared" si="86"/>
        <v>Below salary</v>
      </c>
      <c r="AK1392" t="str">
        <f t="shared" si="87"/>
        <v>Low Risk</v>
      </c>
    </row>
    <row r="1393" spans="1:37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46</v>
      </c>
      <c r="L1393">
        <v>59</v>
      </c>
      <c r="M1393">
        <v>2</v>
      </c>
      <c r="N1393">
        <v>1</v>
      </c>
      <c r="O1393" t="s">
        <v>57</v>
      </c>
      <c r="P1393">
        <v>1</v>
      </c>
      <c r="Q1393" t="s">
        <v>41</v>
      </c>
      <c r="R1393" s="3">
        <v>2858</v>
      </c>
      <c r="S1393">
        <v>11473</v>
      </c>
      <c r="T1393">
        <v>4</v>
      </c>
      <c r="U1393" t="s">
        <v>43</v>
      </c>
      <c r="V1393" s="2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tr">
        <f t="shared" si="84"/>
        <v>36-45</v>
      </c>
      <c r="AH1393" t="str">
        <f t="shared" si="85"/>
        <v>Low</v>
      </c>
      <c r="AI1393" s="1">
        <f>VLOOKUP(E1393,Lookup_Tables!$A$3:$B$5,2,)</f>
        <v>6959.17264573991</v>
      </c>
      <c r="AJ1393" t="str">
        <f t="shared" si="86"/>
        <v>Below salary</v>
      </c>
      <c r="AK1393" t="str">
        <f t="shared" si="87"/>
        <v>Medium Risk</v>
      </c>
    </row>
    <row r="1394" spans="1:37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55</v>
      </c>
      <c r="M1394">
        <v>3</v>
      </c>
      <c r="N1394">
        <v>2</v>
      </c>
      <c r="O1394" t="s">
        <v>40</v>
      </c>
      <c r="P1394">
        <v>4</v>
      </c>
      <c r="Q1394" t="s">
        <v>48</v>
      </c>
      <c r="R1394" s="3">
        <v>5204</v>
      </c>
      <c r="S1394">
        <v>13586</v>
      </c>
      <c r="T1394">
        <v>1</v>
      </c>
      <c r="U1394" t="s">
        <v>35</v>
      </c>
      <c r="V1394" s="2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tr">
        <f t="shared" si="84"/>
        <v>26-35</v>
      </c>
      <c r="AH1394" t="str">
        <f t="shared" si="85"/>
        <v>Mid</v>
      </c>
      <c r="AI1394" s="1">
        <f>VLOOKUP(E1394,Lookup_Tables!$A$3:$B$5,2,)</f>
        <v>6959.17264573991</v>
      </c>
      <c r="AJ1394" t="str">
        <f t="shared" si="86"/>
        <v>Below salary</v>
      </c>
      <c r="AK1394" t="str">
        <f t="shared" si="87"/>
        <v>Medium Risk</v>
      </c>
    </row>
    <row r="1395" spans="1:37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1965</v>
      </c>
      <c r="J1395">
        <v>4</v>
      </c>
      <c r="K1395" t="s">
        <v>46</v>
      </c>
      <c r="L1395">
        <v>44</v>
      </c>
      <c r="M1395">
        <v>3</v>
      </c>
      <c r="N1395">
        <v>2</v>
      </c>
      <c r="O1395" t="s">
        <v>40</v>
      </c>
      <c r="P1395">
        <v>4</v>
      </c>
      <c r="Q1395" t="s">
        <v>41</v>
      </c>
      <c r="R1395" s="3">
        <v>4105</v>
      </c>
      <c r="S1395">
        <v>5099</v>
      </c>
      <c r="T1395">
        <v>1</v>
      </c>
      <c r="U1395" t="s">
        <v>43</v>
      </c>
      <c r="V1395" s="2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tr">
        <f t="shared" si="84"/>
        <v>26-35</v>
      </c>
      <c r="AH1395" t="str">
        <f t="shared" si="85"/>
        <v>Mid</v>
      </c>
      <c r="AI1395" s="1">
        <f>VLOOKUP(E1395,Lookup_Tables!$A$3:$B$5,2,)</f>
        <v>6959.17264573991</v>
      </c>
      <c r="AJ1395" t="str">
        <f t="shared" si="86"/>
        <v>Below salary</v>
      </c>
      <c r="AK1395" t="str">
        <f t="shared" si="87"/>
        <v>Low Risk</v>
      </c>
    </row>
    <row r="1396" spans="1:37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46</v>
      </c>
      <c r="L1396">
        <v>56</v>
      </c>
      <c r="M1396">
        <v>2</v>
      </c>
      <c r="N1396">
        <v>2</v>
      </c>
      <c r="O1396" t="s">
        <v>53</v>
      </c>
      <c r="P1396">
        <v>4</v>
      </c>
      <c r="Q1396" t="s">
        <v>41</v>
      </c>
      <c r="R1396" s="3">
        <v>9679</v>
      </c>
      <c r="S1396">
        <v>10138</v>
      </c>
      <c r="T1396">
        <v>8</v>
      </c>
      <c r="U1396" t="s">
        <v>43</v>
      </c>
      <c r="V1396" s="2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tr">
        <f t="shared" si="84"/>
        <v>26-35</v>
      </c>
      <c r="AH1396" t="str">
        <f t="shared" si="85"/>
        <v>High</v>
      </c>
      <c r="AI1396" s="1">
        <f>VLOOKUP(E1396,Lookup_Tables!$A$3:$B$5,2,)</f>
        <v>6281.2528616024974</v>
      </c>
      <c r="AJ1396" t="str">
        <f t="shared" si="86"/>
        <v>Above salary</v>
      </c>
      <c r="AK1396" t="str">
        <f t="shared" si="87"/>
        <v>Low Risk</v>
      </c>
    </row>
    <row r="1397" spans="1:37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1967</v>
      </c>
      <c r="J1397">
        <v>1</v>
      </c>
      <c r="K1397" t="s">
        <v>46</v>
      </c>
      <c r="L1397">
        <v>63</v>
      </c>
      <c r="M1397">
        <v>3</v>
      </c>
      <c r="N1397">
        <v>2</v>
      </c>
      <c r="O1397" t="s">
        <v>40</v>
      </c>
      <c r="P1397">
        <v>4</v>
      </c>
      <c r="Q1397" t="s">
        <v>48</v>
      </c>
      <c r="R1397" s="3">
        <v>5617</v>
      </c>
      <c r="S1397">
        <v>21075</v>
      </c>
      <c r="T1397">
        <v>1</v>
      </c>
      <c r="U1397" t="s">
        <v>35</v>
      </c>
      <c r="V1397" s="2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tr">
        <f t="shared" si="84"/>
        <v>26-35</v>
      </c>
      <c r="AH1397" t="str">
        <f t="shared" si="85"/>
        <v>Mid</v>
      </c>
      <c r="AI1397" s="1">
        <f>VLOOKUP(E1397,Lookup_Tables!$A$3:$B$5,2,)</f>
        <v>6959.17264573991</v>
      </c>
      <c r="AJ1397" t="str">
        <f t="shared" si="86"/>
        <v>Below salary</v>
      </c>
      <c r="AK1397" t="str">
        <f t="shared" si="87"/>
        <v>Medium Risk</v>
      </c>
    </row>
    <row r="1398" spans="1:37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46</v>
      </c>
      <c r="L1398">
        <v>66</v>
      </c>
      <c r="M1398">
        <v>3</v>
      </c>
      <c r="N1398">
        <v>3</v>
      </c>
      <c r="O1398" t="s">
        <v>40</v>
      </c>
      <c r="P1398">
        <v>1</v>
      </c>
      <c r="Q1398" t="s">
        <v>41</v>
      </c>
      <c r="R1398" s="3">
        <v>10448</v>
      </c>
      <c r="S1398">
        <v>5843</v>
      </c>
      <c r="T1398">
        <v>6</v>
      </c>
      <c r="U1398" t="s">
        <v>35</v>
      </c>
      <c r="V1398" s="2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tr">
        <f t="shared" si="84"/>
        <v>46+</v>
      </c>
      <c r="AH1398" t="str">
        <f t="shared" si="85"/>
        <v>High</v>
      </c>
      <c r="AI1398" s="1">
        <f>VLOOKUP(E1398,Lookup_Tables!$A$3:$B$5,2,)</f>
        <v>6959.17264573991</v>
      </c>
      <c r="AJ1398" t="str">
        <f t="shared" si="86"/>
        <v>Above salary</v>
      </c>
      <c r="AK1398" t="str">
        <f t="shared" si="87"/>
        <v>High Risk</v>
      </c>
    </row>
    <row r="1399" spans="1:37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67</v>
      </c>
      <c r="M1399">
        <v>3</v>
      </c>
      <c r="N1399">
        <v>2</v>
      </c>
      <c r="O1399" t="s">
        <v>47</v>
      </c>
      <c r="P1399">
        <v>3</v>
      </c>
      <c r="Q1399" t="s">
        <v>48</v>
      </c>
      <c r="R1399" s="3">
        <v>2897</v>
      </c>
      <c r="S1399">
        <v>22474</v>
      </c>
      <c r="T1399">
        <v>3</v>
      </c>
      <c r="U1399" t="s">
        <v>43</v>
      </c>
      <c r="V1399" s="2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tr">
        <f t="shared" si="84"/>
        <v>46+</v>
      </c>
      <c r="AH1399" t="str">
        <f t="shared" si="85"/>
        <v>Low</v>
      </c>
      <c r="AI1399" s="1">
        <f>VLOOKUP(E1399,Lookup_Tables!$A$3:$B$5,2,)</f>
        <v>6281.2528616024974</v>
      </c>
      <c r="AJ1399" t="str">
        <f t="shared" si="86"/>
        <v>Below salary</v>
      </c>
      <c r="AK1399" t="str">
        <f t="shared" si="87"/>
        <v>Low Risk</v>
      </c>
    </row>
    <row r="1400" spans="1:37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46</v>
      </c>
      <c r="L1400">
        <v>36</v>
      </c>
      <c r="M1400">
        <v>3</v>
      </c>
      <c r="N1400">
        <v>2</v>
      </c>
      <c r="O1400" t="s">
        <v>54</v>
      </c>
      <c r="P1400">
        <v>3</v>
      </c>
      <c r="Q1400" t="s">
        <v>52</v>
      </c>
      <c r="R1400" s="3">
        <v>5968</v>
      </c>
      <c r="S1400">
        <v>18079</v>
      </c>
      <c r="T1400">
        <v>1</v>
      </c>
      <c r="U1400" t="s">
        <v>43</v>
      </c>
      <c r="V1400" s="2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tr">
        <f t="shared" si="84"/>
        <v>26-35</v>
      </c>
      <c r="AH1400" t="str">
        <f t="shared" si="85"/>
        <v>Mid</v>
      </c>
      <c r="AI1400" s="1">
        <f>VLOOKUP(E1400,Lookup_Tables!$A$3:$B$5,2,)</f>
        <v>6281.2528616024974</v>
      </c>
      <c r="AJ1400" t="str">
        <f t="shared" si="86"/>
        <v>Below salary</v>
      </c>
      <c r="AK1400" t="str">
        <f t="shared" si="87"/>
        <v>Low Risk</v>
      </c>
    </row>
    <row r="1401" spans="1:37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46</v>
      </c>
      <c r="L1401">
        <v>30</v>
      </c>
      <c r="M1401">
        <v>3</v>
      </c>
      <c r="N1401">
        <v>3</v>
      </c>
      <c r="O1401" t="s">
        <v>54</v>
      </c>
      <c r="P1401">
        <v>3</v>
      </c>
      <c r="Q1401" t="s">
        <v>48</v>
      </c>
      <c r="R1401" s="3">
        <v>7510</v>
      </c>
      <c r="S1401">
        <v>16873</v>
      </c>
      <c r="T1401">
        <v>1</v>
      </c>
      <c r="U1401" t="s">
        <v>43</v>
      </c>
      <c r="V1401" s="2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tr">
        <f t="shared" si="84"/>
        <v>36-45</v>
      </c>
      <c r="AH1401" t="str">
        <f t="shared" si="85"/>
        <v>High</v>
      </c>
      <c r="AI1401" s="1">
        <f>VLOOKUP(E1401,Lookup_Tables!$A$3:$B$5,2,)</f>
        <v>6281.2528616024974</v>
      </c>
      <c r="AJ1401" t="str">
        <f t="shared" si="86"/>
        <v>Above salary</v>
      </c>
      <c r="AK1401" t="str">
        <f t="shared" si="87"/>
        <v>Low Risk</v>
      </c>
    </row>
    <row r="1402" spans="1:37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t="s">
        <v>46</v>
      </c>
      <c r="L1402">
        <v>88</v>
      </c>
      <c r="M1402">
        <v>3</v>
      </c>
      <c r="N1402">
        <v>1</v>
      </c>
      <c r="O1402" t="s">
        <v>61</v>
      </c>
      <c r="P1402">
        <v>2</v>
      </c>
      <c r="Q1402" t="s">
        <v>48</v>
      </c>
      <c r="R1402" s="3">
        <v>2991</v>
      </c>
      <c r="S1402">
        <v>5224</v>
      </c>
      <c r="T1402">
        <v>0</v>
      </c>
      <c r="U1402" t="s">
        <v>35</v>
      </c>
      <c r="V1402" s="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tr">
        <f t="shared" si="84"/>
        <v>36-45</v>
      </c>
      <c r="AH1402" t="str">
        <f t="shared" si="85"/>
        <v>Low</v>
      </c>
      <c r="AI1402" s="1">
        <f>VLOOKUP(E1402,Lookup_Tables!$A$3:$B$5,2,)</f>
        <v>6654.5079365079364</v>
      </c>
      <c r="AJ1402" t="str">
        <f t="shared" si="86"/>
        <v>Below salary</v>
      </c>
      <c r="AK1402" t="str">
        <f t="shared" si="87"/>
        <v>High Risk</v>
      </c>
    </row>
    <row r="1403" spans="1:37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1973</v>
      </c>
      <c r="J1403">
        <v>3</v>
      </c>
      <c r="K1403" t="s">
        <v>46</v>
      </c>
      <c r="L1403">
        <v>71</v>
      </c>
      <c r="M1403">
        <v>4</v>
      </c>
      <c r="N1403">
        <v>5</v>
      </c>
      <c r="O1403" t="s">
        <v>56</v>
      </c>
      <c r="P1403">
        <v>2</v>
      </c>
      <c r="Q1403" t="s">
        <v>48</v>
      </c>
      <c r="R1403" s="3">
        <v>19636</v>
      </c>
      <c r="S1403">
        <v>25811</v>
      </c>
      <c r="T1403">
        <v>4</v>
      </c>
      <c r="U1403" t="s">
        <v>35</v>
      </c>
      <c r="V1403" s="2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tr">
        <f t="shared" si="84"/>
        <v>46+</v>
      </c>
      <c r="AH1403" t="str">
        <f t="shared" si="85"/>
        <v>Very High</v>
      </c>
      <c r="AI1403" s="1">
        <f>VLOOKUP(E1403,Lookup_Tables!$A$3:$B$5,2,)</f>
        <v>6654.5079365079364</v>
      </c>
      <c r="AJ1403" t="str">
        <f t="shared" si="86"/>
        <v>Above salary</v>
      </c>
      <c r="AK1403" t="str">
        <f t="shared" si="87"/>
        <v>High Risk</v>
      </c>
    </row>
    <row r="1404" spans="1:37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t="s">
        <v>39</v>
      </c>
      <c r="L1404">
        <v>59</v>
      </c>
      <c r="M1404">
        <v>1</v>
      </c>
      <c r="N1404">
        <v>1</v>
      </c>
      <c r="O1404" t="s">
        <v>50</v>
      </c>
      <c r="P1404">
        <v>4</v>
      </c>
      <c r="Q1404" t="s">
        <v>52</v>
      </c>
      <c r="R1404" s="3">
        <v>1129</v>
      </c>
      <c r="S1404">
        <v>17536</v>
      </c>
      <c r="T1404">
        <v>1</v>
      </c>
      <c r="U1404" t="s">
        <v>35</v>
      </c>
      <c r="V1404" s="2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tr">
        <f t="shared" si="84"/>
        <v>26-35</v>
      </c>
      <c r="AH1404" t="str">
        <f t="shared" si="85"/>
        <v>Low</v>
      </c>
      <c r="AI1404" s="1">
        <f>VLOOKUP(E1404,Lookup_Tables!$A$3:$B$5,2,)</f>
        <v>6281.2528616024974</v>
      </c>
      <c r="AJ1404" t="str">
        <f t="shared" si="86"/>
        <v>Below salary</v>
      </c>
      <c r="AK1404" t="str">
        <f t="shared" si="87"/>
        <v>Medium Risk</v>
      </c>
    </row>
    <row r="1405" spans="1:37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1975</v>
      </c>
      <c r="J1405">
        <v>2</v>
      </c>
      <c r="K1405" t="s">
        <v>46</v>
      </c>
      <c r="L1405">
        <v>77</v>
      </c>
      <c r="M1405">
        <v>3</v>
      </c>
      <c r="N1405">
        <v>4</v>
      </c>
      <c r="O1405" t="s">
        <v>40</v>
      </c>
      <c r="P1405">
        <v>1</v>
      </c>
      <c r="Q1405" t="s">
        <v>41</v>
      </c>
      <c r="R1405" s="3">
        <v>13341</v>
      </c>
      <c r="S1405">
        <v>25098</v>
      </c>
      <c r="T1405">
        <v>0</v>
      </c>
      <c r="U1405" t="s">
        <v>43</v>
      </c>
      <c r="V1405" s="2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tr">
        <f t="shared" si="84"/>
        <v>36-45</v>
      </c>
      <c r="AH1405" t="str">
        <f t="shared" si="85"/>
        <v>Very High</v>
      </c>
      <c r="AI1405" s="1">
        <f>VLOOKUP(E1405,Lookup_Tables!$A$3:$B$5,2,)</f>
        <v>6959.17264573991</v>
      </c>
      <c r="AJ1405" t="str">
        <f t="shared" si="86"/>
        <v>Above salary</v>
      </c>
      <c r="AK1405" t="str">
        <f t="shared" si="87"/>
        <v>Medium Risk</v>
      </c>
    </row>
    <row r="1406" spans="1:37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46</v>
      </c>
      <c r="L1406">
        <v>37</v>
      </c>
      <c r="M1406">
        <v>2</v>
      </c>
      <c r="N1406">
        <v>2</v>
      </c>
      <c r="O1406" t="s">
        <v>47</v>
      </c>
      <c r="P1406">
        <v>3</v>
      </c>
      <c r="Q1406" t="s">
        <v>41</v>
      </c>
      <c r="R1406" s="3">
        <v>4332</v>
      </c>
      <c r="S1406">
        <v>14811</v>
      </c>
      <c r="T1406">
        <v>1</v>
      </c>
      <c r="U1406" t="s">
        <v>43</v>
      </c>
      <c r="V1406" s="2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tr">
        <f t="shared" si="84"/>
        <v>36-45</v>
      </c>
      <c r="AH1406" t="str">
        <f t="shared" si="85"/>
        <v>Mid</v>
      </c>
      <c r="AI1406" s="1">
        <f>VLOOKUP(E1406,Lookup_Tables!$A$3:$B$5,2,)</f>
        <v>6281.2528616024974</v>
      </c>
      <c r="AJ1406" t="str">
        <f t="shared" si="86"/>
        <v>Below salary</v>
      </c>
      <c r="AK1406" t="str">
        <f t="shared" si="87"/>
        <v>Low Risk</v>
      </c>
    </row>
    <row r="1407" spans="1:37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t="s">
        <v>39</v>
      </c>
      <c r="L1407">
        <v>40</v>
      </c>
      <c r="M1407">
        <v>3</v>
      </c>
      <c r="N1407">
        <v>3</v>
      </c>
      <c r="O1407" t="s">
        <v>58</v>
      </c>
      <c r="P1407">
        <v>3</v>
      </c>
      <c r="Q1407" t="s">
        <v>48</v>
      </c>
      <c r="R1407" s="3">
        <v>11031</v>
      </c>
      <c r="S1407">
        <v>26862</v>
      </c>
      <c r="T1407">
        <v>4</v>
      </c>
      <c r="U1407" t="s">
        <v>43</v>
      </c>
      <c r="V1407" s="2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tr">
        <f t="shared" si="84"/>
        <v>26-35</v>
      </c>
      <c r="AH1407" t="str">
        <f t="shared" si="85"/>
        <v>High</v>
      </c>
      <c r="AI1407" s="1">
        <f>VLOOKUP(E1407,Lookup_Tables!$A$3:$B$5,2,)</f>
        <v>6281.2528616024974</v>
      </c>
      <c r="AJ1407" t="str">
        <f t="shared" si="86"/>
        <v>Above salary</v>
      </c>
      <c r="AK1407" t="str">
        <f t="shared" si="87"/>
        <v>Low Risk</v>
      </c>
    </row>
    <row r="1408" spans="1:37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t="s">
        <v>39</v>
      </c>
      <c r="L1408">
        <v>77</v>
      </c>
      <c r="M1408">
        <v>3</v>
      </c>
      <c r="N1408">
        <v>2</v>
      </c>
      <c r="O1408" t="s">
        <v>53</v>
      </c>
      <c r="P1408">
        <v>1</v>
      </c>
      <c r="Q1408" t="s">
        <v>41</v>
      </c>
      <c r="R1408" s="3">
        <v>4440</v>
      </c>
      <c r="S1408">
        <v>25198</v>
      </c>
      <c r="T1408">
        <v>6</v>
      </c>
      <c r="U1408" t="s">
        <v>35</v>
      </c>
      <c r="V1408" s="2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tr">
        <f t="shared" si="84"/>
        <v>46+</v>
      </c>
      <c r="AH1408" t="str">
        <f t="shared" si="85"/>
        <v>Mid</v>
      </c>
      <c r="AI1408" s="1">
        <f>VLOOKUP(E1408,Lookup_Tables!$A$3:$B$5,2,)</f>
        <v>6281.2528616024974</v>
      </c>
      <c r="AJ1408" t="str">
        <f t="shared" si="86"/>
        <v>Below salary</v>
      </c>
      <c r="AK1408" t="str">
        <f t="shared" si="87"/>
        <v>High Risk</v>
      </c>
    </row>
    <row r="1409" spans="1:37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46</v>
      </c>
      <c r="L1409">
        <v>45</v>
      </c>
      <c r="M1409">
        <v>2</v>
      </c>
      <c r="N1409">
        <v>2</v>
      </c>
      <c r="O1409" t="s">
        <v>54</v>
      </c>
      <c r="P1409">
        <v>3</v>
      </c>
      <c r="Q1409" t="s">
        <v>41</v>
      </c>
      <c r="R1409" s="3">
        <v>4617</v>
      </c>
      <c r="S1409">
        <v>14120</v>
      </c>
      <c r="T1409">
        <v>1</v>
      </c>
      <c r="U1409" t="s">
        <v>43</v>
      </c>
      <c r="V1409" s="2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tr">
        <f t="shared" si="84"/>
        <v>18-25</v>
      </c>
      <c r="AH1409" t="str">
        <f t="shared" si="85"/>
        <v>Mid</v>
      </c>
      <c r="AI1409" s="1">
        <f>VLOOKUP(E1409,Lookup_Tables!$A$3:$B$5,2,)</f>
        <v>6281.2528616024974</v>
      </c>
      <c r="AJ1409" t="str">
        <f t="shared" si="86"/>
        <v>Below salary</v>
      </c>
      <c r="AK1409" t="str">
        <f t="shared" si="87"/>
        <v>Low Risk</v>
      </c>
    </row>
    <row r="1410" spans="1:37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t="s">
        <v>46</v>
      </c>
      <c r="L1410">
        <v>78</v>
      </c>
      <c r="M1410">
        <v>3</v>
      </c>
      <c r="N1410">
        <v>1</v>
      </c>
      <c r="O1410" t="s">
        <v>50</v>
      </c>
      <c r="P1410">
        <v>4</v>
      </c>
      <c r="Q1410" t="s">
        <v>41</v>
      </c>
      <c r="R1410" s="3">
        <v>2647</v>
      </c>
      <c r="S1410">
        <v>13672</v>
      </c>
      <c r="T1410">
        <v>1</v>
      </c>
      <c r="U1410" t="s">
        <v>43</v>
      </c>
      <c r="V1410" s="2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tr">
        <f t="shared" ref="AG1410:AG1471" si="88">IF(A1410&lt;=25,"18-25",IF(A1410&lt;= 35, "26-35",IF(A1410&lt;=45, "36-45","46+")))</f>
        <v>18-25</v>
      </c>
      <c r="AH1410" t="str">
        <f t="shared" ref="AH1410:AH1471" si="89">IF(R1410&lt;3000,"Low",IF(R1410&lt;7000,"Mid", IF(R1410&lt;12000, "High", "Very High")))</f>
        <v>Low</v>
      </c>
      <c r="AI1410" s="1">
        <f>VLOOKUP(E1410,Lookup_Tables!$A$3:$B$5,2,)</f>
        <v>6281.2528616024974</v>
      </c>
      <c r="AJ1410" t="str">
        <f t="shared" ref="AJ1410:AJ1471" si="90">IF(R1410&gt;AI1410, "Above salary","Below salary")</f>
        <v>Below salary</v>
      </c>
      <c r="AK1410" t="str">
        <f t="shared" si="87"/>
        <v>Low Risk</v>
      </c>
    </row>
    <row r="1411" spans="1:37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1985</v>
      </c>
      <c r="J1411">
        <v>4</v>
      </c>
      <c r="K1411" t="s">
        <v>39</v>
      </c>
      <c r="L1411">
        <v>73</v>
      </c>
      <c r="M1411">
        <v>3</v>
      </c>
      <c r="N1411">
        <v>2</v>
      </c>
      <c r="O1411" t="s">
        <v>50</v>
      </c>
      <c r="P1411">
        <v>3</v>
      </c>
      <c r="Q1411" t="s">
        <v>48</v>
      </c>
      <c r="R1411" s="3">
        <v>6323</v>
      </c>
      <c r="S1411">
        <v>26849</v>
      </c>
      <c r="T1411">
        <v>1</v>
      </c>
      <c r="U1411" t="s">
        <v>43</v>
      </c>
      <c r="V1411" s="2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tr">
        <f t="shared" si="88"/>
        <v>36-45</v>
      </c>
      <c r="AH1411" t="str">
        <f t="shared" si="89"/>
        <v>Mid</v>
      </c>
      <c r="AI1411" s="1">
        <f>VLOOKUP(E1411,Lookup_Tables!$A$3:$B$5,2,)</f>
        <v>6281.2528616024974</v>
      </c>
      <c r="AJ1411" t="str">
        <f t="shared" si="90"/>
        <v>Above salary</v>
      </c>
      <c r="AK1411" t="str">
        <f t="shared" ref="AK1411:AK1471" si="91">IF(AND(P1411&lt;=2,U1411="Yes"),"High Risk",IF(OR(P1411&lt;=2,U1411="Yes"),"Medium Risk","Low Risk"))</f>
        <v>Low Risk</v>
      </c>
    </row>
    <row r="1412" spans="1:37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1986</v>
      </c>
      <c r="J1412">
        <v>2</v>
      </c>
      <c r="K1412" t="s">
        <v>39</v>
      </c>
      <c r="L1412">
        <v>92</v>
      </c>
      <c r="M1412">
        <v>3</v>
      </c>
      <c r="N1412">
        <v>2</v>
      </c>
      <c r="O1412" t="s">
        <v>40</v>
      </c>
      <c r="P1412">
        <v>2</v>
      </c>
      <c r="Q1412" t="s">
        <v>48</v>
      </c>
      <c r="R1412" s="3">
        <v>5677</v>
      </c>
      <c r="S1412">
        <v>4258</v>
      </c>
      <c r="T1412">
        <v>3</v>
      </c>
      <c r="U1412" t="s">
        <v>43</v>
      </c>
      <c r="V1412" s="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tr">
        <f t="shared" si="88"/>
        <v>36-45</v>
      </c>
      <c r="AH1412" t="str">
        <f t="shared" si="89"/>
        <v>Mid</v>
      </c>
      <c r="AI1412" s="1">
        <f>VLOOKUP(E1412,Lookup_Tables!$A$3:$B$5,2,)</f>
        <v>6959.17264573991</v>
      </c>
      <c r="AJ1412" t="str">
        <f t="shared" si="90"/>
        <v>Below salary</v>
      </c>
      <c r="AK1412" t="str">
        <f t="shared" si="91"/>
        <v>Medium Risk</v>
      </c>
    </row>
    <row r="1413" spans="1:37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1987</v>
      </c>
      <c r="J1413">
        <v>3</v>
      </c>
      <c r="K1413" t="s">
        <v>39</v>
      </c>
      <c r="L1413">
        <v>82</v>
      </c>
      <c r="M1413">
        <v>3</v>
      </c>
      <c r="N1413">
        <v>1</v>
      </c>
      <c r="O1413" t="s">
        <v>61</v>
      </c>
      <c r="P1413">
        <v>2</v>
      </c>
      <c r="Q1413" t="s">
        <v>48</v>
      </c>
      <c r="R1413" s="3">
        <v>2187</v>
      </c>
      <c r="S1413">
        <v>19655</v>
      </c>
      <c r="T1413">
        <v>4</v>
      </c>
      <c r="U1413" t="s">
        <v>43</v>
      </c>
      <c r="V1413" s="2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tr">
        <f t="shared" si="88"/>
        <v>18-25</v>
      </c>
      <c r="AH1413" t="str">
        <f t="shared" si="89"/>
        <v>Low</v>
      </c>
      <c r="AI1413" s="1">
        <f>VLOOKUP(E1413,Lookup_Tables!$A$3:$B$5,2,)</f>
        <v>6654.5079365079364</v>
      </c>
      <c r="AJ1413" t="str">
        <f t="shared" si="90"/>
        <v>Below salary</v>
      </c>
      <c r="AK1413" t="str">
        <f t="shared" si="91"/>
        <v>Medium Risk</v>
      </c>
    </row>
    <row r="1414" spans="1:37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t="s">
        <v>46</v>
      </c>
      <c r="L1414">
        <v>76</v>
      </c>
      <c r="M1414">
        <v>3</v>
      </c>
      <c r="N1414">
        <v>1</v>
      </c>
      <c r="O1414" t="s">
        <v>50</v>
      </c>
      <c r="P1414">
        <v>2</v>
      </c>
      <c r="Q1414" t="s">
        <v>48</v>
      </c>
      <c r="R1414" s="3">
        <v>3748</v>
      </c>
      <c r="S1414">
        <v>4077</v>
      </c>
      <c r="T1414">
        <v>1</v>
      </c>
      <c r="U1414" t="s">
        <v>43</v>
      </c>
      <c r="V1414" s="2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tr">
        <f t="shared" si="88"/>
        <v>26-35</v>
      </c>
      <c r="AH1414" t="str">
        <f t="shared" si="89"/>
        <v>Mid</v>
      </c>
      <c r="AI1414" s="1">
        <f>VLOOKUP(E1414,Lookup_Tables!$A$3:$B$5,2,)</f>
        <v>6281.2528616024974</v>
      </c>
      <c r="AJ1414" t="str">
        <f t="shared" si="90"/>
        <v>Below salary</v>
      </c>
      <c r="AK1414" t="str">
        <f t="shared" si="91"/>
        <v>Medium Risk</v>
      </c>
    </row>
    <row r="1415" spans="1:37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t="s">
        <v>46</v>
      </c>
      <c r="L1415">
        <v>57</v>
      </c>
      <c r="M1415">
        <v>3</v>
      </c>
      <c r="N1415">
        <v>1</v>
      </c>
      <c r="O1415" t="s">
        <v>50</v>
      </c>
      <c r="P1415">
        <v>3</v>
      </c>
      <c r="Q1415" t="s">
        <v>52</v>
      </c>
      <c r="R1415" s="3">
        <v>3977</v>
      </c>
      <c r="S1415">
        <v>7298</v>
      </c>
      <c r="T1415">
        <v>6</v>
      </c>
      <c r="U1415" t="s">
        <v>35</v>
      </c>
      <c r="V1415" s="2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tr">
        <f t="shared" si="88"/>
        <v>18-25</v>
      </c>
      <c r="AH1415" t="str">
        <f t="shared" si="89"/>
        <v>Mid</v>
      </c>
      <c r="AI1415" s="1">
        <f>VLOOKUP(E1415,Lookup_Tables!$A$3:$B$5,2,)</f>
        <v>6281.2528616024974</v>
      </c>
      <c r="AJ1415" t="str">
        <f t="shared" si="90"/>
        <v>Below salary</v>
      </c>
      <c r="AK1415" t="str">
        <f t="shared" si="91"/>
        <v>Medium Risk</v>
      </c>
    </row>
    <row r="1416" spans="1:37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t="s">
        <v>46</v>
      </c>
      <c r="L1416">
        <v>84</v>
      </c>
      <c r="M1416">
        <v>3</v>
      </c>
      <c r="N1416">
        <v>3</v>
      </c>
      <c r="O1416" t="s">
        <v>54</v>
      </c>
      <c r="P1416">
        <v>3</v>
      </c>
      <c r="Q1416" t="s">
        <v>41</v>
      </c>
      <c r="R1416" s="3">
        <v>8633</v>
      </c>
      <c r="S1416">
        <v>13084</v>
      </c>
      <c r="T1416">
        <v>2</v>
      </c>
      <c r="U1416" t="s">
        <v>43</v>
      </c>
      <c r="V1416" s="2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tr">
        <f t="shared" si="88"/>
        <v>46+</v>
      </c>
      <c r="AH1416" t="str">
        <f t="shared" si="89"/>
        <v>High</v>
      </c>
      <c r="AI1416" s="1">
        <f>VLOOKUP(E1416,Lookup_Tables!$A$3:$B$5,2,)</f>
        <v>6281.2528616024974</v>
      </c>
      <c r="AJ1416" t="str">
        <f t="shared" si="90"/>
        <v>Above salary</v>
      </c>
      <c r="AK1416" t="str">
        <f t="shared" si="91"/>
        <v>Low Risk</v>
      </c>
    </row>
    <row r="1417" spans="1:37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t="s">
        <v>46</v>
      </c>
      <c r="L1417">
        <v>59</v>
      </c>
      <c r="M1417">
        <v>2</v>
      </c>
      <c r="N1417">
        <v>1</v>
      </c>
      <c r="O1417" t="s">
        <v>50</v>
      </c>
      <c r="P1417">
        <v>3</v>
      </c>
      <c r="Q1417" t="s">
        <v>52</v>
      </c>
      <c r="R1417" s="3">
        <v>2008</v>
      </c>
      <c r="S1417">
        <v>20439</v>
      </c>
      <c r="T1417">
        <v>1</v>
      </c>
      <c r="U1417" t="s">
        <v>43</v>
      </c>
      <c r="V1417" s="2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tr">
        <f t="shared" si="88"/>
        <v>26-35</v>
      </c>
      <c r="AH1417" t="str">
        <f t="shared" si="89"/>
        <v>Low</v>
      </c>
      <c r="AI1417" s="1">
        <f>VLOOKUP(E1417,Lookup_Tables!$A$3:$B$5,2,)</f>
        <v>6281.2528616024974</v>
      </c>
      <c r="AJ1417" t="str">
        <f t="shared" si="90"/>
        <v>Below salary</v>
      </c>
      <c r="AK1417" t="str">
        <f t="shared" si="91"/>
        <v>Low Risk</v>
      </c>
    </row>
    <row r="1418" spans="1:37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46</v>
      </c>
      <c r="L1418">
        <v>86</v>
      </c>
      <c r="M1418">
        <v>3</v>
      </c>
      <c r="N1418">
        <v>2</v>
      </c>
      <c r="O1418" t="s">
        <v>40</v>
      </c>
      <c r="P1418">
        <v>2</v>
      </c>
      <c r="Q1418" t="s">
        <v>48</v>
      </c>
      <c r="R1418" s="3">
        <v>4440</v>
      </c>
      <c r="S1418">
        <v>7636</v>
      </c>
      <c r="T1418">
        <v>0</v>
      </c>
      <c r="U1418" t="s">
        <v>43</v>
      </c>
      <c r="V1418" s="2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tr">
        <f t="shared" si="88"/>
        <v>36-45</v>
      </c>
      <c r="AH1418" t="str">
        <f t="shared" si="89"/>
        <v>Mid</v>
      </c>
      <c r="AI1418" s="1">
        <f>VLOOKUP(E1418,Lookup_Tables!$A$3:$B$5,2,)</f>
        <v>6959.17264573991</v>
      </c>
      <c r="AJ1418" t="str">
        <f t="shared" si="90"/>
        <v>Below salary</v>
      </c>
      <c r="AK1418" t="str">
        <f t="shared" si="91"/>
        <v>Medium Risk</v>
      </c>
    </row>
    <row r="1419" spans="1:37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46</v>
      </c>
      <c r="L1419">
        <v>54</v>
      </c>
      <c r="M1419">
        <v>3</v>
      </c>
      <c r="N1419">
        <v>1</v>
      </c>
      <c r="O1419" t="s">
        <v>57</v>
      </c>
      <c r="P1419">
        <v>3</v>
      </c>
      <c r="Q1419" t="s">
        <v>48</v>
      </c>
      <c r="R1419" s="3">
        <v>3067</v>
      </c>
      <c r="S1419">
        <v>6393</v>
      </c>
      <c r="T1419">
        <v>0</v>
      </c>
      <c r="U1419" t="s">
        <v>43</v>
      </c>
      <c r="V1419" s="2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tr">
        <f t="shared" si="88"/>
        <v>26-35</v>
      </c>
      <c r="AH1419" t="str">
        <f t="shared" si="89"/>
        <v>Mid</v>
      </c>
      <c r="AI1419" s="1">
        <f>VLOOKUP(E1419,Lookup_Tables!$A$3:$B$5,2,)</f>
        <v>6959.17264573991</v>
      </c>
      <c r="AJ1419" t="str">
        <f t="shared" si="90"/>
        <v>Below salary</v>
      </c>
      <c r="AK1419" t="str">
        <f t="shared" si="91"/>
        <v>Low Risk</v>
      </c>
    </row>
    <row r="1420" spans="1:37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46</v>
      </c>
      <c r="L1420">
        <v>72</v>
      </c>
      <c r="M1420">
        <v>2</v>
      </c>
      <c r="N1420">
        <v>2</v>
      </c>
      <c r="O1420" t="s">
        <v>53</v>
      </c>
      <c r="P1420">
        <v>3</v>
      </c>
      <c r="Q1420" t="s">
        <v>48</v>
      </c>
      <c r="R1420" s="3">
        <v>5321</v>
      </c>
      <c r="S1420">
        <v>14284</v>
      </c>
      <c r="T1420">
        <v>2</v>
      </c>
      <c r="U1420" t="s">
        <v>43</v>
      </c>
      <c r="V1420" s="2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tr">
        <f t="shared" si="88"/>
        <v>36-45</v>
      </c>
      <c r="AH1420" t="str">
        <f t="shared" si="89"/>
        <v>Mid</v>
      </c>
      <c r="AI1420" s="1">
        <f>VLOOKUP(E1420,Lookup_Tables!$A$3:$B$5,2,)</f>
        <v>6281.2528616024974</v>
      </c>
      <c r="AJ1420" t="str">
        <f t="shared" si="90"/>
        <v>Below salary</v>
      </c>
      <c r="AK1420" t="str">
        <f t="shared" si="91"/>
        <v>Low Risk</v>
      </c>
    </row>
    <row r="1421" spans="1:37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46</v>
      </c>
      <c r="L1421">
        <v>35</v>
      </c>
      <c r="M1421">
        <v>3</v>
      </c>
      <c r="N1421">
        <v>2</v>
      </c>
      <c r="O1421" t="s">
        <v>47</v>
      </c>
      <c r="P1421">
        <v>1</v>
      </c>
      <c r="Q1421" t="s">
        <v>52</v>
      </c>
      <c r="R1421" s="3">
        <v>5410</v>
      </c>
      <c r="S1421">
        <v>11189</v>
      </c>
      <c r="T1421">
        <v>6</v>
      </c>
      <c r="U1421" t="s">
        <v>35</v>
      </c>
      <c r="V1421" s="2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tr">
        <f t="shared" si="88"/>
        <v>36-45</v>
      </c>
      <c r="AH1421" t="str">
        <f t="shared" si="89"/>
        <v>Mid</v>
      </c>
      <c r="AI1421" s="1">
        <f>VLOOKUP(E1421,Lookup_Tables!$A$3:$B$5,2,)</f>
        <v>6281.2528616024974</v>
      </c>
      <c r="AJ1421" t="str">
        <f t="shared" si="90"/>
        <v>Below salary</v>
      </c>
      <c r="AK1421" t="str">
        <f t="shared" si="91"/>
        <v>High Risk</v>
      </c>
    </row>
    <row r="1422" spans="1:37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46</v>
      </c>
      <c r="L1422">
        <v>76</v>
      </c>
      <c r="M1422">
        <v>3</v>
      </c>
      <c r="N1422">
        <v>1</v>
      </c>
      <c r="O1422" t="s">
        <v>47</v>
      </c>
      <c r="P1422">
        <v>4</v>
      </c>
      <c r="Q1422" t="s">
        <v>48</v>
      </c>
      <c r="R1422" s="3">
        <v>2782</v>
      </c>
      <c r="S1422">
        <v>21412</v>
      </c>
      <c r="T1422">
        <v>3</v>
      </c>
      <c r="U1422" t="s">
        <v>43</v>
      </c>
      <c r="V1422" s="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tr">
        <f t="shared" si="88"/>
        <v>36-45</v>
      </c>
      <c r="AH1422" t="str">
        <f t="shared" si="89"/>
        <v>Low</v>
      </c>
      <c r="AI1422" s="1">
        <f>VLOOKUP(E1422,Lookup_Tables!$A$3:$B$5,2,)</f>
        <v>6281.2528616024974</v>
      </c>
      <c r="AJ1422" t="str">
        <f t="shared" si="90"/>
        <v>Below salary</v>
      </c>
      <c r="AK1422" t="str">
        <f t="shared" si="91"/>
        <v>Low Risk</v>
      </c>
    </row>
    <row r="1423" spans="1:37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t="s">
        <v>39</v>
      </c>
      <c r="L1423">
        <v>98</v>
      </c>
      <c r="M1423">
        <v>3</v>
      </c>
      <c r="N1423">
        <v>3</v>
      </c>
      <c r="O1423" t="s">
        <v>58</v>
      </c>
      <c r="P1423">
        <v>2</v>
      </c>
      <c r="Q1423" t="s">
        <v>48</v>
      </c>
      <c r="R1423" s="3">
        <v>11957</v>
      </c>
      <c r="S1423">
        <v>17231</v>
      </c>
      <c r="T1423">
        <v>0</v>
      </c>
      <c r="U1423" t="s">
        <v>43</v>
      </c>
      <c r="V1423" s="2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tr">
        <f t="shared" si="88"/>
        <v>46+</v>
      </c>
      <c r="AH1423" t="str">
        <f t="shared" si="89"/>
        <v>High</v>
      </c>
      <c r="AI1423" s="1">
        <f>VLOOKUP(E1423,Lookup_Tables!$A$3:$B$5,2,)</f>
        <v>6281.2528616024974</v>
      </c>
      <c r="AJ1423" t="str">
        <f t="shared" si="90"/>
        <v>Above salary</v>
      </c>
      <c r="AK1423" t="str">
        <f t="shared" si="91"/>
        <v>Medium Risk</v>
      </c>
    </row>
    <row r="1424" spans="1:37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t="s">
        <v>46</v>
      </c>
      <c r="L1424">
        <v>43</v>
      </c>
      <c r="M1424">
        <v>3</v>
      </c>
      <c r="N1424">
        <v>1</v>
      </c>
      <c r="O1424" t="s">
        <v>50</v>
      </c>
      <c r="P1424">
        <v>3</v>
      </c>
      <c r="Q1424" t="s">
        <v>48</v>
      </c>
      <c r="R1424" s="3">
        <v>2660</v>
      </c>
      <c r="S1424">
        <v>20232</v>
      </c>
      <c r="T1424">
        <v>7</v>
      </c>
      <c r="U1424" t="s">
        <v>35</v>
      </c>
      <c r="V1424" s="2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tr">
        <f t="shared" si="88"/>
        <v>26-35</v>
      </c>
      <c r="AH1424" t="str">
        <f t="shared" si="89"/>
        <v>Low</v>
      </c>
      <c r="AI1424" s="1">
        <f>VLOOKUP(E1424,Lookup_Tables!$A$3:$B$5,2,)</f>
        <v>6281.2528616024974</v>
      </c>
      <c r="AJ1424" t="str">
        <f t="shared" si="90"/>
        <v>Below salary</v>
      </c>
      <c r="AK1424" t="str">
        <f t="shared" si="91"/>
        <v>Medium Risk</v>
      </c>
    </row>
    <row r="1425" spans="1:37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46</v>
      </c>
      <c r="L1425">
        <v>63</v>
      </c>
      <c r="M1425">
        <v>3</v>
      </c>
      <c r="N1425">
        <v>1</v>
      </c>
      <c r="O1425" t="s">
        <v>47</v>
      </c>
      <c r="P1425">
        <v>3</v>
      </c>
      <c r="Q1425" t="s">
        <v>41</v>
      </c>
      <c r="R1425" s="3">
        <v>3375</v>
      </c>
      <c r="S1425">
        <v>17624</v>
      </c>
      <c r="T1425">
        <v>0</v>
      </c>
      <c r="U1425" t="s">
        <v>43</v>
      </c>
      <c r="V1425" s="2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tr">
        <f t="shared" si="88"/>
        <v>18-25</v>
      </c>
      <c r="AH1425" t="str">
        <f t="shared" si="89"/>
        <v>Mid</v>
      </c>
      <c r="AI1425" s="1">
        <f>VLOOKUP(E1425,Lookup_Tables!$A$3:$B$5,2,)</f>
        <v>6281.2528616024974</v>
      </c>
      <c r="AJ1425" t="str">
        <f t="shared" si="90"/>
        <v>Below salary</v>
      </c>
      <c r="AK1425" t="str">
        <f t="shared" si="91"/>
        <v>Low Risk</v>
      </c>
    </row>
    <row r="1426" spans="1:37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t="s">
        <v>46</v>
      </c>
      <c r="L1426">
        <v>48</v>
      </c>
      <c r="M1426">
        <v>3</v>
      </c>
      <c r="N1426">
        <v>2</v>
      </c>
      <c r="O1426" t="s">
        <v>47</v>
      </c>
      <c r="P1426">
        <v>3</v>
      </c>
      <c r="Q1426" t="s">
        <v>41</v>
      </c>
      <c r="R1426" s="3">
        <v>5098</v>
      </c>
      <c r="S1426">
        <v>18698</v>
      </c>
      <c r="T1426">
        <v>1</v>
      </c>
      <c r="U1426" t="s">
        <v>43</v>
      </c>
      <c r="V1426" s="2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tr">
        <f t="shared" si="88"/>
        <v>26-35</v>
      </c>
      <c r="AH1426" t="str">
        <f t="shared" si="89"/>
        <v>Mid</v>
      </c>
      <c r="AI1426" s="1">
        <f>VLOOKUP(E1426,Lookup_Tables!$A$3:$B$5,2,)</f>
        <v>6281.2528616024974</v>
      </c>
      <c r="AJ1426" t="str">
        <f t="shared" si="90"/>
        <v>Below salary</v>
      </c>
      <c r="AK1426" t="str">
        <f t="shared" si="91"/>
        <v>Low Risk</v>
      </c>
    </row>
    <row r="1427" spans="1:37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t="s">
        <v>39</v>
      </c>
      <c r="L1427">
        <v>95</v>
      </c>
      <c r="M1427">
        <v>3</v>
      </c>
      <c r="N1427">
        <v>2</v>
      </c>
      <c r="O1427" t="s">
        <v>54</v>
      </c>
      <c r="P1427">
        <v>4</v>
      </c>
      <c r="Q1427" t="s">
        <v>48</v>
      </c>
      <c r="R1427" s="3">
        <v>4878</v>
      </c>
      <c r="S1427">
        <v>21653</v>
      </c>
      <c r="T1427">
        <v>0</v>
      </c>
      <c r="U1427" t="s">
        <v>35</v>
      </c>
      <c r="V1427" s="2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tr">
        <f t="shared" si="88"/>
        <v>26-35</v>
      </c>
      <c r="AH1427" t="str">
        <f t="shared" si="89"/>
        <v>Mid</v>
      </c>
      <c r="AI1427" s="1">
        <f>VLOOKUP(E1427,Lookup_Tables!$A$3:$B$5,2,)</f>
        <v>6281.2528616024974</v>
      </c>
      <c r="AJ1427" t="str">
        <f t="shared" si="90"/>
        <v>Below salary</v>
      </c>
      <c r="AK1427" t="str">
        <f t="shared" si="91"/>
        <v>Medium Risk</v>
      </c>
    </row>
    <row r="1428" spans="1:37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49</v>
      </c>
      <c r="M1428">
        <v>2</v>
      </c>
      <c r="N1428">
        <v>1</v>
      </c>
      <c r="O1428" t="s">
        <v>50</v>
      </c>
      <c r="P1428">
        <v>2</v>
      </c>
      <c r="Q1428" t="s">
        <v>41</v>
      </c>
      <c r="R1428" s="3">
        <v>2837</v>
      </c>
      <c r="S1428">
        <v>15919</v>
      </c>
      <c r="T1428">
        <v>1</v>
      </c>
      <c r="U1428" t="s">
        <v>43</v>
      </c>
      <c r="V1428" s="2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tr">
        <f t="shared" si="88"/>
        <v>26-35</v>
      </c>
      <c r="AH1428" t="str">
        <f t="shared" si="89"/>
        <v>Low</v>
      </c>
      <c r="AI1428" s="1">
        <f>VLOOKUP(E1428,Lookup_Tables!$A$3:$B$5,2,)</f>
        <v>6281.2528616024974</v>
      </c>
      <c r="AJ1428" t="str">
        <f t="shared" si="90"/>
        <v>Below salary</v>
      </c>
      <c r="AK1428" t="str">
        <f t="shared" si="91"/>
        <v>Medium Risk</v>
      </c>
    </row>
    <row r="1429" spans="1:37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46</v>
      </c>
      <c r="L1429">
        <v>83</v>
      </c>
      <c r="M1429">
        <v>3</v>
      </c>
      <c r="N1429">
        <v>1</v>
      </c>
      <c r="O1429" t="s">
        <v>50</v>
      </c>
      <c r="P1429">
        <v>4</v>
      </c>
      <c r="Q1429" t="s">
        <v>48</v>
      </c>
      <c r="R1429" s="3">
        <v>2406</v>
      </c>
      <c r="S1429">
        <v>4060</v>
      </c>
      <c r="T1429">
        <v>8</v>
      </c>
      <c r="U1429" t="s">
        <v>43</v>
      </c>
      <c r="V1429" s="2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tr">
        <f t="shared" si="88"/>
        <v>36-45</v>
      </c>
      <c r="AH1429" t="str">
        <f t="shared" si="89"/>
        <v>Low</v>
      </c>
      <c r="AI1429" s="1">
        <f>VLOOKUP(E1429,Lookup_Tables!$A$3:$B$5,2,)</f>
        <v>6281.2528616024974</v>
      </c>
      <c r="AJ1429" t="str">
        <f t="shared" si="90"/>
        <v>Below salary</v>
      </c>
      <c r="AK1429" t="str">
        <f t="shared" si="91"/>
        <v>Low Risk</v>
      </c>
    </row>
    <row r="1430" spans="1:37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t="s">
        <v>46</v>
      </c>
      <c r="L1430">
        <v>68</v>
      </c>
      <c r="M1430">
        <v>2</v>
      </c>
      <c r="N1430">
        <v>1</v>
      </c>
      <c r="O1430" t="s">
        <v>57</v>
      </c>
      <c r="P1430">
        <v>2</v>
      </c>
      <c r="Q1430" t="s">
        <v>48</v>
      </c>
      <c r="R1430" s="3">
        <v>2269</v>
      </c>
      <c r="S1430">
        <v>18024</v>
      </c>
      <c r="T1430">
        <v>0</v>
      </c>
      <c r="U1430" t="s">
        <v>43</v>
      </c>
      <c r="V1430" s="2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tr">
        <f t="shared" si="88"/>
        <v>26-35</v>
      </c>
      <c r="AH1430" t="str">
        <f t="shared" si="89"/>
        <v>Low</v>
      </c>
      <c r="AI1430" s="1">
        <f>VLOOKUP(E1430,Lookup_Tables!$A$3:$B$5,2,)</f>
        <v>6959.17264573991</v>
      </c>
      <c r="AJ1430" t="str">
        <f t="shared" si="90"/>
        <v>Below salary</v>
      </c>
      <c r="AK1430" t="str">
        <f t="shared" si="91"/>
        <v>Medium Risk</v>
      </c>
    </row>
    <row r="1431" spans="1:37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46</v>
      </c>
      <c r="L1431">
        <v>52</v>
      </c>
      <c r="M1431">
        <v>3</v>
      </c>
      <c r="N1431">
        <v>2</v>
      </c>
      <c r="O1431" t="s">
        <v>47</v>
      </c>
      <c r="P1431">
        <v>4</v>
      </c>
      <c r="Q1431" t="s">
        <v>41</v>
      </c>
      <c r="R1431" s="3">
        <v>4108</v>
      </c>
      <c r="S1431">
        <v>5340</v>
      </c>
      <c r="T1431">
        <v>7</v>
      </c>
      <c r="U1431" t="s">
        <v>43</v>
      </c>
      <c r="V1431" s="2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tr">
        <f t="shared" si="88"/>
        <v>36-45</v>
      </c>
      <c r="AH1431" t="str">
        <f t="shared" si="89"/>
        <v>Mid</v>
      </c>
      <c r="AI1431" s="1">
        <f>VLOOKUP(E1431,Lookup_Tables!$A$3:$B$5,2,)</f>
        <v>6281.2528616024974</v>
      </c>
      <c r="AJ1431" t="str">
        <f t="shared" si="90"/>
        <v>Below salary</v>
      </c>
      <c r="AK1431" t="str">
        <f t="shared" si="91"/>
        <v>Low Risk</v>
      </c>
    </row>
    <row r="1432" spans="1:37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t="s">
        <v>39</v>
      </c>
      <c r="L1432">
        <v>99</v>
      </c>
      <c r="M1432">
        <v>1</v>
      </c>
      <c r="N1432">
        <v>3</v>
      </c>
      <c r="O1432" t="s">
        <v>58</v>
      </c>
      <c r="P1432">
        <v>3</v>
      </c>
      <c r="Q1432" t="s">
        <v>48</v>
      </c>
      <c r="R1432" s="3">
        <v>13206</v>
      </c>
      <c r="S1432">
        <v>3376</v>
      </c>
      <c r="T1432">
        <v>3</v>
      </c>
      <c r="U1432" t="s">
        <v>43</v>
      </c>
      <c r="V1432" s="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tr">
        <f t="shared" si="88"/>
        <v>36-45</v>
      </c>
      <c r="AH1432" t="str">
        <f t="shared" si="89"/>
        <v>Very High</v>
      </c>
      <c r="AI1432" s="1">
        <f>VLOOKUP(E1432,Lookup_Tables!$A$3:$B$5,2,)</f>
        <v>6281.2528616024974</v>
      </c>
      <c r="AJ1432" t="str">
        <f t="shared" si="90"/>
        <v>Above salary</v>
      </c>
      <c r="AK1432" t="str">
        <f t="shared" si="91"/>
        <v>Low Risk</v>
      </c>
    </row>
    <row r="1433" spans="1:37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2016</v>
      </c>
      <c r="J1433">
        <v>3</v>
      </c>
      <c r="K1433" t="s">
        <v>39</v>
      </c>
      <c r="L1433">
        <v>48</v>
      </c>
      <c r="M1433">
        <v>3</v>
      </c>
      <c r="N1433">
        <v>3</v>
      </c>
      <c r="O1433" t="s">
        <v>40</v>
      </c>
      <c r="P1433">
        <v>4</v>
      </c>
      <c r="Q1433" t="s">
        <v>48</v>
      </c>
      <c r="R1433" s="3">
        <v>10422</v>
      </c>
      <c r="S1433">
        <v>24032</v>
      </c>
      <c r="T1433">
        <v>1</v>
      </c>
      <c r="U1433" t="s">
        <v>43</v>
      </c>
      <c r="V1433" s="2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tr">
        <f t="shared" si="88"/>
        <v>26-35</v>
      </c>
      <c r="AH1433" t="str">
        <f t="shared" si="89"/>
        <v>High</v>
      </c>
      <c r="AI1433" s="1">
        <f>VLOOKUP(E1433,Lookup_Tables!$A$3:$B$5,2,)</f>
        <v>6959.17264573991</v>
      </c>
      <c r="AJ1433" t="str">
        <f t="shared" si="90"/>
        <v>Above salary</v>
      </c>
      <c r="AK1433" t="str">
        <f t="shared" si="91"/>
        <v>Low Risk</v>
      </c>
    </row>
    <row r="1434" spans="1:37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42</v>
      </c>
      <c r="M1434">
        <v>4</v>
      </c>
      <c r="N1434">
        <v>3</v>
      </c>
      <c r="O1434" t="s">
        <v>58</v>
      </c>
      <c r="P1434">
        <v>4</v>
      </c>
      <c r="Q1434" t="s">
        <v>48</v>
      </c>
      <c r="R1434" s="3">
        <v>13744</v>
      </c>
      <c r="S1434">
        <v>15471</v>
      </c>
      <c r="T1434">
        <v>1</v>
      </c>
      <c r="U1434" t="s">
        <v>35</v>
      </c>
      <c r="V1434" s="2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tr">
        <f t="shared" si="88"/>
        <v>36-45</v>
      </c>
      <c r="AH1434" t="str">
        <f t="shared" si="89"/>
        <v>Very High</v>
      </c>
      <c r="AI1434" s="1">
        <f>VLOOKUP(E1434,Lookup_Tables!$A$3:$B$5,2,)</f>
        <v>6281.2528616024974</v>
      </c>
      <c r="AJ1434" t="str">
        <f t="shared" si="90"/>
        <v>Above salary</v>
      </c>
      <c r="AK1434" t="str">
        <f t="shared" si="91"/>
        <v>Medium Risk</v>
      </c>
    </row>
    <row r="1435" spans="1:37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t="s">
        <v>39</v>
      </c>
      <c r="L1435">
        <v>85</v>
      </c>
      <c r="M1435">
        <v>3</v>
      </c>
      <c r="N1435">
        <v>2</v>
      </c>
      <c r="O1435" t="s">
        <v>40</v>
      </c>
      <c r="P1435">
        <v>3</v>
      </c>
      <c r="Q1435" t="s">
        <v>52</v>
      </c>
      <c r="R1435" s="3">
        <v>4907</v>
      </c>
      <c r="S1435">
        <v>13684</v>
      </c>
      <c r="T1435">
        <v>0</v>
      </c>
      <c r="U1435" t="s">
        <v>35</v>
      </c>
      <c r="V1435" s="2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tr">
        <f t="shared" si="88"/>
        <v>18-25</v>
      </c>
      <c r="AH1435" t="str">
        <f t="shared" si="89"/>
        <v>Mid</v>
      </c>
      <c r="AI1435" s="1">
        <f>VLOOKUP(E1435,Lookup_Tables!$A$3:$B$5,2,)</f>
        <v>6959.17264573991</v>
      </c>
      <c r="AJ1435" t="str">
        <f t="shared" si="90"/>
        <v>Below salary</v>
      </c>
      <c r="AK1435" t="str">
        <f t="shared" si="91"/>
        <v>Medium Risk</v>
      </c>
    </row>
    <row r="1436" spans="1:37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46</v>
      </c>
      <c r="L1436">
        <v>40</v>
      </c>
      <c r="M1436">
        <v>3</v>
      </c>
      <c r="N1436">
        <v>1</v>
      </c>
      <c r="O1436" t="s">
        <v>57</v>
      </c>
      <c r="P1436">
        <v>4</v>
      </c>
      <c r="Q1436" t="s">
        <v>52</v>
      </c>
      <c r="R1436" s="3">
        <v>3482</v>
      </c>
      <c r="S1436">
        <v>19788</v>
      </c>
      <c r="T1436">
        <v>2</v>
      </c>
      <c r="U1436" t="s">
        <v>43</v>
      </c>
      <c r="V1436" s="2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tr">
        <f t="shared" si="88"/>
        <v>46+</v>
      </c>
      <c r="AH1436" t="str">
        <f t="shared" si="89"/>
        <v>Mid</v>
      </c>
      <c r="AI1436" s="1">
        <f>VLOOKUP(E1436,Lookup_Tables!$A$3:$B$5,2,)</f>
        <v>6959.17264573991</v>
      </c>
      <c r="AJ1436" t="str">
        <f t="shared" si="90"/>
        <v>Below salary</v>
      </c>
      <c r="AK1436" t="str">
        <f t="shared" si="91"/>
        <v>Low Risk</v>
      </c>
    </row>
    <row r="1437" spans="1:37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t="s">
        <v>46</v>
      </c>
      <c r="L1437">
        <v>42</v>
      </c>
      <c r="M1437">
        <v>3</v>
      </c>
      <c r="N1437">
        <v>1</v>
      </c>
      <c r="O1437" t="s">
        <v>47</v>
      </c>
      <c r="P1437">
        <v>4</v>
      </c>
      <c r="Q1437" t="s">
        <v>41</v>
      </c>
      <c r="R1437" s="3">
        <v>2436</v>
      </c>
      <c r="S1437">
        <v>13422</v>
      </c>
      <c r="T1437">
        <v>6</v>
      </c>
      <c r="U1437" t="s">
        <v>35</v>
      </c>
      <c r="V1437" s="2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tr">
        <f t="shared" si="88"/>
        <v>36-45</v>
      </c>
      <c r="AH1437" t="str">
        <f t="shared" si="89"/>
        <v>Low</v>
      </c>
      <c r="AI1437" s="1">
        <f>VLOOKUP(E1437,Lookup_Tables!$A$3:$B$5,2,)</f>
        <v>6281.2528616024974</v>
      </c>
      <c r="AJ1437" t="str">
        <f t="shared" si="90"/>
        <v>Below salary</v>
      </c>
      <c r="AK1437" t="str">
        <f t="shared" si="91"/>
        <v>Medium Risk</v>
      </c>
    </row>
    <row r="1438" spans="1:37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t="s">
        <v>46</v>
      </c>
      <c r="L1438">
        <v>58</v>
      </c>
      <c r="M1438">
        <v>3</v>
      </c>
      <c r="N1438">
        <v>1</v>
      </c>
      <c r="O1438" t="s">
        <v>57</v>
      </c>
      <c r="P1438">
        <v>1</v>
      </c>
      <c r="Q1438" t="s">
        <v>41</v>
      </c>
      <c r="R1438" s="3">
        <v>2380</v>
      </c>
      <c r="S1438">
        <v>25479</v>
      </c>
      <c r="T1438">
        <v>1</v>
      </c>
      <c r="U1438" t="s">
        <v>35</v>
      </c>
      <c r="V1438" s="2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tr">
        <f t="shared" si="88"/>
        <v>18-25</v>
      </c>
      <c r="AH1438" t="str">
        <f t="shared" si="89"/>
        <v>Low</v>
      </c>
      <c r="AI1438" s="1">
        <f>VLOOKUP(E1438,Lookup_Tables!$A$3:$B$5,2,)</f>
        <v>6959.17264573991</v>
      </c>
      <c r="AJ1438" t="str">
        <f t="shared" si="90"/>
        <v>Below salary</v>
      </c>
      <c r="AK1438" t="str">
        <f t="shared" si="91"/>
        <v>High Risk</v>
      </c>
    </row>
    <row r="1439" spans="1:37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46</v>
      </c>
      <c r="L1439">
        <v>87</v>
      </c>
      <c r="M1439">
        <v>3</v>
      </c>
      <c r="N1439">
        <v>5</v>
      </c>
      <c r="O1439" t="s">
        <v>56</v>
      </c>
      <c r="P1439">
        <v>4</v>
      </c>
      <c r="Q1439" t="s">
        <v>41</v>
      </c>
      <c r="R1439" s="3">
        <v>19431</v>
      </c>
      <c r="S1439">
        <v>15302</v>
      </c>
      <c r="T1439">
        <v>2</v>
      </c>
      <c r="U1439" t="s">
        <v>43</v>
      </c>
      <c r="V1439" s="2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tr">
        <f t="shared" si="88"/>
        <v>36-45</v>
      </c>
      <c r="AH1439" t="str">
        <f t="shared" si="89"/>
        <v>Very High</v>
      </c>
      <c r="AI1439" s="1">
        <f>VLOOKUP(E1439,Lookup_Tables!$A$3:$B$5,2,)</f>
        <v>6281.2528616024974</v>
      </c>
      <c r="AJ1439" t="str">
        <f t="shared" si="90"/>
        <v>Above salary</v>
      </c>
      <c r="AK1439" t="str">
        <f t="shared" si="91"/>
        <v>Low Risk</v>
      </c>
    </row>
    <row r="1440" spans="1:37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2023</v>
      </c>
      <c r="J1440">
        <v>4</v>
      </c>
      <c r="K1440" t="s">
        <v>46</v>
      </c>
      <c r="L1440">
        <v>33</v>
      </c>
      <c r="M1440">
        <v>3</v>
      </c>
      <c r="N1440">
        <v>1</v>
      </c>
      <c r="O1440" t="s">
        <v>57</v>
      </c>
      <c r="P1440">
        <v>1</v>
      </c>
      <c r="Q1440" t="s">
        <v>48</v>
      </c>
      <c r="R1440" s="3">
        <v>1790</v>
      </c>
      <c r="S1440">
        <v>26956</v>
      </c>
      <c r="T1440">
        <v>1</v>
      </c>
      <c r="U1440" t="s">
        <v>43</v>
      </c>
      <c r="V1440" s="2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tr">
        <f t="shared" si="88"/>
        <v>18-25</v>
      </c>
      <c r="AH1440" t="str">
        <f t="shared" si="89"/>
        <v>Low</v>
      </c>
      <c r="AI1440" s="1">
        <f>VLOOKUP(E1440,Lookup_Tables!$A$3:$B$5,2,)</f>
        <v>6959.17264573991</v>
      </c>
      <c r="AJ1440" t="str">
        <f t="shared" si="90"/>
        <v>Below salary</v>
      </c>
      <c r="AK1440" t="str">
        <f t="shared" si="91"/>
        <v>Medium Risk</v>
      </c>
    </row>
    <row r="1441" spans="1:37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t="s">
        <v>39</v>
      </c>
      <c r="L1441">
        <v>94</v>
      </c>
      <c r="M1441">
        <v>2</v>
      </c>
      <c r="N1441">
        <v>3</v>
      </c>
      <c r="O1441" t="s">
        <v>40</v>
      </c>
      <c r="P1441">
        <v>4</v>
      </c>
      <c r="Q1441" t="s">
        <v>48</v>
      </c>
      <c r="R1441" s="3">
        <v>7644</v>
      </c>
      <c r="S1441">
        <v>12695</v>
      </c>
      <c r="T1441">
        <v>0</v>
      </c>
      <c r="U1441" t="s">
        <v>43</v>
      </c>
      <c r="V1441" s="2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tr">
        <f t="shared" si="88"/>
        <v>36-45</v>
      </c>
      <c r="AH1441" t="str">
        <f t="shared" si="89"/>
        <v>High</v>
      </c>
      <c r="AI1441" s="1">
        <f>VLOOKUP(E1441,Lookup_Tables!$A$3:$B$5,2,)</f>
        <v>6959.17264573991</v>
      </c>
      <c r="AJ1441" t="str">
        <f t="shared" si="90"/>
        <v>Above salary</v>
      </c>
      <c r="AK1441" t="str">
        <f t="shared" si="91"/>
        <v>Low Risk</v>
      </c>
    </row>
    <row r="1442" spans="1:37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97</v>
      </c>
      <c r="M1442">
        <v>3</v>
      </c>
      <c r="N1442">
        <v>2</v>
      </c>
      <c r="O1442" t="s">
        <v>53</v>
      </c>
      <c r="P1442">
        <v>2</v>
      </c>
      <c r="Q1442" t="s">
        <v>52</v>
      </c>
      <c r="R1442" s="3">
        <v>5131</v>
      </c>
      <c r="S1442">
        <v>9192</v>
      </c>
      <c r="T1442">
        <v>7</v>
      </c>
      <c r="U1442" t="s">
        <v>43</v>
      </c>
      <c r="V1442" s="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tr">
        <f t="shared" si="88"/>
        <v>36-45</v>
      </c>
      <c r="AH1442" t="str">
        <f t="shared" si="89"/>
        <v>Mid</v>
      </c>
      <c r="AI1442" s="1">
        <f>VLOOKUP(E1442,Lookup_Tables!$A$3:$B$5,2,)</f>
        <v>6281.2528616024974</v>
      </c>
      <c r="AJ1442" t="str">
        <f t="shared" si="90"/>
        <v>Below salary</v>
      </c>
      <c r="AK1442" t="str">
        <f t="shared" si="91"/>
        <v>Medium Risk</v>
      </c>
    </row>
    <row r="1443" spans="1:37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46</v>
      </c>
      <c r="L1443">
        <v>57</v>
      </c>
      <c r="M1443">
        <v>3</v>
      </c>
      <c r="N1443">
        <v>2</v>
      </c>
      <c r="O1443" t="s">
        <v>54</v>
      </c>
      <c r="P1443">
        <v>3</v>
      </c>
      <c r="Q1443" t="s">
        <v>52</v>
      </c>
      <c r="R1443" s="3">
        <v>6306</v>
      </c>
      <c r="S1443">
        <v>26236</v>
      </c>
      <c r="T1443">
        <v>1</v>
      </c>
      <c r="U1443" t="s">
        <v>43</v>
      </c>
      <c r="V1443" s="2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tr">
        <f t="shared" si="88"/>
        <v>46+</v>
      </c>
      <c r="AH1443" t="str">
        <f t="shared" si="89"/>
        <v>Mid</v>
      </c>
      <c r="AI1443" s="1">
        <f>VLOOKUP(E1443,Lookup_Tables!$A$3:$B$5,2,)</f>
        <v>6281.2528616024974</v>
      </c>
      <c r="AJ1443" t="str">
        <f t="shared" si="90"/>
        <v>Above salary</v>
      </c>
      <c r="AK1443" t="str">
        <f t="shared" si="91"/>
        <v>Low Risk</v>
      </c>
    </row>
    <row r="1444" spans="1:37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t="s">
        <v>46</v>
      </c>
      <c r="L1444">
        <v>36</v>
      </c>
      <c r="M1444">
        <v>3</v>
      </c>
      <c r="N1444">
        <v>1</v>
      </c>
      <c r="O1444" t="s">
        <v>47</v>
      </c>
      <c r="P1444">
        <v>4</v>
      </c>
      <c r="Q1444" t="s">
        <v>48</v>
      </c>
      <c r="R1444" s="3">
        <v>4787</v>
      </c>
      <c r="S1444">
        <v>26124</v>
      </c>
      <c r="T1444">
        <v>9</v>
      </c>
      <c r="U1444" t="s">
        <v>35</v>
      </c>
      <c r="V1444" s="2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tr">
        <f t="shared" si="88"/>
        <v>26-35</v>
      </c>
      <c r="AH1444" t="str">
        <f t="shared" si="89"/>
        <v>Mid</v>
      </c>
      <c r="AI1444" s="1">
        <f>VLOOKUP(E1444,Lookup_Tables!$A$3:$B$5,2,)</f>
        <v>6281.2528616024974</v>
      </c>
      <c r="AJ1444" t="str">
        <f t="shared" si="90"/>
        <v>Below salary</v>
      </c>
      <c r="AK1444" t="str">
        <f t="shared" si="91"/>
        <v>Medium Risk</v>
      </c>
    </row>
    <row r="1445" spans="1:37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46</v>
      </c>
      <c r="L1445">
        <v>56</v>
      </c>
      <c r="M1445">
        <v>3</v>
      </c>
      <c r="N1445">
        <v>5</v>
      </c>
      <c r="O1445" t="s">
        <v>56</v>
      </c>
      <c r="P1445">
        <v>3</v>
      </c>
      <c r="Q1445" t="s">
        <v>48</v>
      </c>
      <c r="R1445" s="3">
        <v>18880</v>
      </c>
      <c r="S1445">
        <v>17312</v>
      </c>
      <c r="T1445">
        <v>5</v>
      </c>
      <c r="U1445" t="s">
        <v>43</v>
      </c>
      <c r="V1445" s="2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tr">
        <f t="shared" si="88"/>
        <v>36-45</v>
      </c>
      <c r="AH1445" t="str">
        <f t="shared" si="89"/>
        <v>Very High</v>
      </c>
      <c r="AI1445" s="1">
        <f>VLOOKUP(E1445,Lookup_Tables!$A$3:$B$5,2,)</f>
        <v>6281.2528616024974</v>
      </c>
      <c r="AJ1445" t="str">
        <f t="shared" si="90"/>
        <v>Above salary</v>
      </c>
      <c r="AK1445" t="str">
        <f t="shared" si="91"/>
        <v>Low Risk</v>
      </c>
    </row>
    <row r="1446" spans="1:37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2032</v>
      </c>
      <c r="J1446">
        <v>4</v>
      </c>
      <c r="K1446" t="s">
        <v>46</v>
      </c>
      <c r="L1446">
        <v>72</v>
      </c>
      <c r="M1446">
        <v>3</v>
      </c>
      <c r="N1446">
        <v>1</v>
      </c>
      <c r="O1446" t="s">
        <v>50</v>
      </c>
      <c r="P1446">
        <v>3</v>
      </c>
      <c r="Q1446" t="s">
        <v>48</v>
      </c>
      <c r="R1446" s="3">
        <v>2339</v>
      </c>
      <c r="S1446">
        <v>3666</v>
      </c>
      <c r="T1446">
        <v>8</v>
      </c>
      <c r="U1446" t="s">
        <v>43</v>
      </c>
      <c r="V1446" s="2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tr">
        <f t="shared" si="88"/>
        <v>46+</v>
      </c>
      <c r="AH1446" t="str">
        <f t="shared" si="89"/>
        <v>Low</v>
      </c>
      <c r="AI1446" s="1">
        <f>VLOOKUP(E1446,Lookup_Tables!$A$3:$B$5,2,)</f>
        <v>6281.2528616024974</v>
      </c>
      <c r="AJ1446" t="str">
        <f t="shared" si="90"/>
        <v>Below salary</v>
      </c>
      <c r="AK1446" t="str">
        <f t="shared" si="91"/>
        <v>Low Risk</v>
      </c>
    </row>
    <row r="1447" spans="1:37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60</v>
      </c>
      <c r="M1447">
        <v>2</v>
      </c>
      <c r="N1447">
        <v>4</v>
      </c>
      <c r="O1447" t="s">
        <v>53</v>
      </c>
      <c r="P1447">
        <v>2</v>
      </c>
      <c r="Q1447" t="s">
        <v>48</v>
      </c>
      <c r="R1447" s="3">
        <v>13570</v>
      </c>
      <c r="S1447">
        <v>5640</v>
      </c>
      <c r="T1447">
        <v>0</v>
      </c>
      <c r="U1447" t="s">
        <v>43</v>
      </c>
      <c r="V1447" s="2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tr">
        <f t="shared" si="88"/>
        <v>36-45</v>
      </c>
      <c r="AH1447" t="str">
        <f t="shared" si="89"/>
        <v>Very High</v>
      </c>
      <c r="AI1447" s="1">
        <f>VLOOKUP(E1447,Lookup_Tables!$A$3:$B$5,2,)</f>
        <v>6281.2528616024974</v>
      </c>
      <c r="AJ1447" t="str">
        <f t="shared" si="90"/>
        <v>Above salary</v>
      </c>
      <c r="AK1447" t="str">
        <f t="shared" si="91"/>
        <v>Medium Risk</v>
      </c>
    </row>
    <row r="1448" spans="1:37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2035</v>
      </c>
      <c r="J1448">
        <v>4</v>
      </c>
      <c r="K1448" t="s">
        <v>39</v>
      </c>
      <c r="L1448">
        <v>95</v>
      </c>
      <c r="M1448">
        <v>2</v>
      </c>
      <c r="N1448">
        <v>2</v>
      </c>
      <c r="O1448" t="s">
        <v>40</v>
      </c>
      <c r="P1448">
        <v>3</v>
      </c>
      <c r="Q1448" t="s">
        <v>48</v>
      </c>
      <c r="R1448" s="3">
        <v>6712</v>
      </c>
      <c r="S1448">
        <v>8978</v>
      </c>
      <c r="T1448">
        <v>1</v>
      </c>
      <c r="U1448" t="s">
        <v>43</v>
      </c>
      <c r="V1448" s="2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tr">
        <f t="shared" si="88"/>
        <v>26-35</v>
      </c>
      <c r="AH1448" t="str">
        <f t="shared" si="89"/>
        <v>Mid</v>
      </c>
      <c r="AI1448" s="1">
        <f>VLOOKUP(E1448,Lookup_Tables!$A$3:$B$5,2,)</f>
        <v>6959.17264573991</v>
      </c>
      <c r="AJ1448" t="str">
        <f t="shared" si="90"/>
        <v>Below salary</v>
      </c>
      <c r="AK1448" t="str">
        <f t="shared" si="91"/>
        <v>Low Risk</v>
      </c>
    </row>
    <row r="1449" spans="1:37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2036</v>
      </c>
      <c r="J1449">
        <v>4</v>
      </c>
      <c r="K1449" t="s">
        <v>46</v>
      </c>
      <c r="L1449">
        <v>88</v>
      </c>
      <c r="M1449">
        <v>1</v>
      </c>
      <c r="N1449">
        <v>2</v>
      </c>
      <c r="O1449" t="s">
        <v>40</v>
      </c>
      <c r="P1449">
        <v>4</v>
      </c>
      <c r="Q1449" t="s">
        <v>52</v>
      </c>
      <c r="R1449" s="3">
        <v>5406</v>
      </c>
      <c r="S1449">
        <v>10436</v>
      </c>
      <c r="T1449">
        <v>1</v>
      </c>
      <c r="U1449" t="s">
        <v>43</v>
      </c>
      <c r="V1449" s="2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tr">
        <f t="shared" si="88"/>
        <v>36-45</v>
      </c>
      <c r="AH1449" t="str">
        <f t="shared" si="89"/>
        <v>Mid</v>
      </c>
      <c r="AI1449" s="1">
        <f>VLOOKUP(E1449,Lookup_Tables!$A$3:$B$5,2,)</f>
        <v>6959.17264573991</v>
      </c>
      <c r="AJ1449" t="str">
        <f t="shared" si="90"/>
        <v>Below salary</v>
      </c>
      <c r="AK1449" t="str">
        <f t="shared" si="91"/>
        <v>Low Risk</v>
      </c>
    </row>
    <row r="1450" spans="1:37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46</v>
      </c>
      <c r="L1450">
        <v>57</v>
      </c>
      <c r="M1450">
        <v>2</v>
      </c>
      <c r="N1450">
        <v>2</v>
      </c>
      <c r="O1450" t="s">
        <v>40</v>
      </c>
      <c r="P1450">
        <v>2</v>
      </c>
      <c r="Q1450" t="s">
        <v>52</v>
      </c>
      <c r="R1450" s="3">
        <v>8938</v>
      </c>
      <c r="S1450">
        <v>12227</v>
      </c>
      <c r="T1450">
        <v>2</v>
      </c>
      <c r="U1450" t="s">
        <v>43</v>
      </c>
      <c r="V1450" s="2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tr">
        <f t="shared" si="88"/>
        <v>36-45</v>
      </c>
      <c r="AH1450" t="str">
        <f t="shared" si="89"/>
        <v>High</v>
      </c>
      <c r="AI1450" s="1">
        <f>VLOOKUP(E1450,Lookup_Tables!$A$3:$B$5,2,)</f>
        <v>6959.17264573991</v>
      </c>
      <c r="AJ1450" t="str">
        <f t="shared" si="90"/>
        <v>Above salary</v>
      </c>
      <c r="AK1450" t="str">
        <f t="shared" si="91"/>
        <v>Medium Risk</v>
      </c>
    </row>
    <row r="1451" spans="1:37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2038</v>
      </c>
      <c r="J1451">
        <v>4</v>
      </c>
      <c r="K1451" t="s">
        <v>46</v>
      </c>
      <c r="L1451">
        <v>78</v>
      </c>
      <c r="M1451">
        <v>3</v>
      </c>
      <c r="N1451">
        <v>1</v>
      </c>
      <c r="O1451" t="s">
        <v>47</v>
      </c>
      <c r="P1451">
        <v>1</v>
      </c>
      <c r="Q1451" t="s">
        <v>41</v>
      </c>
      <c r="R1451" s="3">
        <v>2439</v>
      </c>
      <c r="S1451">
        <v>11288</v>
      </c>
      <c r="T1451">
        <v>1</v>
      </c>
      <c r="U1451" t="s">
        <v>43</v>
      </c>
      <c r="V1451" s="2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tr">
        <f t="shared" si="88"/>
        <v>26-35</v>
      </c>
      <c r="AH1451" t="str">
        <f t="shared" si="89"/>
        <v>Low</v>
      </c>
      <c r="AI1451" s="1">
        <f>VLOOKUP(E1451,Lookup_Tables!$A$3:$B$5,2,)</f>
        <v>6281.2528616024974</v>
      </c>
      <c r="AJ1451" t="str">
        <f t="shared" si="90"/>
        <v>Below salary</v>
      </c>
      <c r="AK1451" t="str">
        <f t="shared" si="91"/>
        <v>Medium Risk</v>
      </c>
    </row>
    <row r="1452" spans="1:37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31</v>
      </c>
      <c r="M1452">
        <v>3</v>
      </c>
      <c r="N1452">
        <v>3</v>
      </c>
      <c r="O1452" t="s">
        <v>61</v>
      </c>
      <c r="P1452">
        <v>4</v>
      </c>
      <c r="Q1452" t="s">
        <v>41</v>
      </c>
      <c r="R1452" s="3">
        <v>8837</v>
      </c>
      <c r="S1452">
        <v>16642</v>
      </c>
      <c r="T1452">
        <v>1</v>
      </c>
      <c r="U1452" t="s">
        <v>35</v>
      </c>
      <c r="V1452" s="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tr">
        <f t="shared" si="88"/>
        <v>26-35</v>
      </c>
      <c r="AH1452" t="str">
        <f t="shared" si="89"/>
        <v>High</v>
      </c>
      <c r="AI1452" s="1">
        <f>VLOOKUP(E1452,Lookup_Tables!$A$3:$B$5,2,)</f>
        <v>6654.5079365079364</v>
      </c>
      <c r="AJ1452" t="str">
        <f t="shared" si="90"/>
        <v>Above salary</v>
      </c>
      <c r="AK1452" t="str">
        <f t="shared" si="91"/>
        <v>Medium Risk</v>
      </c>
    </row>
    <row r="1453" spans="1:37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100</v>
      </c>
      <c r="M1453">
        <v>3</v>
      </c>
      <c r="N1453">
        <v>2</v>
      </c>
      <c r="O1453" t="s">
        <v>40</v>
      </c>
      <c r="P1453">
        <v>4</v>
      </c>
      <c r="Q1453" t="s">
        <v>48</v>
      </c>
      <c r="R1453" s="3">
        <v>5343</v>
      </c>
      <c r="S1453">
        <v>5982</v>
      </c>
      <c r="T1453">
        <v>1</v>
      </c>
      <c r="U1453" t="s">
        <v>43</v>
      </c>
      <c r="V1453" s="2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tr">
        <f t="shared" si="88"/>
        <v>36-45</v>
      </c>
      <c r="AH1453" t="str">
        <f t="shared" si="89"/>
        <v>Mid</v>
      </c>
      <c r="AI1453" s="1">
        <f>VLOOKUP(E1453,Lookup_Tables!$A$3:$B$5,2,)</f>
        <v>6959.17264573991</v>
      </c>
      <c r="AJ1453" t="str">
        <f t="shared" si="90"/>
        <v>Below salary</v>
      </c>
      <c r="AK1453" t="str">
        <f t="shared" si="91"/>
        <v>Low Risk</v>
      </c>
    </row>
    <row r="1454" spans="1:37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46</v>
      </c>
      <c r="L1454">
        <v>94</v>
      </c>
      <c r="M1454">
        <v>3</v>
      </c>
      <c r="N1454">
        <v>2</v>
      </c>
      <c r="O1454" t="s">
        <v>40</v>
      </c>
      <c r="P1454">
        <v>3</v>
      </c>
      <c r="Q1454" t="s">
        <v>52</v>
      </c>
      <c r="R1454" s="3">
        <v>6728</v>
      </c>
      <c r="S1454">
        <v>14255</v>
      </c>
      <c r="T1454">
        <v>7</v>
      </c>
      <c r="U1454" t="s">
        <v>43</v>
      </c>
      <c r="V1454" s="2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tr">
        <f t="shared" si="88"/>
        <v>46+</v>
      </c>
      <c r="AH1454" t="str">
        <f t="shared" si="89"/>
        <v>Mid</v>
      </c>
      <c r="AI1454" s="1">
        <f>VLOOKUP(E1454,Lookup_Tables!$A$3:$B$5,2,)</f>
        <v>6959.17264573991</v>
      </c>
      <c r="AJ1454" t="str">
        <f t="shared" si="90"/>
        <v>Below salary</v>
      </c>
      <c r="AK1454" t="str">
        <f t="shared" si="91"/>
        <v>Low Risk</v>
      </c>
    </row>
    <row r="1455" spans="1:37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2045</v>
      </c>
      <c r="J1455">
        <v>2</v>
      </c>
      <c r="K1455" t="s">
        <v>39</v>
      </c>
      <c r="L1455">
        <v>100</v>
      </c>
      <c r="M1455">
        <v>2</v>
      </c>
      <c r="N1455">
        <v>2</v>
      </c>
      <c r="O1455" t="s">
        <v>40</v>
      </c>
      <c r="P1455">
        <v>4</v>
      </c>
      <c r="Q1455" t="s">
        <v>48</v>
      </c>
      <c r="R1455" s="3">
        <v>6652</v>
      </c>
      <c r="S1455">
        <v>14369</v>
      </c>
      <c r="T1455">
        <v>4</v>
      </c>
      <c r="U1455" t="s">
        <v>43</v>
      </c>
      <c r="V1455" s="2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tr">
        <f t="shared" si="88"/>
        <v>36-45</v>
      </c>
      <c r="AH1455" t="str">
        <f t="shared" si="89"/>
        <v>Mid</v>
      </c>
      <c r="AI1455" s="1">
        <f>VLOOKUP(E1455,Lookup_Tables!$A$3:$B$5,2,)</f>
        <v>6959.17264573991</v>
      </c>
      <c r="AJ1455" t="str">
        <f t="shared" si="90"/>
        <v>Below salary</v>
      </c>
      <c r="AK1455" t="str">
        <f t="shared" si="91"/>
        <v>Low Risk</v>
      </c>
    </row>
    <row r="1456" spans="1:37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50</v>
      </c>
      <c r="M1456">
        <v>3</v>
      </c>
      <c r="N1456">
        <v>2</v>
      </c>
      <c r="O1456" t="s">
        <v>40</v>
      </c>
      <c r="P1456">
        <v>3</v>
      </c>
      <c r="Q1456" t="s">
        <v>41</v>
      </c>
      <c r="R1456" s="3">
        <v>4850</v>
      </c>
      <c r="S1456">
        <v>23333</v>
      </c>
      <c r="T1456">
        <v>8</v>
      </c>
      <c r="U1456" t="s">
        <v>43</v>
      </c>
      <c r="V1456" s="2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tr">
        <f t="shared" si="88"/>
        <v>36-45</v>
      </c>
      <c r="AH1456" t="str">
        <f t="shared" si="89"/>
        <v>Mid</v>
      </c>
      <c r="AI1456" s="1">
        <f>VLOOKUP(E1456,Lookup_Tables!$A$3:$B$5,2,)</f>
        <v>6959.17264573991</v>
      </c>
      <c r="AJ1456" t="str">
        <f t="shared" si="90"/>
        <v>Below salary</v>
      </c>
      <c r="AK1456" t="str">
        <f t="shared" si="91"/>
        <v>Low Risk</v>
      </c>
    </row>
    <row r="1457" spans="1:37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46</v>
      </c>
      <c r="L1457">
        <v>52</v>
      </c>
      <c r="M1457">
        <v>2</v>
      </c>
      <c r="N1457">
        <v>1</v>
      </c>
      <c r="O1457" t="s">
        <v>47</v>
      </c>
      <c r="P1457">
        <v>3</v>
      </c>
      <c r="Q1457" t="s">
        <v>41</v>
      </c>
      <c r="R1457" s="3">
        <v>2809</v>
      </c>
      <c r="S1457">
        <v>2725</v>
      </c>
      <c r="T1457">
        <v>2</v>
      </c>
      <c r="U1457" t="s">
        <v>43</v>
      </c>
      <c r="V1457" s="2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tr">
        <f t="shared" si="88"/>
        <v>36-45</v>
      </c>
      <c r="AH1457" t="str">
        <f t="shared" si="89"/>
        <v>Low</v>
      </c>
      <c r="AI1457" s="1">
        <f>VLOOKUP(E1457,Lookup_Tables!$A$3:$B$5,2,)</f>
        <v>6281.2528616024974</v>
      </c>
      <c r="AJ1457" t="str">
        <f t="shared" si="90"/>
        <v>Below salary</v>
      </c>
      <c r="AK1457" t="str">
        <f t="shared" si="91"/>
        <v>Low Risk</v>
      </c>
    </row>
    <row r="1458" spans="1:37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46</v>
      </c>
      <c r="L1458">
        <v>80</v>
      </c>
      <c r="M1458">
        <v>3</v>
      </c>
      <c r="N1458">
        <v>2</v>
      </c>
      <c r="O1458" t="s">
        <v>54</v>
      </c>
      <c r="P1458">
        <v>3</v>
      </c>
      <c r="Q1458" t="s">
        <v>48</v>
      </c>
      <c r="R1458" s="3">
        <v>5689</v>
      </c>
      <c r="S1458">
        <v>24594</v>
      </c>
      <c r="T1458">
        <v>1</v>
      </c>
      <c r="U1458" t="s">
        <v>35</v>
      </c>
      <c r="V1458" s="2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tr">
        <f t="shared" si="88"/>
        <v>26-35</v>
      </c>
      <c r="AH1458" t="str">
        <f t="shared" si="89"/>
        <v>Mid</v>
      </c>
      <c r="AI1458" s="1">
        <f>VLOOKUP(E1458,Lookup_Tables!$A$3:$B$5,2,)</f>
        <v>6281.2528616024974</v>
      </c>
      <c r="AJ1458" t="str">
        <f t="shared" si="90"/>
        <v>Below salary</v>
      </c>
      <c r="AK1458" t="str">
        <f t="shared" si="91"/>
        <v>Medium Risk</v>
      </c>
    </row>
    <row r="1459" spans="1:37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t="s">
        <v>39</v>
      </c>
      <c r="L1459">
        <v>98</v>
      </c>
      <c r="M1459">
        <v>3</v>
      </c>
      <c r="N1459">
        <v>1</v>
      </c>
      <c r="O1459" t="s">
        <v>47</v>
      </c>
      <c r="P1459">
        <v>3</v>
      </c>
      <c r="Q1459" t="s">
        <v>48</v>
      </c>
      <c r="R1459" s="3">
        <v>2001</v>
      </c>
      <c r="S1459">
        <v>12549</v>
      </c>
      <c r="T1459">
        <v>2</v>
      </c>
      <c r="U1459" t="s">
        <v>43</v>
      </c>
      <c r="V1459" s="2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tr">
        <f t="shared" si="88"/>
        <v>36-45</v>
      </c>
      <c r="AH1459" t="str">
        <f t="shared" si="89"/>
        <v>Low</v>
      </c>
      <c r="AI1459" s="1">
        <f>VLOOKUP(E1459,Lookup_Tables!$A$3:$B$5,2,)</f>
        <v>6281.2528616024974</v>
      </c>
      <c r="AJ1459" t="str">
        <f t="shared" si="90"/>
        <v>Below salary</v>
      </c>
      <c r="AK1459" t="str">
        <f t="shared" si="91"/>
        <v>Low Risk</v>
      </c>
    </row>
    <row r="1460" spans="1:37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62</v>
      </c>
      <c r="M1460">
        <v>1</v>
      </c>
      <c r="N1460">
        <v>1</v>
      </c>
      <c r="O1460" t="s">
        <v>47</v>
      </c>
      <c r="P1460">
        <v>4</v>
      </c>
      <c r="Q1460" t="s">
        <v>48</v>
      </c>
      <c r="R1460" s="3">
        <v>2977</v>
      </c>
      <c r="S1460">
        <v>8952</v>
      </c>
      <c r="T1460">
        <v>1</v>
      </c>
      <c r="U1460" t="s">
        <v>43</v>
      </c>
      <c r="V1460" s="2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tr">
        <f t="shared" si="88"/>
        <v>26-35</v>
      </c>
      <c r="AH1460" t="str">
        <f t="shared" si="89"/>
        <v>Low</v>
      </c>
      <c r="AI1460" s="1">
        <f>VLOOKUP(E1460,Lookup_Tables!$A$3:$B$5,2,)</f>
        <v>6281.2528616024974</v>
      </c>
      <c r="AJ1460" t="str">
        <f t="shared" si="90"/>
        <v>Below salary</v>
      </c>
      <c r="AK1460" t="str">
        <f t="shared" si="91"/>
        <v>Low Risk</v>
      </c>
    </row>
    <row r="1461" spans="1:37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t="s">
        <v>46</v>
      </c>
      <c r="L1461">
        <v>46</v>
      </c>
      <c r="M1461">
        <v>2</v>
      </c>
      <c r="N1461">
        <v>2</v>
      </c>
      <c r="O1461" t="s">
        <v>50</v>
      </c>
      <c r="P1461">
        <v>2</v>
      </c>
      <c r="Q1461" t="s">
        <v>48</v>
      </c>
      <c r="R1461" s="3">
        <v>4025</v>
      </c>
      <c r="S1461">
        <v>23679</v>
      </c>
      <c r="T1461">
        <v>4</v>
      </c>
      <c r="U1461" t="s">
        <v>35</v>
      </c>
      <c r="V1461" s="2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tr">
        <f t="shared" si="88"/>
        <v>26-35</v>
      </c>
      <c r="AH1461" t="str">
        <f t="shared" si="89"/>
        <v>Mid</v>
      </c>
      <c r="AI1461" s="1">
        <f>VLOOKUP(E1461,Lookup_Tables!$A$3:$B$5,2,)</f>
        <v>6281.2528616024974</v>
      </c>
      <c r="AJ1461" t="str">
        <f t="shared" si="90"/>
        <v>Below salary</v>
      </c>
      <c r="AK1461" t="str">
        <f t="shared" si="91"/>
        <v>High Risk</v>
      </c>
    </row>
    <row r="1462" spans="1:37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t="s">
        <v>39</v>
      </c>
      <c r="L1462">
        <v>73</v>
      </c>
      <c r="M1462">
        <v>2</v>
      </c>
      <c r="N1462">
        <v>1</v>
      </c>
      <c r="O1462" t="s">
        <v>47</v>
      </c>
      <c r="P1462">
        <v>1</v>
      </c>
      <c r="Q1462" t="s">
        <v>41</v>
      </c>
      <c r="R1462" s="3">
        <v>3785</v>
      </c>
      <c r="S1462">
        <v>8489</v>
      </c>
      <c r="T1462">
        <v>1</v>
      </c>
      <c r="U1462" t="s">
        <v>43</v>
      </c>
      <c r="V1462" s="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tr">
        <f t="shared" si="88"/>
        <v>26-35</v>
      </c>
      <c r="AH1462" t="str">
        <f t="shared" si="89"/>
        <v>Mid</v>
      </c>
      <c r="AI1462" s="1">
        <f>VLOOKUP(E1462,Lookup_Tables!$A$3:$B$5,2,)</f>
        <v>6281.2528616024974</v>
      </c>
      <c r="AJ1462" t="str">
        <f t="shared" si="90"/>
        <v>Below salary</v>
      </c>
      <c r="AK1462" t="str">
        <f t="shared" si="91"/>
        <v>Medium Risk</v>
      </c>
    </row>
    <row r="1463" spans="1:37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2055</v>
      </c>
      <c r="J1463">
        <v>4</v>
      </c>
      <c r="K1463" t="s">
        <v>46</v>
      </c>
      <c r="L1463">
        <v>39</v>
      </c>
      <c r="M1463">
        <v>2</v>
      </c>
      <c r="N1463">
        <v>3</v>
      </c>
      <c r="O1463" t="s">
        <v>40</v>
      </c>
      <c r="P1463">
        <v>1</v>
      </c>
      <c r="Q1463" t="s">
        <v>52</v>
      </c>
      <c r="R1463" s="3">
        <v>10854</v>
      </c>
      <c r="S1463">
        <v>16586</v>
      </c>
      <c r="T1463">
        <v>4</v>
      </c>
      <c r="U1463" t="s">
        <v>35</v>
      </c>
      <c r="V1463" s="2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tr">
        <f t="shared" si="88"/>
        <v>46+</v>
      </c>
      <c r="AH1463" t="str">
        <f t="shared" si="89"/>
        <v>High</v>
      </c>
      <c r="AI1463" s="1">
        <f>VLOOKUP(E1463,Lookup_Tables!$A$3:$B$5,2,)</f>
        <v>6959.17264573991</v>
      </c>
      <c r="AJ1463" t="str">
        <f t="shared" si="90"/>
        <v>Above salary</v>
      </c>
      <c r="AK1463" t="str">
        <f t="shared" si="91"/>
        <v>High Risk</v>
      </c>
    </row>
    <row r="1464" spans="1:37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2056</v>
      </c>
      <c r="J1464">
        <v>2</v>
      </c>
      <c r="K1464" t="s">
        <v>39</v>
      </c>
      <c r="L1464">
        <v>60</v>
      </c>
      <c r="M1464">
        <v>2</v>
      </c>
      <c r="N1464">
        <v>4</v>
      </c>
      <c r="O1464" t="s">
        <v>40</v>
      </c>
      <c r="P1464">
        <v>4</v>
      </c>
      <c r="Q1464" t="s">
        <v>48</v>
      </c>
      <c r="R1464" s="3">
        <v>12031</v>
      </c>
      <c r="S1464">
        <v>8828</v>
      </c>
      <c r="T1464">
        <v>0</v>
      </c>
      <c r="U1464" t="s">
        <v>43</v>
      </c>
      <c r="V1464" s="2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tr">
        <f t="shared" si="88"/>
        <v>36-45</v>
      </c>
      <c r="AH1464" t="str">
        <f t="shared" si="89"/>
        <v>Very High</v>
      </c>
      <c r="AI1464" s="1">
        <f>VLOOKUP(E1464,Lookup_Tables!$A$3:$B$5,2,)</f>
        <v>6959.17264573991</v>
      </c>
      <c r="AJ1464" t="str">
        <f t="shared" si="90"/>
        <v>Above salary</v>
      </c>
      <c r="AK1464" t="str">
        <f t="shared" si="91"/>
        <v>Low Risk</v>
      </c>
    </row>
    <row r="1465" spans="1:37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t="s">
        <v>46</v>
      </c>
      <c r="L1465">
        <v>74</v>
      </c>
      <c r="M1465">
        <v>3</v>
      </c>
      <c r="N1465">
        <v>2</v>
      </c>
      <c r="O1465" t="s">
        <v>53</v>
      </c>
      <c r="P1465">
        <v>1</v>
      </c>
      <c r="Q1465" t="s">
        <v>41</v>
      </c>
      <c r="R1465" s="3">
        <v>9936</v>
      </c>
      <c r="S1465">
        <v>3787</v>
      </c>
      <c r="T1465">
        <v>0</v>
      </c>
      <c r="U1465" t="s">
        <v>43</v>
      </c>
      <c r="V1465" s="2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tr">
        <f t="shared" si="88"/>
        <v>26-35</v>
      </c>
      <c r="AH1465" t="str">
        <f t="shared" si="89"/>
        <v>High</v>
      </c>
      <c r="AI1465" s="1">
        <f>VLOOKUP(E1465,Lookup_Tables!$A$3:$B$5,2,)</f>
        <v>6281.2528616024974</v>
      </c>
      <c r="AJ1465" t="str">
        <f t="shared" si="90"/>
        <v>Above salary</v>
      </c>
      <c r="AK1465" t="str">
        <f t="shared" si="91"/>
        <v>Medium Risk</v>
      </c>
    </row>
    <row r="1466" spans="1:37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t="s">
        <v>39</v>
      </c>
      <c r="L1466">
        <v>30</v>
      </c>
      <c r="M1466">
        <v>2</v>
      </c>
      <c r="N1466">
        <v>1</v>
      </c>
      <c r="O1466" t="s">
        <v>57</v>
      </c>
      <c r="P1466">
        <v>3</v>
      </c>
      <c r="Q1466" t="s">
        <v>41</v>
      </c>
      <c r="R1466" s="3">
        <v>2966</v>
      </c>
      <c r="S1466">
        <v>21378</v>
      </c>
      <c r="T1466">
        <v>0</v>
      </c>
      <c r="U1466" t="s">
        <v>43</v>
      </c>
      <c r="V1466" s="2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tr">
        <f t="shared" si="88"/>
        <v>26-35</v>
      </c>
      <c r="AH1466" t="str">
        <f t="shared" si="89"/>
        <v>Low</v>
      </c>
      <c r="AI1466" s="1">
        <f>VLOOKUP(E1466,Lookup_Tables!$A$3:$B$5,2,)</f>
        <v>6959.17264573991</v>
      </c>
      <c r="AJ1466" t="str">
        <f t="shared" si="90"/>
        <v>Below salary</v>
      </c>
      <c r="AK1466" t="str">
        <f t="shared" si="91"/>
        <v>Low Risk</v>
      </c>
    </row>
    <row r="1467" spans="1:37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t="s">
        <v>46</v>
      </c>
      <c r="L1467">
        <v>41</v>
      </c>
      <c r="M1467">
        <v>4</v>
      </c>
      <c r="N1467">
        <v>2</v>
      </c>
      <c r="O1467" t="s">
        <v>50</v>
      </c>
      <c r="P1467">
        <v>4</v>
      </c>
      <c r="Q1467" t="s">
        <v>48</v>
      </c>
      <c r="R1467" s="3">
        <v>2571</v>
      </c>
      <c r="S1467">
        <v>12290</v>
      </c>
      <c r="T1467">
        <v>4</v>
      </c>
      <c r="U1467" t="s">
        <v>43</v>
      </c>
      <c r="V1467" s="2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tr">
        <f t="shared" si="88"/>
        <v>36-45</v>
      </c>
      <c r="AH1467" t="str">
        <f t="shared" si="89"/>
        <v>Low</v>
      </c>
      <c r="AI1467" s="1">
        <f>VLOOKUP(E1467,Lookup_Tables!$A$3:$B$5,2,)</f>
        <v>6281.2528616024974</v>
      </c>
      <c r="AJ1467" t="str">
        <f t="shared" si="90"/>
        <v>Below salary</v>
      </c>
      <c r="AK1467" t="str">
        <f t="shared" si="91"/>
        <v>Low Risk</v>
      </c>
    </row>
    <row r="1468" spans="1:37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t="s">
        <v>46</v>
      </c>
      <c r="L1468">
        <v>42</v>
      </c>
      <c r="M1468">
        <v>2</v>
      </c>
      <c r="N1468">
        <v>3</v>
      </c>
      <c r="O1468" t="s">
        <v>54</v>
      </c>
      <c r="P1468">
        <v>1</v>
      </c>
      <c r="Q1468" t="s">
        <v>48</v>
      </c>
      <c r="R1468" s="3">
        <v>9991</v>
      </c>
      <c r="S1468">
        <v>21457</v>
      </c>
      <c r="T1468">
        <v>4</v>
      </c>
      <c r="U1468" t="s">
        <v>43</v>
      </c>
      <c r="V1468" s="2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tr">
        <f t="shared" si="88"/>
        <v>36-45</v>
      </c>
      <c r="AH1468" t="str">
        <f t="shared" si="89"/>
        <v>High</v>
      </c>
      <c r="AI1468" s="1">
        <f>VLOOKUP(E1468,Lookup_Tables!$A$3:$B$5,2,)</f>
        <v>6281.2528616024974</v>
      </c>
      <c r="AJ1468" t="str">
        <f t="shared" si="90"/>
        <v>Above salary</v>
      </c>
      <c r="AK1468" t="str">
        <f t="shared" si="91"/>
        <v>Medium Risk</v>
      </c>
    </row>
    <row r="1469" spans="1:37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46</v>
      </c>
      <c r="L1469">
        <v>87</v>
      </c>
      <c r="M1469">
        <v>4</v>
      </c>
      <c r="N1469">
        <v>2</v>
      </c>
      <c r="O1469" t="s">
        <v>53</v>
      </c>
      <c r="P1469">
        <v>2</v>
      </c>
      <c r="Q1469" t="s">
        <v>48</v>
      </c>
      <c r="R1469" s="3">
        <v>6142</v>
      </c>
      <c r="S1469">
        <v>5174</v>
      </c>
      <c r="T1469">
        <v>1</v>
      </c>
      <c r="U1469" t="s">
        <v>35</v>
      </c>
      <c r="V1469" s="2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tr">
        <f t="shared" si="88"/>
        <v>26-35</v>
      </c>
      <c r="AH1469" t="str">
        <f t="shared" si="89"/>
        <v>Mid</v>
      </c>
      <c r="AI1469" s="1">
        <f>VLOOKUP(E1469,Lookup_Tables!$A$3:$B$5,2,)</f>
        <v>6281.2528616024974</v>
      </c>
      <c r="AJ1469" t="str">
        <f t="shared" si="90"/>
        <v>Below salary</v>
      </c>
      <c r="AK1469" t="str">
        <f t="shared" si="91"/>
        <v>High Risk</v>
      </c>
    </row>
    <row r="1470" spans="1:37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t="s">
        <v>46</v>
      </c>
      <c r="L1470">
        <v>63</v>
      </c>
      <c r="M1470">
        <v>2</v>
      </c>
      <c r="N1470">
        <v>2</v>
      </c>
      <c r="O1470" t="s">
        <v>40</v>
      </c>
      <c r="P1470">
        <v>2</v>
      </c>
      <c r="Q1470" t="s">
        <v>48</v>
      </c>
      <c r="R1470" s="3">
        <v>5390</v>
      </c>
      <c r="S1470">
        <v>13243</v>
      </c>
      <c r="T1470">
        <v>2</v>
      </c>
      <c r="U1470" t="s">
        <v>43</v>
      </c>
      <c r="V1470" s="2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tr">
        <f t="shared" si="88"/>
        <v>46+</v>
      </c>
      <c r="AH1470" t="str">
        <f t="shared" si="89"/>
        <v>Mid</v>
      </c>
      <c r="AI1470" s="1">
        <f>VLOOKUP(E1470,Lookup_Tables!$A$3:$B$5,2,)</f>
        <v>6959.17264573991</v>
      </c>
      <c r="AJ1470" t="str">
        <f t="shared" si="90"/>
        <v>Below salary</v>
      </c>
      <c r="AK1470" t="str">
        <f t="shared" si="91"/>
        <v>Medium Risk</v>
      </c>
    </row>
    <row r="1471" spans="1:37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t="s">
        <v>46</v>
      </c>
      <c r="L1471">
        <v>82</v>
      </c>
      <c r="M1471">
        <v>4</v>
      </c>
      <c r="N1471">
        <v>2</v>
      </c>
      <c r="O1471" t="s">
        <v>50</v>
      </c>
      <c r="P1471">
        <v>3</v>
      </c>
      <c r="Q1471" t="s">
        <v>48</v>
      </c>
      <c r="R1471" s="3">
        <v>4404</v>
      </c>
      <c r="S1471">
        <v>10228</v>
      </c>
      <c r="T1471">
        <v>2</v>
      </c>
      <c r="U1471" t="s">
        <v>43</v>
      </c>
      <c r="V1471" s="2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tr">
        <f t="shared" si="88"/>
        <v>26-35</v>
      </c>
      <c r="AH1471" t="str">
        <f t="shared" si="89"/>
        <v>Mid</v>
      </c>
      <c r="AI1471" s="1">
        <f>VLOOKUP(E1471,Lookup_Tables!$A$3:$B$5,2,)</f>
        <v>6281.2528616024974</v>
      </c>
      <c r="AJ1471" t="str">
        <f t="shared" si="90"/>
        <v>Below salary</v>
      </c>
      <c r="AK1471" t="str">
        <f t="shared" si="91"/>
        <v>Low Risk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415E4-616E-4791-A3CB-5C072A84D84A}">
  <dimension ref="A1:E16"/>
  <sheetViews>
    <sheetView workbookViewId="0">
      <selection activeCell="E15" sqref="E15"/>
    </sheetView>
  </sheetViews>
  <sheetFormatPr defaultRowHeight="14.4" x14ac:dyDescent="0.3"/>
  <cols>
    <col min="1" max="1" width="21.44140625" bestFit="1" customWidth="1"/>
    <col min="2" max="2" width="23.21875" bestFit="1" customWidth="1"/>
    <col min="3" max="3" width="16.21875" bestFit="1" customWidth="1"/>
    <col min="4" max="4" width="21.44140625" bestFit="1" customWidth="1"/>
    <col min="5" max="5" width="15.109375" customWidth="1"/>
  </cols>
  <sheetData>
    <row r="1" spans="1:5" ht="15.6" x14ac:dyDescent="0.3">
      <c r="A1" s="17" t="s">
        <v>70</v>
      </c>
      <c r="B1" s="17"/>
      <c r="D1" s="17" t="s">
        <v>71</v>
      </c>
      <c r="E1" s="17"/>
    </row>
    <row r="2" spans="1:5" x14ac:dyDescent="0.3">
      <c r="A2" t="s">
        <v>67</v>
      </c>
      <c r="B2" s="3" t="s">
        <v>68</v>
      </c>
      <c r="D2" s="4" t="s">
        <v>4</v>
      </c>
      <c r="E2" s="3" t="s">
        <v>69</v>
      </c>
    </row>
    <row r="3" spans="1:5" x14ac:dyDescent="0.3">
      <c r="A3" t="s">
        <v>61</v>
      </c>
      <c r="B3" s="3">
        <f>SUMIF(Cleaned_Data!E:E, A3,Cleaned_Data!R:R)</f>
        <v>419234</v>
      </c>
      <c r="D3" s="5" t="s">
        <v>61</v>
      </c>
      <c r="E3" s="3">
        <f>SUMIFS(Cleaned_Data!R:R,Cleaned_Data!E:E,D3,Cleaned_Data!U:U,"Yes")</f>
        <v>123781</v>
      </c>
    </row>
    <row r="4" spans="1:5" x14ac:dyDescent="0.3">
      <c r="A4" t="s">
        <v>45</v>
      </c>
      <c r="B4" s="3">
        <f>SUMIF(Cleaned_Data!E:E, A4,Cleaned_Data!R:R)</f>
        <v>6036284</v>
      </c>
      <c r="D4" s="6" t="s">
        <v>45</v>
      </c>
      <c r="E4" s="3">
        <f>SUMIFS(Cleaned_Data!R:R,Cleaned_Data!E:E,D4,Cleaned_Data!U:U,"Yes")</f>
        <v>1705330</v>
      </c>
    </row>
    <row r="5" spans="1:5" x14ac:dyDescent="0.3">
      <c r="A5" t="s">
        <v>37</v>
      </c>
      <c r="B5" s="3">
        <f>SUMIF(Cleaned_Data!E:E, A5,Cleaned_Data!R:R)</f>
        <v>3103791</v>
      </c>
      <c r="D5" s="5" t="s">
        <v>37</v>
      </c>
      <c r="E5" s="3">
        <f>SUMIFS(Cleaned_Data!R:R,Cleaned_Data!E:E,D5,Cleaned_Data!U:U,"Yes")</f>
        <v>895085</v>
      </c>
    </row>
    <row r="8" spans="1:5" ht="18" x14ac:dyDescent="0.35">
      <c r="A8" s="18" t="s">
        <v>72</v>
      </c>
      <c r="B8" s="18"/>
      <c r="C8" s="18"/>
    </row>
    <row r="9" spans="1:5" ht="15.6" x14ac:dyDescent="0.3">
      <c r="A9" s="8" t="s">
        <v>73</v>
      </c>
      <c r="B9" s="19">
        <f>COUNTIF(Cleaned_Data!B:B,"Yes")</f>
        <v>237</v>
      </c>
      <c r="C9" s="19"/>
    </row>
    <row r="10" spans="1:5" x14ac:dyDescent="0.3">
      <c r="A10" s="10" t="s">
        <v>67</v>
      </c>
      <c r="B10" t="s">
        <v>74</v>
      </c>
      <c r="C10" s="9" t="s">
        <v>75</v>
      </c>
    </row>
    <row r="11" spans="1:5" x14ac:dyDescent="0.3">
      <c r="A11" s="5" t="s">
        <v>61</v>
      </c>
      <c r="B11">
        <f>COUNTIFS(Cleaned_Data!E:E,A11,Cleaned_Data!B:B,"Yes")</f>
        <v>12</v>
      </c>
      <c r="C11" s="9">
        <f>COUNTIFS(Cleaned_Data!E:E,A11,Cleaned_Data!B:B,"Yes")
 /COUNTIF(Cleaned_Data!E:E,A11)</f>
        <v>0.19047619047619047</v>
      </c>
    </row>
    <row r="12" spans="1:5" x14ac:dyDescent="0.3">
      <c r="A12" s="6" t="s">
        <v>45</v>
      </c>
      <c r="B12">
        <f>COUNTIFS(Cleaned_Data!E:E,A12,Cleaned_Data!B:B,"Yes")</f>
        <v>133</v>
      </c>
      <c r="C12" s="9">
        <f>COUNTIFS(Cleaned_Data!E:E,A12,Cleaned_Data!B:B,"Yes")
 /COUNTIF(Cleaned_Data!E:E,A12)</f>
        <v>0.13839750260145681</v>
      </c>
    </row>
    <row r="13" spans="1:5" x14ac:dyDescent="0.3">
      <c r="A13" s="5" t="s">
        <v>37</v>
      </c>
      <c r="B13">
        <f>COUNTIFS(Cleaned_Data!E:E,A13,Cleaned_Data!B:B,"Yes")</f>
        <v>92</v>
      </c>
      <c r="C13" s="9">
        <f>COUNTIFS(Cleaned_Data!E:E,A13,Cleaned_Data!B:B,"Yes")
 /COUNTIF(Cleaned_Data!E:E,A13)</f>
        <v>0.20627802690582961</v>
      </c>
    </row>
    <row r="16" spans="1:5" ht="15.6" x14ac:dyDescent="0.3">
      <c r="A16" s="15" t="s">
        <v>76</v>
      </c>
      <c r="B16" s="16"/>
      <c r="C16" s="11">
        <f>AVERAGEIF(Cleaned_Data!$B:$B,"Yes",Cleaned_Data!$A:$A)</f>
        <v>33.607594936708864</v>
      </c>
      <c r="E16" s="7"/>
    </row>
  </sheetData>
  <mergeCells count="5">
    <mergeCell ref="A16:B16"/>
    <mergeCell ref="A1:B1"/>
    <mergeCell ref="D1:E1"/>
    <mergeCell ref="A8:C8"/>
    <mergeCell ref="B9:C9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6D87-749A-401C-A04E-547E3566B498}">
  <dimension ref="A1:B5"/>
  <sheetViews>
    <sheetView workbookViewId="0">
      <selection activeCell="A18" sqref="A18"/>
    </sheetView>
  </sheetViews>
  <sheetFormatPr defaultRowHeight="14.4" x14ac:dyDescent="0.3"/>
  <cols>
    <col min="1" max="1" width="21.44140625" bestFit="1" customWidth="1"/>
    <col min="2" max="2" width="12" style="1" bestFit="1" customWidth="1"/>
  </cols>
  <sheetData>
    <row r="1" spans="1:2" ht="15.6" x14ac:dyDescent="0.3">
      <c r="A1" s="17" t="s">
        <v>77</v>
      </c>
      <c r="B1" s="17"/>
    </row>
    <row r="2" spans="1:2" x14ac:dyDescent="0.3">
      <c r="A2" t="s">
        <v>4</v>
      </c>
      <c r="B2" s="1" t="s">
        <v>64</v>
      </c>
    </row>
    <row r="3" spans="1:2" x14ac:dyDescent="0.3">
      <c r="A3" t="s">
        <v>61</v>
      </c>
      <c r="B3" s="1">
        <f>AVERAGEIF(Cleaned_Data!E:E,"Human Resources",Cleaned_Data!R:R)</f>
        <v>6654.5079365079364</v>
      </c>
    </row>
    <row r="4" spans="1:2" x14ac:dyDescent="0.3">
      <c r="A4" t="s">
        <v>45</v>
      </c>
      <c r="B4" s="1">
        <f>AVERAGEIF(Cleaned_Data!E:E,"Research &amp; Development",Cleaned_Data!R:R)</f>
        <v>6281.2528616024974</v>
      </c>
    </row>
    <row r="5" spans="1:2" x14ac:dyDescent="0.3">
      <c r="A5" t="s">
        <v>37</v>
      </c>
      <c r="B5" s="1">
        <f>AVERAGEIF(Cleaned_Data!E:E,"Sales",Cleaned_Data!R:R)</f>
        <v>6959.17264573991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BA9B-0E51-409C-A714-8D68272D90A3}">
  <dimension ref="A1:D8"/>
  <sheetViews>
    <sheetView workbookViewId="0">
      <selection activeCell="A6" sqref="A6"/>
    </sheetView>
  </sheetViews>
  <sheetFormatPr defaultRowHeight="14.4" x14ac:dyDescent="0.3"/>
  <cols>
    <col min="1" max="1" width="21.44140625" bestFit="1" customWidth="1"/>
    <col min="2" max="2" width="15.5546875" bestFit="1" customWidth="1"/>
    <col min="3" max="3" width="5" bestFit="1" customWidth="1"/>
    <col min="4" max="4" width="10.5546875" bestFit="1" customWidth="1"/>
    <col min="5" max="5" width="16.109375" bestFit="1" customWidth="1"/>
    <col min="6" max="6" width="19.6640625" bestFit="1" customWidth="1"/>
    <col min="7" max="7" width="20.6640625" bestFit="1" customWidth="1"/>
  </cols>
  <sheetData>
    <row r="1" spans="1:4" x14ac:dyDescent="0.3">
      <c r="A1" s="12" t="s">
        <v>1</v>
      </c>
      <c r="B1" t="s">
        <v>35</v>
      </c>
    </row>
    <row r="3" spans="1:4" x14ac:dyDescent="0.3">
      <c r="A3" s="12" t="s">
        <v>79</v>
      </c>
      <c r="B3" s="12" t="s">
        <v>11</v>
      </c>
    </row>
    <row r="4" spans="1:4" x14ac:dyDescent="0.3">
      <c r="A4" s="12" t="s">
        <v>4</v>
      </c>
      <c r="B4" t="s">
        <v>39</v>
      </c>
      <c r="C4" t="s">
        <v>46</v>
      </c>
      <c r="D4" t="s">
        <v>78</v>
      </c>
    </row>
    <row r="5" spans="1:4" x14ac:dyDescent="0.3">
      <c r="A5" s="13" t="s">
        <v>61</v>
      </c>
      <c r="B5">
        <v>6</v>
      </c>
      <c r="C5">
        <v>6</v>
      </c>
      <c r="D5">
        <v>12</v>
      </c>
    </row>
    <row r="6" spans="1:4" x14ac:dyDescent="0.3">
      <c r="A6" s="13" t="s">
        <v>45</v>
      </c>
      <c r="B6">
        <v>43</v>
      </c>
      <c r="C6">
        <v>90</v>
      </c>
      <c r="D6">
        <v>133</v>
      </c>
    </row>
    <row r="7" spans="1:4" x14ac:dyDescent="0.3">
      <c r="A7" s="13" t="s">
        <v>37</v>
      </c>
      <c r="B7">
        <v>38</v>
      </c>
      <c r="C7">
        <v>54</v>
      </c>
      <c r="D7">
        <v>92</v>
      </c>
    </row>
    <row r="8" spans="1:4" x14ac:dyDescent="0.3">
      <c r="A8" s="13" t="s">
        <v>78</v>
      </c>
      <c r="B8">
        <v>87</v>
      </c>
      <c r="C8">
        <v>150</v>
      </c>
      <c r="D8">
        <v>237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C573-31A6-40D0-A40C-8F27E8270356}">
  <dimension ref="A3:B13"/>
  <sheetViews>
    <sheetView topLeftCell="A7" workbookViewId="0">
      <selection activeCell="H15" sqref="H15"/>
    </sheetView>
  </sheetViews>
  <sheetFormatPr defaultRowHeight="14.4" x14ac:dyDescent="0.3"/>
  <cols>
    <col min="1" max="1" width="22.6640625" bestFit="1" customWidth="1"/>
    <col min="2" max="2" width="22.88671875" bestFit="1" customWidth="1"/>
  </cols>
  <sheetData>
    <row r="3" spans="1:2" x14ac:dyDescent="0.3">
      <c r="A3" s="12" t="s">
        <v>15</v>
      </c>
      <c r="B3" t="s">
        <v>80</v>
      </c>
    </row>
    <row r="4" spans="1:2" x14ac:dyDescent="0.3">
      <c r="A4" s="13" t="s">
        <v>56</v>
      </c>
      <c r="B4" s="3">
        <v>17181.676470588234</v>
      </c>
    </row>
    <row r="5" spans="1:2" x14ac:dyDescent="0.3">
      <c r="A5" s="13" t="s">
        <v>58</v>
      </c>
      <c r="B5" s="3">
        <v>16033.55</v>
      </c>
    </row>
    <row r="6" spans="1:2" x14ac:dyDescent="0.3">
      <c r="A6" s="13" t="s">
        <v>54</v>
      </c>
      <c r="B6" s="3">
        <v>7528.7633587786258</v>
      </c>
    </row>
    <row r="7" spans="1:2" x14ac:dyDescent="0.3">
      <c r="A7" s="13" t="s">
        <v>53</v>
      </c>
      <c r="B7" s="3">
        <v>7295.1379310344828</v>
      </c>
    </row>
    <row r="8" spans="1:2" x14ac:dyDescent="0.3">
      <c r="A8" s="13" t="s">
        <v>40</v>
      </c>
      <c r="B8" s="3">
        <v>6924.2791411042945</v>
      </c>
    </row>
    <row r="9" spans="1:2" x14ac:dyDescent="0.3">
      <c r="A9" s="13" t="s">
        <v>61</v>
      </c>
      <c r="B9" s="3">
        <v>4235.75</v>
      </c>
    </row>
    <row r="10" spans="1:2" x14ac:dyDescent="0.3">
      <c r="A10" s="13" t="s">
        <v>47</v>
      </c>
      <c r="B10" s="3">
        <v>3239.972602739726</v>
      </c>
    </row>
    <row r="11" spans="1:2" x14ac:dyDescent="0.3">
      <c r="A11" s="13" t="s">
        <v>50</v>
      </c>
      <c r="B11" s="3">
        <v>3237.169884169884</v>
      </c>
    </row>
    <row r="12" spans="1:2" x14ac:dyDescent="0.3">
      <c r="A12" s="13" t="s">
        <v>57</v>
      </c>
      <c r="B12" s="3">
        <v>2626</v>
      </c>
    </row>
    <row r="13" spans="1:2" x14ac:dyDescent="0.3">
      <c r="A13" s="13" t="s">
        <v>78</v>
      </c>
      <c r="B13" s="3">
        <v>6502.931292517007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B5A6-054D-45C1-A422-A825317C7704}">
  <dimension ref="A3:D7"/>
  <sheetViews>
    <sheetView workbookViewId="0">
      <selection activeCell="G13" sqref="G13"/>
    </sheetView>
  </sheetViews>
  <sheetFormatPr defaultRowHeight="14.4" x14ac:dyDescent="0.3"/>
  <cols>
    <col min="1" max="1" width="23.44140625" bestFit="1" customWidth="1"/>
    <col min="2" max="2" width="10.109375" bestFit="1" customWidth="1"/>
    <col min="3" max="3" width="7.109375" bestFit="1" customWidth="1"/>
    <col min="4" max="4" width="10.5546875" bestFit="1" customWidth="1"/>
  </cols>
  <sheetData>
    <row r="3" spans="1:4" x14ac:dyDescent="0.3">
      <c r="A3" s="12" t="s">
        <v>82</v>
      </c>
      <c r="B3" s="12" t="s">
        <v>1</v>
      </c>
    </row>
    <row r="4" spans="1:4" x14ac:dyDescent="0.3">
      <c r="A4" s="12" t="s">
        <v>83</v>
      </c>
      <c r="B4" t="s">
        <v>43</v>
      </c>
      <c r="C4" t="s">
        <v>35</v>
      </c>
      <c r="D4" t="s">
        <v>78</v>
      </c>
    </row>
    <row r="5" spans="1:4" x14ac:dyDescent="0.3">
      <c r="A5" s="13" t="s">
        <v>43</v>
      </c>
      <c r="B5" s="9">
        <v>0.89563567362428842</v>
      </c>
      <c r="C5" s="9">
        <v>0.10436432637571158</v>
      </c>
      <c r="D5" s="9">
        <v>1</v>
      </c>
    </row>
    <row r="6" spans="1:4" x14ac:dyDescent="0.3">
      <c r="A6" s="13" t="s">
        <v>35</v>
      </c>
      <c r="B6" s="9">
        <v>0.69471153846153844</v>
      </c>
      <c r="C6" s="9">
        <v>0.30528846153846156</v>
      </c>
      <c r="D6" s="9">
        <v>1</v>
      </c>
    </row>
    <row r="7" spans="1:4" x14ac:dyDescent="0.3">
      <c r="A7" s="13" t="s">
        <v>78</v>
      </c>
      <c r="B7" s="9">
        <v>0.83877551020408159</v>
      </c>
      <c r="C7" s="9">
        <v>0.16122448979591836</v>
      </c>
      <c r="D7" s="9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7714-A867-44DB-8DD8-CFAEE2C927FA}">
  <dimension ref="A3:B8"/>
  <sheetViews>
    <sheetView workbookViewId="0">
      <selection activeCell="C6" sqref="C6"/>
    </sheetView>
  </sheetViews>
  <sheetFormatPr defaultRowHeight="14.4" x14ac:dyDescent="0.3"/>
  <cols>
    <col min="1" max="1" width="12.44140625" bestFit="1" customWidth="1"/>
    <col min="2" max="2" width="22.88671875" bestFit="1" customWidth="1"/>
  </cols>
  <sheetData>
    <row r="3" spans="1:2" x14ac:dyDescent="0.3">
      <c r="A3" s="12" t="s">
        <v>81</v>
      </c>
      <c r="B3" t="s">
        <v>88</v>
      </c>
    </row>
    <row r="4" spans="1:2" x14ac:dyDescent="0.3">
      <c r="A4" s="13" t="s">
        <v>84</v>
      </c>
      <c r="B4" s="14">
        <v>2.7317073170731709</v>
      </c>
    </row>
    <row r="5" spans="1:2" x14ac:dyDescent="0.3">
      <c r="A5" s="13" t="s">
        <v>85</v>
      </c>
      <c r="B5" s="14">
        <v>2.7392739273927393</v>
      </c>
    </row>
    <row r="6" spans="1:2" x14ac:dyDescent="0.3">
      <c r="A6" s="13" t="s">
        <v>86</v>
      </c>
      <c r="B6" s="14">
        <v>2.7307692307692308</v>
      </c>
    </row>
    <row r="7" spans="1:2" x14ac:dyDescent="0.3">
      <c r="A7" s="13" t="s">
        <v>87</v>
      </c>
      <c r="B7" s="14">
        <v>2.6996336996336998</v>
      </c>
    </row>
    <row r="8" spans="1:2" x14ac:dyDescent="0.3">
      <c r="A8" s="13" t="s">
        <v>78</v>
      </c>
      <c r="B8" s="14">
        <v>2.7285714285714286</v>
      </c>
    </row>
  </sheetData>
  <conditionalFormatting sqref="A3:B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Cleaned_Data</vt:lpstr>
      <vt:lpstr>Summary</vt:lpstr>
      <vt:lpstr>Lookup_Tables</vt:lpstr>
      <vt:lpstr>Pivot1_Attrition</vt:lpstr>
      <vt:lpstr>Pivot2_Salary</vt:lpstr>
      <vt:lpstr>Pivot3_OverTime</vt:lpstr>
      <vt:lpstr>Pivot4_Satisfaction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KUMAR</cp:lastModifiedBy>
  <dcterms:created xsi:type="dcterms:W3CDTF">2026-05-19T07:46:25Z</dcterms:created>
  <dcterms:modified xsi:type="dcterms:W3CDTF">2026-05-20T06:50:47Z</dcterms:modified>
</cp:coreProperties>
</file>